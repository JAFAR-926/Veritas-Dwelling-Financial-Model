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 defaultThemeVersion="124226"/>
  <xr:revisionPtr revIDLastSave="0" documentId="13_ncr:1_{48FAEDA5-F8D7-48AE-9652-1D878811378D}" xr6:coauthVersionLast="47" xr6:coauthVersionMax="47" xr10:uidLastSave="{00000000-0000-0000-0000-000000000000}"/>
  <bookViews>
    <workbookView xWindow="-104" yWindow="-104" windowWidth="22326" windowHeight="11924" xr2:uid="{00000000-000D-0000-FFFF-FFFF00000000}"/>
  </bookViews>
  <sheets>
    <sheet name="Cover" sheetId="2" r:id="rId1"/>
    <sheet name="Historicals FS" sheetId="1" r:id="rId2"/>
    <sheet name="Summary" sheetId="6" r:id="rId3"/>
    <sheet name="Assumptions" sheetId="3" r:id="rId4"/>
    <sheet name="Scenarios" sheetId="4" r:id="rId5"/>
    <sheet name="Model" sheetId="5" r:id="rId6"/>
  </sheets>
  <definedNames>
    <definedName name="BSCheck">Model!$F$118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L_Scenarios">Scenarios!$D$12:$D$14</definedName>
    <definedName name="million">Assumptions!$F$12</definedName>
    <definedName name="_xlnm.Print_Area" localSheetId="0">Cover!$A$1:$H$19</definedName>
    <definedName name="_xlnm.Print_Area" localSheetId="2">Summary!$A$1:$P$65</definedName>
    <definedName name="_xlnm.Print_Titles" localSheetId="3">Assumptions!$1:$6</definedName>
    <definedName name="_xlnm.Print_Titles" localSheetId="5">Model!$1:$6</definedName>
    <definedName name="_xlnm.Print_Titles" localSheetId="4">Scenarios!$1:$6</definedName>
    <definedName name="_xlnm.Print_Titles" localSheetId="2">Summary!$1:$6</definedName>
    <definedName name="S_Scenarios">Scenarios!$E$11</definedName>
    <definedName name="ScenarioUSed">Scenarios!$D$11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8" i="1" l="1"/>
  <c r="I108" i="1"/>
  <c r="M50" i="5"/>
  <c r="N50" i="5"/>
  <c r="O50" i="5"/>
  <c r="P50" i="5"/>
  <c r="M51" i="5"/>
  <c r="N51" i="5"/>
  <c r="O51" i="5"/>
  <c r="P51" i="5"/>
  <c r="L50" i="5"/>
  <c r="M56" i="5"/>
  <c r="N56" i="5"/>
  <c r="O56" i="5"/>
  <c r="P56" i="5"/>
  <c r="L56" i="5"/>
  <c r="I56" i="5"/>
  <c r="J56" i="5"/>
  <c r="K56" i="5"/>
  <c r="M68" i="5" l="1"/>
  <c r="M296" i="5" s="1"/>
  <c r="N68" i="5"/>
  <c r="N296" i="5" s="1"/>
  <c r="O68" i="5"/>
  <c r="O296" i="5" s="1"/>
  <c r="P68" i="5"/>
  <c r="P296" i="5" s="1"/>
  <c r="L68" i="5"/>
  <c r="L296" i="5" s="1"/>
  <c r="M57" i="5"/>
  <c r="N57" i="5"/>
  <c r="O57" i="5"/>
  <c r="P57" i="5"/>
  <c r="L57" i="5"/>
  <c r="L51" i="5"/>
  <c r="H106" i="1" l="1"/>
  <c r="I106" i="1"/>
  <c r="G106" i="1"/>
  <c r="H98" i="1"/>
  <c r="I98" i="1"/>
  <c r="G98" i="1"/>
  <c r="G92" i="1"/>
  <c r="H92" i="1"/>
  <c r="I92" i="1"/>
  <c r="H84" i="1"/>
  <c r="I84" i="1"/>
  <c r="G84" i="1"/>
  <c r="G86" i="1" s="1"/>
  <c r="H78" i="1"/>
  <c r="I78" i="1"/>
  <c r="G78" i="1"/>
  <c r="I86" i="1" l="1"/>
  <c r="H86" i="1"/>
  <c r="I100" i="1"/>
  <c r="G100" i="1"/>
  <c r="G108" i="1" s="1"/>
  <c r="H100" i="1"/>
  <c r="D309" i="5"/>
  <c r="D68" i="5"/>
  <c r="D296" i="5" s="1"/>
  <c r="I68" i="5"/>
  <c r="J68" i="5"/>
  <c r="K68" i="5"/>
  <c r="D66" i="5"/>
  <c r="I66" i="5"/>
  <c r="J66" i="5"/>
  <c r="K66" i="5"/>
  <c r="D64" i="5"/>
  <c r="I64" i="5"/>
  <c r="J64" i="5"/>
  <c r="K64" i="5"/>
  <c r="D62" i="5"/>
  <c r="I62" i="5"/>
  <c r="J62" i="5"/>
  <c r="K62" i="5"/>
  <c r="D51" i="5"/>
  <c r="I51" i="5"/>
  <c r="J51" i="5"/>
  <c r="K51" i="5"/>
  <c r="D89" i="5"/>
  <c r="I89" i="5"/>
  <c r="J89" i="5"/>
  <c r="K89" i="5"/>
  <c r="L89" i="5" s="1"/>
  <c r="M89" i="5" s="1"/>
  <c r="N89" i="5" s="1"/>
  <c r="O89" i="5" s="1"/>
  <c r="P89" i="5" s="1"/>
  <c r="D88" i="5"/>
  <c r="I88" i="5"/>
  <c r="J88" i="5"/>
  <c r="K88" i="5"/>
  <c r="L88" i="5" s="1"/>
  <c r="M88" i="5" s="1"/>
  <c r="N88" i="5" s="1"/>
  <c r="O88" i="5" s="1"/>
  <c r="P88" i="5" s="1"/>
  <c r="K110" i="5"/>
  <c r="J110" i="5"/>
  <c r="I110" i="5"/>
  <c r="D110" i="5"/>
  <c r="D113" i="5"/>
  <c r="I113" i="5"/>
  <c r="J113" i="5"/>
  <c r="K113" i="5"/>
  <c r="L113" i="5" s="1"/>
  <c r="M113" i="5" s="1"/>
  <c r="N113" i="5" s="1"/>
  <c r="O113" i="5" s="1"/>
  <c r="P113" i="5" s="1"/>
  <c r="D105" i="5"/>
  <c r="I105" i="5"/>
  <c r="J105" i="5"/>
  <c r="K105" i="5"/>
  <c r="L105" i="5" s="1"/>
  <c r="M105" i="5" s="1"/>
  <c r="N105" i="5" s="1"/>
  <c r="O105" i="5" s="1"/>
  <c r="P105" i="5" s="1"/>
  <c r="K102" i="5"/>
  <c r="K280" i="5" s="1"/>
  <c r="J102" i="5"/>
  <c r="I102" i="5"/>
  <c r="D102" i="5"/>
  <c r="M266" i="5"/>
  <c r="N266" i="5"/>
  <c r="O266" i="5"/>
  <c r="P266" i="5"/>
  <c r="M267" i="5"/>
  <c r="N267" i="5"/>
  <c r="O267" i="5"/>
  <c r="P267" i="5"/>
  <c r="L267" i="5"/>
  <c r="D267" i="5"/>
  <c r="L266" i="5"/>
  <c r="F251" i="5"/>
  <c r="L251" i="5" s="1"/>
  <c r="M248" i="5"/>
  <c r="M64" i="5" s="1"/>
  <c r="N248" i="5"/>
  <c r="N64" i="5" s="1"/>
  <c r="O248" i="5"/>
  <c r="O64" i="5" s="1"/>
  <c r="P248" i="5"/>
  <c r="P64" i="5" s="1"/>
  <c r="L248" i="5"/>
  <c r="L64" i="5" s="1"/>
  <c r="K249" i="5"/>
  <c r="L247" i="5" s="1"/>
  <c r="M241" i="5"/>
  <c r="M65" i="5" s="1"/>
  <c r="N241" i="5"/>
  <c r="N65" i="5" s="1"/>
  <c r="O241" i="5"/>
  <c r="O65" i="5" s="1"/>
  <c r="P241" i="5"/>
  <c r="P65" i="5" s="1"/>
  <c r="L241" i="5"/>
  <c r="L65" i="5" s="1"/>
  <c r="K140" i="5"/>
  <c r="K145" i="5" s="1"/>
  <c r="K135" i="5"/>
  <c r="K155" i="5" s="1"/>
  <c r="M126" i="3"/>
  <c r="N126" i="3"/>
  <c r="O126" i="3"/>
  <c r="P126" i="3"/>
  <c r="L126" i="3"/>
  <c r="M122" i="3"/>
  <c r="N122" i="3"/>
  <c r="O122" i="3"/>
  <c r="P122" i="3"/>
  <c r="L122" i="3"/>
  <c r="K48" i="3"/>
  <c r="K46" i="3"/>
  <c r="K34" i="3"/>
  <c r="K36" i="3" s="1"/>
  <c r="K33" i="3"/>
  <c r="K136" i="5" s="1"/>
  <c r="O136" i="5" s="1"/>
  <c r="L295" i="5" l="1"/>
  <c r="K37" i="3"/>
  <c r="K130" i="5" s="1"/>
  <c r="O295" i="5"/>
  <c r="P295" i="5"/>
  <c r="N295" i="5"/>
  <c r="M295" i="5"/>
  <c r="L278" i="5"/>
  <c r="L279" i="5" s="1"/>
  <c r="L62" i="5" s="1"/>
  <c r="N268" i="5"/>
  <c r="M268" i="5"/>
  <c r="P268" i="5"/>
  <c r="L268" i="5"/>
  <c r="O268" i="5"/>
  <c r="L249" i="5"/>
  <c r="P251" i="5"/>
  <c r="O251" i="5"/>
  <c r="N251" i="5"/>
  <c r="M251" i="5"/>
  <c r="K50" i="3"/>
  <c r="K160" i="5" s="1"/>
  <c r="N136" i="5"/>
  <c r="M136" i="5"/>
  <c r="L136" i="5"/>
  <c r="K138" i="5"/>
  <c r="P136" i="5"/>
  <c r="K49" i="3"/>
  <c r="K156" i="5" s="1"/>
  <c r="K144" i="5" l="1"/>
  <c r="K146" i="5" s="1"/>
  <c r="L280" i="5"/>
  <c r="M247" i="5"/>
  <c r="M249" i="5" s="1"/>
  <c r="M110" i="5" s="1"/>
  <c r="L110" i="5"/>
  <c r="L252" i="5"/>
  <c r="L66" i="5" l="1"/>
  <c r="L32" i="5"/>
  <c r="M252" i="5"/>
  <c r="N247" i="5"/>
  <c r="N249" i="5" s="1"/>
  <c r="N110" i="5" s="1"/>
  <c r="L282" i="5"/>
  <c r="L309" i="5" s="1"/>
  <c r="L102" i="5"/>
  <c r="M278" i="5"/>
  <c r="M279" i="5" s="1"/>
  <c r="M66" i="5" l="1"/>
  <c r="M32" i="5"/>
  <c r="M280" i="5"/>
  <c r="O247" i="5"/>
  <c r="O249" i="5" s="1"/>
  <c r="O110" i="5" s="1"/>
  <c r="N252" i="5"/>
  <c r="N66" i="5" l="1"/>
  <c r="N32" i="5"/>
  <c r="M62" i="5"/>
  <c r="O252" i="5"/>
  <c r="P247" i="5"/>
  <c r="P249" i="5" s="1"/>
  <c r="P252" i="5" s="1"/>
  <c r="M102" i="5"/>
  <c r="M282" i="5"/>
  <c r="M309" i="5" s="1"/>
  <c r="N278" i="5"/>
  <c r="N279" i="5" s="1"/>
  <c r="P66" i="5" l="1"/>
  <c r="P32" i="5"/>
  <c r="P110" i="5"/>
  <c r="O66" i="5"/>
  <c r="O32" i="5"/>
  <c r="N62" i="5"/>
  <c r="N280" i="5" l="1"/>
  <c r="O278" i="5" s="1"/>
  <c r="O279" i="5" s="1"/>
  <c r="N102" i="5" l="1"/>
  <c r="N282" i="5"/>
  <c r="N309" i="5" s="1"/>
  <c r="O62" i="5"/>
  <c r="O280" i="5" l="1"/>
  <c r="O102" i="5" s="1"/>
  <c r="O282" i="5" l="1"/>
  <c r="O309" i="5" s="1"/>
  <c r="P278" i="5"/>
  <c r="P279" i="5" l="1"/>
  <c r="P280" i="5" s="1"/>
  <c r="P282" i="5" s="1"/>
  <c r="P309" i="5" s="1"/>
  <c r="P62" i="5" l="1"/>
  <c r="P102" i="5"/>
  <c r="J73" i="3" l="1"/>
  <c r="K73" i="3"/>
  <c r="I73" i="3"/>
  <c r="D82" i="6" l="1"/>
  <c r="D83" i="6"/>
  <c r="D84" i="6"/>
  <c r="D81" i="6"/>
  <c r="D79" i="6"/>
  <c r="D75" i="6"/>
  <c r="B67" i="6"/>
  <c r="D311" i="5"/>
  <c r="D310" i="5"/>
  <c r="D308" i="5"/>
  <c r="D264" i="5"/>
  <c r="D265" i="5"/>
  <c r="D263" i="5"/>
  <c r="F244" i="5"/>
  <c r="D244" i="5"/>
  <c r="L232" i="5"/>
  <c r="M232" i="5"/>
  <c r="N232" i="5"/>
  <c r="O232" i="5"/>
  <c r="P232" i="5"/>
  <c r="L233" i="5"/>
  <c r="M233" i="5"/>
  <c r="N233" i="5"/>
  <c r="O233" i="5"/>
  <c r="P233" i="5"/>
  <c r="L234" i="5"/>
  <c r="M234" i="5"/>
  <c r="N234" i="5"/>
  <c r="O234" i="5"/>
  <c r="P234" i="5"/>
  <c r="L235" i="5"/>
  <c r="M235" i="5"/>
  <c r="N235" i="5"/>
  <c r="O235" i="5"/>
  <c r="P235" i="5"/>
  <c r="L236" i="5"/>
  <c r="M236" i="5"/>
  <c r="N236" i="5"/>
  <c r="O236" i="5"/>
  <c r="P236" i="5"/>
  <c r="L231" i="5"/>
  <c r="M231" i="5"/>
  <c r="N231" i="5"/>
  <c r="O231" i="5"/>
  <c r="P231" i="5"/>
  <c r="P197" i="5"/>
  <c r="O197" i="5"/>
  <c r="N197" i="5"/>
  <c r="M197" i="5"/>
  <c r="L197" i="5"/>
  <c r="D197" i="5"/>
  <c r="F193" i="5"/>
  <c r="E193" i="5"/>
  <c r="D193" i="5"/>
  <c r="M18" i="5"/>
  <c r="N18" i="5"/>
  <c r="O18" i="5"/>
  <c r="P18" i="5"/>
  <c r="L18" i="5"/>
  <c r="L165" i="5"/>
  <c r="L15" i="5" s="1"/>
  <c r="F176" i="5"/>
  <c r="F175" i="5"/>
  <c r="D176" i="5"/>
  <c r="D175" i="5"/>
  <c r="P170" i="5"/>
  <c r="P55" i="5" s="1"/>
  <c r="O170" i="5"/>
  <c r="O55" i="5" s="1"/>
  <c r="N170" i="5"/>
  <c r="N55" i="5" s="1"/>
  <c r="M170" i="5"/>
  <c r="M55" i="5" s="1"/>
  <c r="L170" i="5"/>
  <c r="L55" i="5" s="1"/>
  <c r="D170" i="5"/>
  <c r="C116" i="5"/>
  <c r="C96" i="5"/>
  <c r="C79" i="5"/>
  <c r="C60" i="5"/>
  <c r="C54" i="5"/>
  <c r="C45" i="5"/>
  <c r="I112" i="5"/>
  <c r="I111" i="5"/>
  <c r="I103" i="5"/>
  <c r="I104" i="5"/>
  <c r="I99" i="5"/>
  <c r="I224" i="5" s="1"/>
  <c r="I98" i="5"/>
  <c r="I223" i="5" s="1"/>
  <c r="I97" i="5"/>
  <c r="I90" i="5"/>
  <c r="I87" i="5"/>
  <c r="I84" i="5"/>
  <c r="I221" i="5" s="1"/>
  <c r="I83" i="5"/>
  <c r="I220" i="5" s="1"/>
  <c r="I82" i="5"/>
  <c r="I219" i="5" s="1"/>
  <c r="I81" i="5"/>
  <c r="I218" i="5" s="1"/>
  <c r="I72" i="5"/>
  <c r="I67" i="5"/>
  <c r="I65" i="5"/>
  <c r="I63" i="5"/>
  <c r="I61" i="5"/>
  <c r="I57" i="5"/>
  <c r="I55" i="5"/>
  <c r="I49" i="5"/>
  <c r="I48" i="5"/>
  <c r="I47" i="5"/>
  <c r="I28" i="5"/>
  <c r="I27" i="5"/>
  <c r="I24" i="5"/>
  <c r="I21" i="5"/>
  <c r="I18" i="5"/>
  <c r="I15" i="5"/>
  <c r="I14" i="5"/>
  <c r="I215" i="5" s="1"/>
  <c r="I12" i="5"/>
  <c r="K12" i="5"/>
  <c r="K14" i="5"/>
  <c r="K215" i="5" s="1"/>
  <c r="K15" i="5"/>
  <c r="K18" i="5"/>
  <c r="K21" i="5"/>
  <c r="K24" i="5"/>
  <c r="K27" i="5"/>
  <c r="K28" i="5"/>
  <c r="K47" i="5"/>
  <c r="K48" i="5"/>
  <c r="K49" i="5"/>
  <c r="K55" i="5"/>
  <c r="K57" i="5"/>
  <c r="K61" i="5"/>
  <c r="K63" i="5"/>
  <c r="K65" i="5"/>
  <c r="K67" i="5"/>
  <c r="K81" i="5"/>
  <c r="K218" i="5" s="1"/>
  <c r="K82" i="5"/>
  <c r="K219" i="5" s="1"/>
  <c r="K83" i="5"/>
  <c r="K220" i="5" s="1"/>
  <c r="K84" i="5"/>
  <c r="K221" i="5" s="1"/>
  <c r="K87" i="5"/>
  <c r="K171" i="5" s="1"/>
  <c r="K90" i="5"/>
  <c r="L90" i="5" s="1"/>
  <c r="M90" i="5" s="1"/>
  <c r="N90" i="5" s="1"/>
  <c r="O90" i="5" s="1"/>
  <c r="P90" i="5" s="1"/>
  <c r="K97" i="5"/>
  <c r="K303" i="5" s="1"/>
  <c r="L301" i="5" s="1"/>
  <c r="K98" i="5"/>
  <c r="K223" i="5" s="1"/>
  <c r="K99" i="5"/>
  <c r="K224" i="5" s="1"/>
  <c r="K104" i="5"/>
  <c r="K103" i="5"/>
  <c r="K111" i="5"/>
  <c r="K112" i="5"/>
  <c r="K258" i="5" s="1"/>
  <c r="L255" i="5" s="1"/>
  <c r="J112" i="5"/>
  <c r="J111" i="5"/>
  <c r="J103" i="5"/>
  <c r="J104" i="5"/>
  <c r="J99" i="5"/>
  <c r="J224" i="5" s="1"/>
  <c r="J98" i="5"/>
  <c r="J223" i="5" s="1"/>
  <c r="J97" i="5"/>
  <c r="J90" i="5"/>
  <c r="J87" i="5"/>
  <c r="J84" i="5"/>
  <c r="J221" i="5" s="1"/>
  <c r="J83" i="5"/>
  <c r="J220" i="5" s="1"/>
  <c r="J82" i="5"/>
  <c r="J219" i="5" s="1"/>
  <c r="J81" i="5"/>
  <c r="J218" i="5" s="1"/>
  <c r="J67" i="5"/>
  <c r="J65" i="5"/>
  <c r="J63" i="5"/>
  <c r="J61" i="5"/>
  <c r="J57" i="5"/>
  <c r="J55" i="5"/>
  <c r="J49" i="5"/>
  <c r="J48" i="5"/>
  <c r="J47" i="5"/>
  <c r="J28" i="5"/>
  <c r="J27" i="5"/>
  <c r="J24" i="5"/>
  <c r="J21" i="5"/>
  <c r="J18" i="5"/>
  <c r="J15" i="5"/>
  <c r="J14" i="5"/>
  <c r="J215" i="5" s="1"/>
  <c r="J12" i="5"/>
  <c r="D97" i="5"/>
  <c r="D98" i="5"/>
  <c r="D99" i="5"/>
  <c r="D100" i="5"/>
  <c r="D104" i="5"/>
  <c r="D103" i="5"/>
  <c r="D106" i="5"/>
  <c r="D108" i="5"/>
  <c r="D111" i="5"/>
  <c r="D112" i="5"/>
  <c r="D114" i="5"/>
  <c r="D14" i="5"/>
  <c r="D15" i="5"/>
  <c r="D16" i="5"/>
  <c r="D18" i="5"/>
  <c r="D19" i="5"/>
  <c r="D73" i="6" s="1"/>
  <c r="D21" i="5"/>
  <c r="D22" i="5"/>
  <c r="D24" i="5"/>
  <c r="D25" i="5"/>
  <c r="D27" i="5"/>
  <c r="D203" i="5" s="1"/>
  <c r="D28" i="5"/>
  <c r="D204" i="5" s="1"/>
  <c r="D29" i="5"/>
  <c r="D31" i="5"/>
  <c r="D46" i="5"/>
  <c r="D47" i="5"/>
  <c r="D48" i="5"/>
  <c r="D49" i="5"/>
  <c r="D52" i="5"/>
  <c r="D292" i="5" s="1"/>
  <c r="D55" i="5"/>
  <c r="D57" i="5"/>
  <c r="D58" i="5"/>
  <c r="D293" i="5" s="1"/>
  <c r="D61" i="5"/>
  <c r="D63" i="5"/>
  <c r="D65" i="5"/>
  <c r="D67" i="5"/>
  <c r="D69" i="5"/>
  <c r="D71" i="5"/>
  <c r="D72" i="5"/>
  <c r="D73" i="5"/>
  <c r="D80" i="5"/>
  <c r="D81" i="5"/>
  <c r="D82" i="5"/>
  <c r="D83" i="5"/>
  <c r="D84" i="5"/>
  <c r="D85" i="5"/>
  <c r="D87" i="5"/>
  <c r="D90" i="5"/>
  <c r="D91" i="5"/>
  <c r="D93" i="5"/>
  <c r="D12" i="5"/>
  <c r="D70" i="6" s="1"/>
  <c r="L104" i="3"/>
  <c r="L264" i="5" s="1"/>
  <c r="M104" i="3"/>
  <c r="M264" i="5" s="1"/>
  <c r="N104" i="3"/>
  <c r="N264" i="5" s="1"/>
  <c r="O104" i="3"/>
  <c r="O264" i="5" s="1"/>
  <c r="P104" i="3"/>
  <c r="P264" i="5" s="1"/>
  <c r="L105" i="3"/>
  <c r="L265" i="5" s="1"/>
  <c r="M105" i="3"/>
  <c r="M265" i="5" s="1"/>
  <c r="N105" i="3"/>
  <c r="N265" i="5" s="1"/>
  <c r="O105" i="3"/>
  <c r="O265" i="5" s="1"/>
  <c r="P105" i="3"/>
  <c r="P265" i="5" s="1"/>
  <c r="M103" i="3"/>
  <c r="M263" i="5" s="1"/>
  <c r="N103" i="3"/>
  <c r="N263" i="5" s="1"/>
  <c r="O103" i="3"/>
  <c r="O263" i="5" s="1"/>
  <c r="P103" i="3"/>
  <c r="P263" i="5" s="1"/>
  <c r="L103" i="3"/>
  <c r="L263" i="5" s="1"/>
  <c r="D88" i="3"/>
  <c r="D90" i="3"/>
  <c r="J74" i="3"/>
  <c r="K74" i="3"/>
  <c r="I74" i="3"/>
  <c r="I114" i="5" l="1"/>
  <c r="J106" i="5"/>
  <c r="J69" i="5"/>
  <c r="K69" i="5"/>
  <c r="I69" i="5"/>
  <c r="J114" i="5"/>
  <c r="K242" i="5"/>
  <c r="L240" i="5" s="1"/>
  <c r="L242" i="5" s="1"/>
  <c r="M240" i="5" s="1"/>
  <c r="M242" i="5" s="1"/>
  <c r="K114" i="5"/>
  <c r="I106" i="5"/>
  <c r="K273" i="5"/>
  <c r="L271" i="5" s="1"/>
  <c r="L272" i="5" s="1"/>
  <c r="L63" i="5" s="1"/>
  <c r="L294" i="5" s="1"/>
  <c r="K106" i="5"/>
  <c r="I214" i="5"/>
  <c r="K214" i="5"/>
  <c r="J214" i="5"/>
  <c r="J70" i="6"/>
  <c r="I70" i="6"/>
  <c r="N58" i="5"/>
  <c r="N293" i="5" s="1"/>
  <c r="K70" i="6"/>
  <c r="L58" i="5"/>
  <c r="L293" i="5" s="1"/>
  <c r="M58" i="5"/>
  <c r="M293" i="5" s="1"/>
  <c r="O58" i="5"/>
  <c r="O293" i="5" s="1"/>
  <c r="P58" i="5"/>
  <c r="P293" i="5" s="1"/>
  <c r="I225" i="5"/>
  <c r="L204" i="5"/>
  <c r="L28" i="5" s="1"/>
  <c r="L48" i="5" s="1"/>
  <c r="L104" i="5" s="1"/>
  <c r="J222" i="5"/>
  <c r="I222" i="5"/>
  <c r="O204" i="5"/>
  <c r="O28" i="5" s="1"/>
  <c r="O48" i="5" s="1"/>
  <c r="P204" i="5"/>
  <c r="P28" i="5" s="1"/>
  <c r="M204" i="5"/>
  <c r="M28" i="5" s="1"/>
  <c r="M48" i="5" s="1"/>
  <c r="J225" i="5"/>
  <c r="N204" i="5"/>
  <c r="N28" i="5" s="1"/>
  <c r="K222" i="5"/>
  <c r="K225" i="5"/>
  <c r="J179" i="5" a="1"/>
  <c r="J179" i="5" s="1"/>
  <c r="O173" i="5"/>
  <c r="P173" i="5"/>
  <c r="M173" i="5"/>
  <c r="N173" i="5"/>
  <c r="L173" i="5"/>
  <c r="J91" i="5"/>
  <c r="K91" i="5"/>
  <c r="I100" i="5"/>
  <c r="K29" i="5"/>
  <c r="J100" i="5"/>
  <c r="K100" i="5"/>
  <c r="I91" i="5"/>
  <c r="J58" i="5"/>
  <c r="I58" i="5"/>
  <c r="J29" i="5"/>
  <c r="K58" i="5"/>
  <c r="K16" i="5"/>
  <c r="K19" i="5" s="1"/>
  <c r="K35" i="5" s="1"/>
  <c r="J16" i="5"/>
  <c r="J19" i="5" s="1"/>
  <c r="J35" i="5" s="1"/>
  <c r="I16" i="5"/>
  <c r="I19" i="5" s="1"/>
  <c r="I35" i="5" s="1"/>
  <c r="I29" i="5"/>
  <c r="L273" i="5" l="1"/>
  <c r="L275" i="5" s="1"/>
  <c r="L308" i="5" s="1"/>
  <c r="J71" i="6"/>
  <c r="K71" i="6"/>
  <c r="L111" i="5"/>
  <c r="M104" i="5"/>
  <c r="P48" i="5"/>
  <c r="N48" i="5"/>
  <c r="N240" i="5"/>
  <c r="N242" i="5" s="1"/>
  <c r="M111" i="5"/>
  <c r="J226" i="5"/>
  <c r="I226" i="5"/>
  <c r="K226" i="5"/>
  <c r="J181" i="5"/>
  <c r="J182" i="5"/>
  <c r="J183" i="5"/>
  <c r="J180" i="5"/>
  <c r="I108" i="5"/>
  <c r="I116" i="5" s="1"/>
  <c r="K108" i="5"/>
  <c r="K116" i="5" s="1"/>
  <c r="J108" i="5"/>
  <c r="J116" i="5" s="1"/>
  <c r="L103" i="5" l="1"/>
  <c r="M271" i="5"/>
  <c r="M272" i="5" s="1"/>
  <c r="M63" i="5" s="1"/>
  <c r="M294" i="5" s="1"/>
  <c r="K22" i="5"/>
  <c r="K25" i="5" s="1"/>
  <c r="K31" i="5" s="1"/>
  <c r="K38" i="5" s="1"/>
  <c r="K73" i="6"/>
  <c r="K75" i="6"/>
  <c r="J22" i="5"/>
  <c r="J25" i="5" s="1"/>
  <c r="J31" i="5" s="1"/>
  <c r="J38" i="5" s="1"/>
  <c r="J75" i="6"/>
  <c r="J73" i="6"/>
  <c r="I22" i="5"/>
  <c r="I25" i="5" s="1"/>
  <c r="I31" i="5" s="1"/>
  <c r="I38" i="5" s="1"/>
  <c r="I75" i="6"/>
  <c r="I73" i="6"/>
  <c r="J228" i="5"/>
  <c r="O240" i="5"/>
  <c r="O242" i="5" s="1"/>
  <c r="N111" i="5"/>
  <c r="N104" i="5"/>
  <c r="K228" i="5"/>
  <c r="M273" i="5" l="1"/>
  <c r="N271" i="5" s="1"/>
  <c r="N272" i="5" s="1"/>
  <c r="N63" i="5" s="1"/>
  <c r="N294" i="5" s="1"/>
  <c r="J74" i="6"/>
  <c r="K74" i="6"/>
  <c r="K37" i="5"/>
  <c r="K81" i="6" s="1"/>
  <c r="K77" i="6"/>
  <c r="J77" i="6"/>
  <c r="J37" i="5"/>
  <c r="J81" i="6" s="1"/>
  <c r="I37" i="5"/>
  <c r="I81" i="6" s="1"/>
  <c r="I77" i="6"/>
  <c r="P240" i="5"/>
  <c r="P242" i="5" s="1"/>
  <c r="P111" i="5" s="1"/>
  <c r="O111" i="5"/>
  <c r="O104" i="5"/>
  <c r="M275" i="5" l="1"/>
  <c r="M308" i="5" s="1"/>
  <c r="M103" i="5"/>
  <c r="N273" i="5"/>
  <c r="J79" i="6"/>
  <c r="J82" i="6"/>
  <c r="I82" i="6"/>
  <c r="I79" i="6"/>
  <c r="J78" i="6"/>
  <c r="K78" i="6"/>
  <c r="K79" i="6"/>
  <c r="K82" i="6"/>
  <c r="P104" i="5"/>
  <c r="N275" i="5" l="1"/>
  <c r="N308" i="5" s="1"/>
  <c r="N103" i="5"/>
  <c r="O271" i="5"/>
  <c r="O272" i="5" s="1"/>
  <c r="O63" i="5" s="1"/>
  <c r="O294" i="5" s="1"/>
  <c r="I82" i="3"/>
  <c r="I81" i="3"/>
  <c r="I80" i="3"/>
  <c r="I79" i="3"/>
  <c r="I78" i="3"/>
  <c r="I77" i="3"/>
  <c r="K77" i="3"/>
  <c r="K78" i="3"/>
  <c r="K79" i="3"/>
  <c r="K80" i="3"/>
  <c r="K81" i="3"/>
  <c r="K82" i="3"/>
  <c r="J82" i="3"/>
  <c r="J81" i="3"/>
  <c r="J80" i="3"/>
  <c r="J79" i="3"/>
  <c r="J78" i="3"/>
  <c r="J77" i="3"/>
  <c r="D81" i="3"/>
  <c r="D89" i="3" s="1"/>
  <c r="D78" i="3"/>
  <c r="D86" i="3" s="1"/>
  <c r="D79" i="3"/>
  <c r="D87" i="3" s="1"/>
  <c r="D77" i="3"/>
  <c r="D85" i="3" s="1"/>
  <c r="P33" i="4"/>
  <c r="O33" i="4"/>
  <c r="N33" i="4"/>
  <c r="M33" i="4"/>
  <c r="L33" i="4"/>
  <c r="P26" i="4"/>
  <c r="P39" i="3" s="1"/>
  <c r="P125" i="5" s="1"/>
  <c r="O26" i="4"/>
  <c r="O39" i="3" s="1"/>
  <c r="O125" i="5" s="1"/>
  <c r="N26" i="4"/>
  <c r="N39" i="3" s="1"/>
  <c r="N125" i="5" s="1"/>
  <c r="M26" i="4"/>
  <c r="M39" i="3" s="1"/>
  <c r="M125" i="5" s="1"/>
  <c r="L26" i="4"/>
  <c r="L39" i="3" s="1"/>
  <c r="L125" i="5" s="1"/>
  <c r="M19" i="4"/>
  <c r="M41" i="3" s="1"/>
  <c r="M126" i="5" s="1"/>
  <c r="M134" i="5" s="1"/>
  <c r="N19" i="4"/>
  <c r="N41" i="3" s="1"/>
  <c r="N126" i="5" s="1"/>
  <c r="N134" i="5" s="1"/>
  <c r="O19" i="4"/>
  <c r="O41" i="3" s="1"/>
  <c r="O126" i="5" s="1"/>
  <c r="O134" i="5" s="1"/>
  <c r="P19" i="4"/>
  <c r="P41" i="3" s="1"/>
  <c r="P126" i="5" s="1"/>
  <c r="P134" i="5" s="1"/>
  <c r="L19" i="4"/>
  <c r="L41" i="3" s="1"/>
  <c r="L126" i="5" s="1"/>
  <c r="L134" i="5" s="1"/>
  <c r="L135" i="5" s="1"/>
  <c r="D22" i="4"/>
  <c r="D21" i="4"/>
  <c r="D20" i="4"/>
  <c r="D11" i="4"/>
  <c r="K3" i="5" s="1"/>
  <c r="I6" i="6"/>
  <c r="B2" i="6"/>
  <c r="I6" i="5"/>
  <c r="B2" i="5"/>
  <c r="I6" i="4"/>
  <c r="B2" i="4"/>
  <c r="I6" i="3"/>
  <c r="I11" i="3" s="1"/>
  <c r="B2" i="3"/>
  <c r="L151" i="5" l="1"/>
  <c r="L155" i="5" s="1"/>
  <c r="L138" i="5"/>
  <c r="M135" i="5"/>
  <c r="L140" i="5"/>
  <c r="L130" i="5"/>
  <c r="M130" i="5" s="1"/>
  <c r="N130" i="5" s="1"/>
  <c r="O130" i="5" s="1"/>
  <c r="P130" i="5" s="1"/>
  <c r="O273" i="5"/>
  <c r="L130" i="3"/>
  <c r="L54" i="3"/>
  <c r="L152" i="5" s="1"/>
  <c r="N130" i="3"/>
  <c r="N54" i="3"/>
  <c r="N152" i="5" s="1"/>
  <c r="M130" i="3"/>
  <c r="M54" i="3"/>
  <c r="M152" i="5" s="1"/>
  <c r="O130" i="3"/>
  <c r="O54" i="3"/>
  <c r="O152" i="5" s="1"/>
  <c r="P130" i="3"/>
  <c r="P54" i="3"/>
  <c r="P152" i="5" s="1"/>
  <c r="I70" i="3"/>
  <c r="I90" i="3" s="1"/>
  <c r="I236" i="5" s="1"/>
  <c r="I211" i="5"/>
  <c r="K3" i="4"/>
  <c r="K3" i="3"/>
  <c r="K3" i="6"/>
  <c r="M140" i="5" l="1"/>
  <c r="L145" i="5"/>
  <c r="M151" i="5"/>
  <c r="M155" i="5" s="1"/>
  <c r="N135" i="5"/>
  <c r="M138" i="5"/>
  <c r="M144" i="5" s="1"/>
  <c r="L144" i="5"/>
  <c r="O103" i="5"/>
  <c r="O275" i="5"/>
  <c r="O308" i="5" s="1"/>
  <c r="P271" i="5"/>
  <c r="P272" i="5" s="1"/>
  <c r="P63" i="5" s="1"/>
  <c r="P294" i="5" s="1"/>
  <c r="L156" i="5"/>
  <c r="L157" i="5" s="1"/>
  <c r="L160" i="5"/>
  <c r="M160" i="5" s="1"/>
  <c r="N160" i="5" s="1"/>
  <c r="O160" i="5" s="1"/>
  <c r="P160" i="5" s="1"/>
  <c r="I87" i="3"/>
  <c r="I233" i="5" s="1"/>
  <c r="I86" i="3"/>
  <c r="I232" i="5" s="1"/>
  <c r="I88" i="3"/>
  <c r="I234" i="5" s="1"/>
  <c r="I89" i="3"/>
  <c r="I235" i="5" s="1"/>
  <c r="M165" i="5"/>
  <c r="L146" i="5" l="1"/>
  <c r="L12" i="5" s="1"/>
  <c r="L214" i="5" s="1"/>
  <c r="N151" i="5"/>
  <c r="N155" i="5" s="1"/>
  <c r="N138" i="5"/>
  <c r="N144" i="5" s="1"/>
  <c r="O135" i="5"/>
  <c r="N140" i="5"/>
  <c r="M145" i="5"/>
  <c r="M146" i="5" s="1"/>
  <c r="P273" i="5"/>
  <c r="M156" i="5"/>
  <c r="N156" i="5" s="1"/>
  <c r="L163" i="5"/>
  <c r="J6" i="6"/>
  <c r="J6" i="4"/>
  <c r="J6" i="3"/>
  <c r="J11" i="3" s="1"/>
  <c r="J6" i="5"/>
  <c r="M15" i="5"/>
  <c r="N165" i="5"/>
  <c r="I85" i="3"/>
  <c r="I231" i="5" s="1"/>
  <c r="L70" i="6" l="1"/>
  <c r="L71" i="6" s="1"/>
  <c r="O140" i="5"/>
  <c r="N145" i="5"/>
  <c r="N146" i="5" s="1"/>
  <c r="O151" i="5"/>
  <c r="O155" i="5" s="1"/>
  <c r="O138" i="5"/>
  <c r="O144" i="5" s="1"/>
  <c r="P135" i="5"/>
  <c r="P103" i="5"/>
  <c r="P275" i="5"/>
  <c r="P308" i="5" s="1"/>
  <c r="M157" i="5"/>
  <c r="M163" i="5" s="1"/>
  <c r="O156" i="5"/>
  <c r="N157" i="5"/>
  <c r="N163" i="5" s="1"/>
  <c r="J70" i="3"/>
  <c r="J85" i="3" s="1"/>
  <c r="J231" i="5" s="1"/>
  <c r="J211" i="5"/>
  <c r="L14" i="5"/>
  <c r="L215" i="5" s="1"/>
  <c r="M12" i="5"/>
  <c r="M214" i="5" s="1"/>
  <c r="O165" i="5"/>
  <c r="N15" i="5"/>
  <c r="P151" i="5" l="1"/>
  <c r="P155" i="5" s="1"/>
  <c r="P138" i="5"/>
  <c r="P144" i="5" s="1"/>
  <c r="P140" i="5"/>
  <c r="P145" i="5" s="1"/>
  <c r="O145" i="5"/>
  <c r="O146" i="5" s="1"/>
  <c r="P156" i="5"/>
  <c r="O157" i="5"/>
  <c r="O163" i="5" s="1"/>
  <c r="M14" i="5"/>
  <c r="M215" i="5" s="1"/>
  <c r="J87" i="3"/>
  <c r="J233" i="5" s="1"/>
  <c r="J88" i="3"/>
  <c r="J234" i="5" s="1"/>
  <c r="J90" i="3"/>
  <c r="J236" i="5" s="1"/>
  <c r="J89" i="3"/>
  <c r="J235" i="5" s="1"/>
  <c r="J86" i="3"/>
  <c r="J232" i="5" s="1"/>
  <c r="L16" i="5"/>
  <c r="M70" i="6"/>
  <c r="M71" i="6" s="1"/>
  <c r="P165" i="5"/>
  <c r="P15" i="5" s="1"/>
  <c r="O15" i="5"/>
  <c r="N12" i="5"/>
  <c r="N214" i="5" s="1"/>
  <c r="P157" i="5" l="1"/>
  <c r="P163" i="5" s="1"/>
  <c r="P146" i="5"/>
  <c r="P12" i="5" s="1"/>
  <c r="P214" i="5" s="1"/>
  <c r="L19" i="5"/>
  <c r="L35" i="5" s="1"/>
  <c r="L75" i="6" s="1"/>
  <c r="M16" i="5"/>
  <c r="M19" i="5" s="1"/>
  <c r="M35" i="5" s="1"/>
  <c r="N70" i="6"/>
  <c r="N71" i="6" s="1"/>
  <c r="N14" i="5"/>
  <c r="N215" i="5" s="1"/>
  <c r="O12" i="5"/>
  <c r="O214" i="5" s="1"/>
  <c r="P14" i="5" l="1"/>
  <c r="M73" i="6"/>
  <c r="I46" i="5"/>
  <c r="O14" i="5"/>
  <c r="O215" i="5" s="1"/>
  <c r="L73" i="6"/>
  <c r="L74" i="6" s="1"/>
  <c r="M75" i="6"/>
  <c r="P70" i="6"/>
  <c r="N16" i="5"/>
  <c r="N19" i="5" s="1"/>
  <c r="N35" i="5" s="1"/>
  <c r="O70" i="6"/>
  <c r="O71" i="6" s="1"/>
  <c r="I52" i="5" l="1"/>
  <c r="I71" i="5" s="1"/>
  <c r="O16" i="5"/>
  <c r="O19" i="5" s="1"/>
  <c r="O35" i="5" s="1"/>
  <c r="O75" i="6" s="1"/>
  <c r="M74" i="6"/>
  <c r="N73" i="6"/>
  <c r="N74" i="6" s="1"/>
  <c r="N75" i="6"/>
  <c r="P71" i="6"/>
  <c r="P16" i="5"/>
  <c r="P19" i="5" s="1"/>
  <c r="P35" i="5" s="1"/>
  <c r="P215" i="5"/>
  <c r="I73" i="5" l="1"/>
  <c r="J72" i="5"/>
  <c r="I80" i="5"/>
  <c r="I85" i="5" s="1"/>
  <c r="I93" i="5" s="1"/>
  <c r="O73" i="6"/>
  <c r="O74" i="6" s="1"/>
  <c r="K6" i="6"/>
  <c r="L6" i="6" s="1"/>
  <c r="M6" i="6" s="1"/>
  <c r="N6" i="6" s="1"/>
  <c r="O6" i="6" s="1"/>
  <c r="P6" i="6" s="1"/>
  <c r="I2" i="6" s="1"/>
  <c r="K6" i="4"/>
  <c r="L6" i="4" s="1"/>
  <c r="M6" i="4" s="1"/>
  <c r="N6" i="4" s="1"/>
  <c r="O6" i="4" s="1"/>
  <c r="P6" i="4" s="1"/>
  <c r="I2" i="4" s="1"/>
  <c r="K6" i="3"/>
  <c r="K6" i="5"/>
  <c r="L6" i="5" s="1"/>
  <c r="P75" i="6"/>
  <c r="P73" i="6"/>
  <c r="I40" i="5" l="1"/>
  <c r="I84" i="6" s="1"/>
  <c r="I118" i="5"/>
  <c r="I39" i="5"/>
  <c r="I83" i="6" s="1"/>
  <c r="P74" i="6"/>
  <c r="L178" i="5"/>
  <c r="M6" i="5"/>
  <c r="L6" i="3"/>
  <c r="K11" i="3"/>
  <c r="J46" i="5"/>
  <c r="B67" i="1"/>
  <c r="B30" i="1"/>
  <c r="J52" i="5" l="1"/>
  <c r="J71" i="5" s="1"/>
  <c r="K46" i="5"/>
  <c r="K70" i="3"/>
  <c r="K211" i="5"/>
  <c r="M6" i="3"/>
  <c r="L11" i="3"/>
  <c r="L211" i="5" s="1"/>
  <c r="M178" i="5"/>
  <c r="N6" i="5"/>
  <c r="K52" i="5" l="1"/>
  <c r="K71" i="5" s="1"/>
  <c r="O6" i="5"/>
  <c r="N178" i="5"/>
  <c r="N6" i="3"/>
  <c r="M11" i="3"/>
  <c r="M211" i="5" s="1"/>
  <c r="L218" i="5"/>
  <c r="L221" i="5"/>
  <c r="L84" i="5" s="1"/>
  <c r="L224" i="5"/>
  <c r="L99" i="5" s="1"/>
  <c r="L223" i="5"/>
  <c r="L220" i="5"/>
  <c r="L83" i="5" s="1"/>
  <c r="L219" i="5"/>
  <c r="L82" i="5" s="1"/>
  <c r="K90" i="3"/>
  <c r="K236" i="5" s="1"/>
  <c r="K86" i="3"/>
  <c r="K232" i="5" s="1"/>
  <c r="K88" i="3"/>
  <c r="K234" i="5" s="1"/>
  <c r="K89" i="3"/>
  <c r="K235" i="5" s="1"/>
  <c r="K87" i="3"/>
  <c r="K233" i="5" s="1"/>
  <c r="K85" i="3"/>
  <c r="K231" i="5" s="1"/>
  <c r="J80" i="5"/>
  <c r="J85" i="5" s="1"/>
  <c r="J93" i="5" s="1"/>
  <c r="J118" i="5" l="1"/>
  <c r="J40" i="5"/>
  <c r="J84" i="6" s="1"/>
  <c r="J39" i="5"/>
  <c r="J83" i="6" s="1"/>
  <c r="L81" i="5"/>
  <c r="L222" i="5"/>
  <c r="M220" i="5"/>
  <c r="M83" i="5" s="1"/>
  <c r="M219" i="5"/>
  <c r="M82" i="5" s="1"/>
  <c r="M224" i="5"/>
  <c r="M99" i="5" s="1"/>
  <c r="M221" i="5"/>
  <c r="M84" i="5" s="1"/>
  <c r="M223" i="5"/>
  <c r="M218" i="5"/>
  <c r="K72" i="5"/>
  <c r="J73" i="5"/>
  <c r="L98" i="5"/>
  <c r="L225" i="5"/>
  <c r="O6" i="3"/>
  <c r="N11" i="3"/>
  <c r="N211" i="5" s="1"/>
  <c r="O178" i="5"/>
  <c r="P6" i="5"/>
  <c r="M225" i="5" l="1"/>
  <c r="M98" i="5"/>
  <c r="M222" i="5"/>
  <c r="M81" i="5"/>
  <c r="P178" i="5"/>
  <c r="I2" i="5"/>
  <c r="N218" i="5"/>
  <c r="N224" i="5"/>
  <c r="N99" i="5" s="1"/>
  <c r="N220" i="5"/>
  <c r="N83" i="5" s="1"/>
  <c r="N221" i="5"/>
  <c r="N84" i="5" s="1"/>
  <c r="N219" i="5"/>
  <c r="N82" i="5" s="1"/>
  <c r="N223" i="5"/>
  <c r="L226" i="5"/>
  <c r="P6" i="3"/>
  <c r="O11" i="3"/>
  <c r="O211" i="5" s="1"/>
  <c r="K73" i="5" l="1"/>
  <c r="L72" i="5" s="1"/>
  <c r="M226" i="5"/>
  <c r="M228" i="5" s="1"/>
  <c r="M49" i="5" s="1"/>
  <c r="N98" i="5"/>
  <c r="N225" i="5"/>
  <c r="O223" i="5"/>
  <c r="O220" i="5"/>
  <c r="O83" i="5" s="1"/>
  <c r="O224" i="5"/>
  <c r="O99" i="5" s="1"/>
  <c r="O219" i="5"/>
  <c r="O82" i="5" s="1"/>
  <c r="O221" i="5"/>
  <c r="O84" i="5" s="1"/>
  <c r="O218" i="5"/>
  <c r="I179" i="5" a="1"/>
  <c r="N81" i="5"/>
  <c r="N222" i="5"/>
  <c r="P11" i="3"/>
  <c r="P211" i="5" s="1"/>
  <c r="I2" i="3"/>
  <c r="L228" i="5"/>
  <c r="L49" i="5" s="1"/>
  <c r="L106" i="5" l="1"/>
  <c r="N226" i="5"/>
  <c r="N228" i="5" s="1"/>
  <c r="N49" i="5" s="1"/>
  <c r="K80" i="5"/>
  <c r="I182" i="5"/>
  <c r="I181" i="5"/>
  <c r="I179" i="5"/>
  <c r="I180" i="5"/>
  <c r="I183" i="5"/>
  <c r="P183" i="5" s="1"/>
  <c r="O225" i="5"/>
  <c r="O98" i="5"/>
  <c r="O222" i="5"/>
  <c r="O81" i="5"/>
  <c r="P218" i="5"/>
  <c r="P219" i="5"/>
  <c r="P82" i="5" s="1"/>
  <c r="P223" i="5"/>
  <c r="P220" i="5"/>
  <c r="P83" i="5" s="1"/>
  <c r="P224" i="5"/>
  <c r="P99" i="5" s="1"/>
  <c r="P221" i="5"/>
  <c r="P84" i="5" s="1"/>
  <c r="M106" i="5" l="1"/>
  <c r="K287" i="5"/>
  <c r="L285" i="5" s="1"/>
  <c r="K85" i="5"/>
  <c r="K93" i="5" s="1"/>
  <c r="O226" i="5"/>
  <c r="O228" i="5" s="1"/>
  <c r="O49" i="5" s="1"/>
  <c r="P98" i="5"/>
  <c r="P225" i="5"/>
  <c r="M180" i="5"/>
  <c r="N180" i="5"/>
  <c r="O180" i="5"/>
  <c r="P180" i="5"/>
  <c r="L179" i="5"/>
  <c r="L185" i="5" s="1"/>
  <c r="L187" i="5" s="1"/>
  <c r="L21" i="5" s="1"/>
  <c r="M179" i="5"/>
  <c r="N179" i="5"/>
  <c r="O179" i="5"/>
  <c r="P179" i="5"/>
  <c r="P81" i="5"/>
  <c r="P222" i="5"/>
  <c r="N181" i="5"/>
  <c r="O181" i="5"/>
  <c r="P181" i="5"/>
  <c r="O182" i="5"/>
  <c r="P182" i="5"/>
  <c r="P226" i="5" l="1"/>
  <c r="P228" i="5" s="1"/>
  <c r="P49" i="5" s="1"/>
  <c r="N106" i="5"/>
  <c r="K40" i="5"/>
  <c r="K84" i="6" s="1"/>
  <c r="K39" i="5"/>
  <c r="K83" i="6" s="1"/>
  <c r="K118" i="5"/>
  <c r="M185" i="5"/>
  <c r="M187" i="5" s="1"/>
  <c r="M21" i="5" s="1"/>
  <c r="M47" i="5" s="1"/>
  <c r="L22" i="5"/>
  <c r="L47" i="5"/>
  <c r="L87" i="5" s="1"/>
  <c r="P185" i="5"/>
  <c r="P187" i="5" s="1"/>
  <c r="P21" i="5" s="1"/>
  <c r="O185" i="5"/>
  <c r="O187" i="5" s="1"/>
  <c r="O21" i="5" s="1"/>
  <c r="N185" i="5"/>
  <c r="N187" i="5" s="1"/>
  <c r="N21" i="5" s="1"/>
  <c r="P106" i="5" l="1"/>
  <c r="O106" i="5"/>
  <c r="M22" i="5"/>
  <c r="O22" i="5"/>
  <c r="O47" i="5"/>
  <c r="P22" i="5"/>
  <c r="P47" i="5"/>
  <c r="N22" i="5"/>
  <c r="N47" i="5"/>
  <c r="M87" i="5"/>
  <c r="L91" i="5"/>
  <c r="M91" i="5" l="1"/>
  <c r="N87" i="5"/>
  <c r="O87" i="5" l="1"/>
  <c r="N91" i="5"/>
  <c r="P87" i="5" l="1"/>
  <c r="P91" i="5" s="1"/>
  <c r="O91" i="5"/>
  <c r="I3" i="3"/>
  <c r="I3" i="5"/>
  <c r="L24" i="5"/>
  <c r="M24" i="5"/>
  <c r="N24" i="5"/>
  <c r="O24" i="5"/>
  <c r="P24" i="5"/>
  <c r="L25" i="5"/>
  <c r="M25" i="5"/>
  <c r="N25" i="5"/>
  <c r="O25" i="5"/>
  <c r="P25" i="5"/>
  <c r="L27" i="5"/>
  <c r="M27" i="5"/>
  <c r="N27" i="5"/>
  <c r="O27" i="5"/>
  <c r="P27" i="5"/>
  <c r="L29" i="5"/>
  <c r="M29" i="5"/>
  <c r="N29" i="5"/>
  <c r="O29" i="5"/>
  <c r="P29" i="5"/>
  <c r="L31" i="5"/>
  <c r="M31" i="5"/>
  <c r="N31" i="5"/>
  <c r="O31" i="5"/>
  <c r="P31" i="5"/>
  <c r="L33" i="5"/>
  <c r="M33" i="5"/>
  <c r="N33" i="5"/>
  <c r="O33" i="5"/>
  <c r="P33" i="5"/>
  <c r="L37" i="5"/>
  <c r="M37" i="5"/>
  <c r="N37" i="5"/>
  <c r="O37" i="5"/>
  <c r="P37" i="5"/>
  <c r="L38" i="5"/>
  <c r="M38" i="5"/>
  <c r="N38" i="5"/>
  <c r="O38" i="5"/>
  <c r="P38" i="5"/>
  <c r="L39" i="5"/>
  <c r="M39" i="5"/>
  <c r="N39" i="5"/>
  <c r="O39" i="5"/>
  <c r="P39" i="5"/>
  <c r="L40" i="5"/>
  <c r="M40" i="5"/>
  <c r="N40" i="5"/>
  <c r="O40" i="5"/>
  <c r="P40" i="5"/>
  <c r="L46" i="5"/>
  <c r="M46" i="5"/>
  <c r="N46" i="5"/>
  <c r="O46" i="5"/>
  <c r="P46" i="5"/>
  <c r="L52" i="5"/>
  <c r="M52" i="5"/>
  <c r="N52" i="5"/>
  <c r="O52" i="5"/>
  <c r="P52" i="5"/>
  <c r="L61" i="5"/>
  <c r="M61" i="5"/>
  <c r="N61" i="5"/>
  <c r="O61" i="5"/>
  <c r="P61" i="5"/>
  <c r="L67" i="5"/>
  <c r="M67" i="5"/>
  <c r="N67" i="5"/>
  <c r="O67" i="5"/>
  <c r="P67" i="5"/>
  <c r="L69" i="5"/>
  <c r="M69" i="5"/>
  <c r="N69" i="5"/>
  <c r="O69" i="5"/>
  <c r="P69" i="5"/>
  <c r="L71" i="5"/>
  <c r="M71" i="5"/>
  <c r="N71" i="5"/>
  <c r="O71" i="5"/>
  <c r="P71" i="5"/>
  <c r="M72" i="5"/>
  <c r="N72" i="5"/>
  <c r="O72" i="5"/>
  <c r="P72" i="5"/>
  <c r="L73" i="5"/>
  <c r="M73" i="5"/>
  <c r="N73" i="5"/>
  <c r="O73" i="5"/>
  <c r="P73" i="5"/>
  <c r="L80" i="5"/>
  <c r="M80" i="5"/>
  <c r="N80" i="5"/>
  <c r="O80" i="5"/>
  <c r="P80" i="5"/>
  <c r="L85" i="5"/>
  <c r="M85" i="5"/>
  <c r="N85" i="5"/>
  <c r="O85" i="5"/>
  <c r="P85" i="5"/>
  <c r="L93" i="5"/>
  <c r="M93" i="5"/>
  <c r="N93" i="5"/>
  <c r="O93" i="5"/>
  <c r="P93" i="5"/>
  <c r="L97" i="5"/>
  <c r="M97" i="5"/>
  <c r="N97" i="5"/>
  <c r="O97" i="5"/>
  <c r="P97" i="5"/>
  <c r="L100" i="5"/>
  <c r="M100" i="5"/>
  <c r="N100" i="5"/>
  <c r="O100" i="5"/>
  <c r="P100" i="5"/>
  <c r="L108" i="5"/>
  <c r="M108" i="5"/>
  <c r="N108" i="5"/>
  <c r="O108" i="5"/>
  <c r="P108" i="5"/>
  <c r="L112" i="5"/>
  <c r="M112" i="5"/>
  <c r="N112" i="5"/>
  <c r="O112" i="5"/>
  <c r="P112" i="5"/>
  <c r="L114" i="5"/>
  <c r="M114" i="5"/>
  <c r="N114" i="5"/>
  <c r="O114" i="5"/>
  <c r="P114" i="5"/>
  <c r="L116" i="5"/>
  <c r="M116" i="5"/>
  <c r="N116" i="5"/>
  <c r="O116" i="5"/>
  <c r="P116" i="5"/>
  <c r="F118" i="5"/>
  <c r="L118" i="5"/>
  <c r="M118" i="5"/>
  <c r="N118" i="5"/>
  <c r="O118" i="5"/>
  <c r="P118" i="5"/>
  <c r="L196" i="5"/>
  <c r="M196" i="5"/>
  <c r="N196" i="5"/>
  <c r="O196" i="5"/>
  <c r="P196" i="5"/>
  <c r="L198" i="5"/>
  <c r="M198" i="5"/>
  <c r="N198" i="5"/>
  <c r="O198" i="5"/>
  <c r="P198" i="5"/>
  <c r="L200" i="5"/>
  <c r="M200" i="5"/>
  <c r="N200" i="5"/>
  <c r="O200" i="5"/>
  <c r="P200" i="5"/>
  <c r="L203" i="5"/>
  <c r="M203" i="5"/>
  <c r="N203" i="5"/>
  <c r="O203" i="5"/>
  <c r="P203" i="5"/>
  <c r="L205" i="5"/>
  <c r="M205" i="5"/>
  <c r="N205" i="5"/>
  <c r="O205" i="5"/>
  <c r="P205" i="5"/>
  <c r="L206" i="5"/>
  <c r="M206" i="5"/>
  <c r="N206" i="5"/>
  <c r="O206" i="5"/>
  <c r="P206" i="5"/>
  <c r="M255" i="5"/>
  <c r="N255" i="5"/>
  <c r="O255" i="5"/>
  <c r="P255" i="5"/>
  <c r="L256" i="5"/>
  <c r="M256" i="5"/>
  <c r="N256" i="5"/>
  <c r="O256" i="5"/>
  <c r="P256" i="5"/>
  <c r="L257" i="5"/>
  <c r="M257" i="5"/>
  <c r="N257" i="5"/>
  <c r="O257" i="5"/>
  <c r="P257" i="5"/>
  <c r="L258" i="5"/>
  <c r="M258" i="5"/>
  <c r="N258" i="5"/>
  <c r="O258" i="5"/>
  <c r="P258" i="5"/>
  <c r="M285" i="5"/>
  <c r="N285" i="5"/>
  <c r="O285" i="5"/>
  <c r="P285" i="5"/>
  <c r="L286" i="5"/>
  <c r="M286" i="5"/>
  <c r="N286" i="5"/>
  <c r="O286" i="5"/>
  <c r="P286" i="5"/>
  <c r="L287" i="5"/>
  <c r="M287" i="5"/>
  <c r="N287" i="5"/>
  <c r="O287" i="5"/>
  <c r="P287" i="5"/>
  <c r="L289" i="5"/>
  <c r="M289" i="5"/>
  <c r="N289" i="5"/>
  <c r="O289" i="5"/>
  <c r="P289" i="5"/>
  <c r="L292" i="5"/>
  <c r="M292" i="5"/>
  <c r="N292" i="5"/>
  <c r="O292" i="5"/>
  <c r="P292" i="5"/>
  <c r="L297" i="5"/>
  <c r="M297" i="5"/>
  <c r="N297" i="5"/>
  <c r="O297" i="5"/>
  <c r="P297" i="5"/>
  <c r="L298" i="5"/>
  <c r="M298" i="5"/>
  <c r="N298" i="5"/>
  <c r="O298" i="5"/>
  <c r="P298" i="5"/>
  <c r="M301" i="5"/>
  <c r="N301" i="5"/>
  <c r="O301" i="5"/>
  <c r="P301" i="5"/>
  <c r="L302" i="5"/>
  <c r="M302" i="5"/>
  <c r="N302" i="5"/>
  <c r="O302" i="5"/>
  <c r="P302" i="5"/>
  <c r="L303" i="5"/>
  <c r="M303" i="5"/>
  <c r="N303" i="5"/>
  <c r="O303" i="5"/>
  <c r="P303" i="5"/>
  <c r="L305" i="5"/>
  <c r="M305" i="5"/>
  <c r="N305" i="5"/>
  <c r="O305" i="5"/>
  <c r="P305" i="5"/>
  <c r="L310" i="5"/>
  <c r="M310" i="5"/>
  <c r="N310" i="5"/>
  <c r="O310" i="5"/>
  <c r="P310" i="5"/>
  <c r="L311" i="5"/>
  <c r="M311" i="5"/>
  <c r="N311" i="5"/>
  <c r="O311" i="5"/>
  <c r="P311" i="5"/>
  <c r="L312" i="5"/>
  <c r="M312" i="5"/>
  <c r="N312" i="5"/>
  <c r="O312" i="5"/>
  <c r="P312" i="5"/>
  <c r="I3" i="4"/>
  <c r="I3" i="6"/>
  <c r="L77" i="6"/>
  <c r="M77" i="6"/>
  <c r="N77" i="6"/>
  <c r="O77" i="6"/>
  <c r="P77" i="6"/>
  <c r="L78" i="6"/>
  <c r="M78" i="6"/>
  <c r="N78" i="6"/>
  <c r="O78" i="6"/>
  <c r="P78" i="6"/>
  <c r="L79" i="6"/>
  <c r="M79" i="6"/>
  <c r="N79" i="6"/>
  <c r="O79" i="6"/>
  <c r="P79" i="6"/>
  <c r="L81" i="6"/>
  <c r="M81" i="6"/>
  <c r="N81" i="6"/>
  <c r="O81" i="6"/>
  <c r="P81" i="6"/>
  <c r="L82" i="6"/>
  <c r="M82" i="6"/>
  <c r="N82" i="6"/>
  <c r="O82" i="6"/>
  <c r="P82" i="6"/>
  <c r="L83" i="6"/>
  <c r="M83" i="6"/>
  <c r="N83" i="6"/>
  <c r="O83" i="6"/>
  <c r="P83" i="6"/>
  <c r="L84" i="6"/>
  <c r="M84" i="6"/>
  <c r="N84" i="6"/>
  <c r="O84" i="6"/>
  <c r="P84" i="6"/>
</calcChain>
</file>

<file path=xl/sharedStrings.xml><?xml version="1.0" encoding="utf-8"?>
<sst xmlns="http://schemas.openxmlformats.org/spreadsheetml/2006/main" count="708" uniqueCount="245">
  <si>
    <t>Income Statement</t>
  </si>
  <si>
    <t>Cost of Sales</t>
  </si>
  <si>
    <t>SG&amp;A</t>
  </si>
  <si>
    <t>Total Costs</t>
  </si>
  <si>
    <t>EBITDA</t>
  </si>
  <si>
    <t>Depreciation</t>
  </si>
  <si>
    <t>EBIT</t>
  </si>
  <si>
    <t>Interest Expense</t>
  </si>
  <si>
    <t>EBT</t>
  </si>
  <si>
    <t>Current Taxes</t>
  </si>
  <si>
    <t>Deferred Income Taxes</t>
  </si>
  <si>
    <t>Total Income Taxes</t>
  </si>
  <si>
    <t>Net Income</t>
  </si>
  <si>
    <t>Net Income to Common</t>
  </si>
  <si>
    <t>Cash Flow Statement</t>
  </si>
  <si>
    <t>Operating Activities</t>
  </si>
  <si>
    <t>Changes in Working Capital</t>
  </si>
  <si>
    <t>Operating Cash Flow</t>
  </si>
  <si>
    <t>Investing Activities</t>
  </si>
  <si>
    <t>CAPEX</t>
  </si>
  <si>
    <t>Investing Cash Flow</t>
  </si>
  <si>
    <t>Financing Activities</t>
  </si>
  <si>
    <t>Revolver Issuance / (Repayment)</t>
  </si>
  <si>
    <t>Common Shares Issuance/ (Buy-Back)</t>
  </si>
  <si>
    <t>Common Dividends</t>
  </si>
  <si>
    <t>Financing Cash Flow</t>
  </si>
  <si>
    <t>Balance Sheet</t>
  </si>
  <si>
    <t>ASSETS</t>
  </si>
  <si>
    <t>Accounts Receivable</t>
  </si>
  <si>
    <t>Inventory</t>
  </si>
  <si>
    <t>Other</t>
  </si>
  <si>
    <t>Total Current Assets</t>
  </si>
  <si>
    <t>Net PP&amp;E</t>
  </si>
  <si>
    <t>Total Long Term Assets</t>
  </si>
  <si>
    <t>Total Assets</t>
  </si>
  <si>
    <t>LIABILITIES AND EQUITY</t>
  </si>
  <si>
    <t>Bank Debt - Revolver</t>
  </si>
  <si>
    <t>Accounts Payable</t>
  </si>
  <si>
    <t>Total Current Liabilities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</si>
  <si>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</si>
  <si>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</si>
  <si>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</si>
  <si>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</si>
  <si>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</si>
  <si>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</si>
  <si>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Change in Cash Position</t>
  </si>
  <si>
    <t>Beginning Cash</t>
  </si>
  <si>
    <t>Ending Cash</t>
  </si>
  <si>
    <t>Cash and Equivalents</t>
  </si>
  <si>
    <t>Gross Revenue</t>
  </si>
  <si>
    <t>Prepaid Expenses</t>
  </si>
  <si>
    <t>Cost Adjustments - Gain/(Loss)</t>
  </si>
  <si>
    <t>($ Millions)</t>
  </si>
  <si>
    <t>Modeller</t>
  </si>
  <si>
    <t>Version</t>
  </si>
  <si>
    <t>Ver 1.01</t>
  </si>
  <si>
    <t>Actual</t>
  </si>
  <si>
    <t>Forecast</t>
  </si>
  <si>
    <t>Summary</t>
  </si>
  <si>
    <t>Inputs &amp; Assumptions</t>
  </si>
  <si>
    <t>Scenario Analysis</t>
  </si>
  <si>
    <t>Model &amp; Schedules</t>
  </si>
  <si>
    <t>General Assumptions</t>
  </si>
  <si>
    <t>Days in the Year</t>
  </si>
  <si>
    <t>Style Guide</t>
  </si>
  <si>
    <t>Number</t>
  </si>
  <si>
    <t>Input</t>
  </si>
  <si>
    <t>Percent</t>
  </si>
  <si>
    <t>Multiples</t>
  </si>
  <si>
    <t>Linked Cell</t>
  </si>
  <si>
    <t>Units</t>
  </si>
  <si>
    <t>Headings 1</t>
  </si>
  <si>
    <t>Headings 2</t>
  </si>
  <si>
    <t>Headings 3</t>
  </si>
  <si>
    <t>Inputs</t>
  </si>
  <si>
    <t>Scenario Used</t>
  </si>
  <si>
    <t>Base Case</t>
  </si>
  <si>
    <t>Best Case</t>
  </si>
  <si>
    <t>Worst Case</t>
  </si>
  <si>
    <t>Used in the Model</t>
  </si>
  <si>
    <t>Cost Inflation Scenario</t>
  </si>
  <si>
    <t>Text</t>
  </si>
  <si>
    <t>TEXT</t>
  </si>
  <si>
    <t>Revenue Assumptions</t>
  </si>
  <si>
    <t>%</t>
  </si>
  <si>
    <t>Production Cost Assumptions</t>
  </si>
  <si>
    <t>SG&amp; A</t>
  </si>
  <si>
    <t>Capex &amp; Depreciation Assumptions</t>
  </si>
  <si>
    <t>SMM</t>
  </si>
  <si>
    <t>Depreciation Method</t>
  </si>
  <si>
    <t>Straight Line</t>
  </si>
  <si>
    <t>Useful Life of Assets</t>
  </si>
  <si>
    <t>Capex</t>
  </si>
  <si>
    <t>Additions</t>
  </si>
  <si>
    <t>New Assets</t>
  </si>
  <si>
    <t>Remaining Assets</t>
  </si>
  <si>
    <t>Years</t>
  </si>
  <si>
    <t>Working Capital Assumptions</t>
  </si>
  <si>
    <t>Balances</t>
  </si>
  <si>
    <t>Net Sales</t>
  </si>
  <si>
    <t>Other Assets</t>
  </si>
  <si>
    <t>Other Liabilities</t>
  </si>
  <si>
    <t>Days</t>
  </si>
  <si>
    <t>Extract from Financials</t>
  </si>
  <si>
    <t>Taxation Assumptions</t>
  </si>
  <si>
    <t>Company Tax Rate</t>
  </si>
  <si>
    <t>Reduction in EBT due to timing Diff</t>
  </si>
  <si>
    <t>Debt &amp; Interest Rate Assumptions</t>
  </si>
  <si>
    <t>Interest rates</t>
  </si>
  <si>
    <t>Excess Cash</t>
  </si>
  <si>
    <t>Revolver</t>
  </si>
  <si>
    <t>Company will draw on Revolver if it needs to through a cash sweep</t>
  </si>
  <si>
    <t>Equity Assumptions</t>
  </si>
  <si>
    <t>Stock Price</t>
  </si>
  <si>
    <t>Other Assumptions</t>
  </si>
  <si>
    <t>Cost inflation</t>
  </si>
  <si>
    <t>FINANCIAL STATEMENTS</t>
  </si>
  <si>
    <t>EBITA Margin</t>
  </si>
  <si>
    <t>Net Profit Margin</t>
  </si>
  <si>
    <t>ROE</t>
  </si>
  <si>
    <t>Asset Turnover</t>
  </si>
  <si>
    <t>Financial Leverage</t>
  </si>
  <si>
    <t>Dupont Analysis</t>
  </si>
  <si>
    <t>Accuracy Check</t>
  </si>
  <si>
    <t>SCHEDULES &amp; CALCULATIONS</t>
  </si>
  <si>
    <t>Revenue Schedule</t>
  </si>
  <si>
    <t>Sales Volume</t>
  </si>
  <si>
    <t>Sales Price</t>
  </si>
  <si>
    <t>Revenue</t>
  </si>
  <si>
    <t>units</t>
  </si>
  <si>
    <t>Cost of Production Schedule</t>
  </si>
  <si>
    <t>Total Cost of Sales</t>
  </si>
  <si>
    <t>Fixed Cost</t>
  </si>
  <si>
    <t>Variable Cost</t>
  </si>
  <si>
    <t>Total Fixed Cost</t>
  </si>
  <si>
    <t>Capex &amp; Depreciation Schedule</t>
  </si>
  <si>
    <t>Depreciation on Existing Assets</t>
  </si>
  <si>
    <t>Existing Assets NBV</t>
  </si>
  <si>
    <t>Depreciation Schedule for New Assets</t>
  </si>
  <si>
    <t>Depreciation on New Assets</t>
  </si>
  <si>
    <t>Total Depreciation for the Year</t>
  </si>
  <si>
    <t>Taxation Calculations</t>
  </si>
  <si>
    <t>EBT: Accounting</t>
  </si>
  <si>
    <t>EBT: Government</t>
  </si>
  <si>
    <t>Accounting Tax</t>
  </si>
  <si>
    <t>Check</t>
  </si>
  <si>
    <t>Working Capital Schedule</t>
  </si>
  <si>
    <t>Operating Working Capital</t>
  </si>
  <si>
    <t>Assets</t>
  </si>
  <si>
    <t>Liabilities</t>
  </si>
  <si>
    <t>OWC</t>
  </si>
  <si>
    <t>Change in OWC</t>
  </si>
  <si>
    <t>Equity Schedules</t>
  </si>
  <si>
    <t>Beginning Balance</t>
  </si>
  <si>
    <t>Ending Balance</t>
  </si>
  <si>
    <t>New Issue / (Buy Back)</t>
  </si>
  <si>
    <t>Net Profit</t>
  </si>
  <si>
    <t>Dividends</t>
  </si>
  <si>
    <t>Debt &amp; Interest Calculations</t>
  </si>
  <si>
    <t>Interest Rates on</t>
  </si>
  <si>
    <t>Repayment</t>
  </si>
  <si>
    <t>Cash Generated in the Year</t>
  </si>
  <si>
    <t>FCF after all Mandatory Debt &amp; Dividends</t>
  </si>
  <si>
    <t>New issue of Revolver / (Repayment)</t>
  </si>
  <si>
    <t>Interest Expense on Revolver</t>
  </si>
  <si>
    <t>Summary of Interest Expense</t>
  </si>
  <si>
    <t>Interest Income on Excess Cash</t>
  </si>
  <si>
    <t>Circularity in Model</t>
  </si>
  <si>
    <t>Interest Expense Line of the P&amp;L</t>
  </si>
  <si>
    <t>Net Interest Expense</t>
  </si>
  <si>
    <t>Growth Rate</t>
  </si>
  <si>
    <t>times</t>
  </si>
  <si>
    <t>Trend</t>
  </si>
  <si>
    <t>Analysis Based on : Base Case Scenario</t>
  </si>
  <si>
    <t>Analysis Based on : Best Case Scenario</t>
  </si>
  <si>
    <t>Analysis Based on : Worst Case Scenario</t>
  </si>
  <si>
    <t>Summary Generator:</t>
  </si>
  <si>
    <t>Variable Rate Long Term Debt Issuance / (Repayment)</t>
  </si>
  <si>
    <t>Preference Shares Issuance/ (Buy-Back)</t>
  </si>
  <si>
    <t>Fixed Rate Long Term Debt Issuance / (Repayment)</t>
  </si>
  <si>
    <t>Preference Dividends</t>
  </si>
  <si>
    <t>Goodwill</t>
  </si>
  <si>
    <t>Intangibles</t>
  </si>
  <si>
    <t>Variable Rate Long Term Debt</t>
  </si>
  <si>
    <t>Fixed Rate Long Term Debt</t>
  </si>
  <si>
    <t>Preference Shares</t>
  </si>
  <si>
    <t>Millions</t>
  </si>
  <si>
    <t>Constant</t>
  </si>
  <si>
    <t>Number of Warehouses</t>
  </si>
  <si>
    <t>Total Lettable Space</t>
  </si>
  <si>
    <t>sqm</t>
  </si>
  <si>
    <t>Square Meters per Store</t>
  </si>
  <si>
    <t>Total Revenue</t>
  </si>
  <si>
    <t>Auxillary Revenue</t>
  </si>
  <si>
    <t>Core Revenue</t>
  </si>
  <si>
    <t>Sales Price per sqm</t>
  </si>
  <si>
    <t>Increase in Sales Price per sqm</t>
  </si>
  <si>
    <t>Additional Warehouses</t>
  </si>
  <si>
    <t>Variable cost per Warehouse</t>
  </si>
  <si>
    <t>Amortisation on Fixed Senior secured Debt</t>
  </si>
  <si>
    <t>Amortisation on Variable Senior secured Debt</t>
  </si>
  <si>
    <t>NIBOR</t>
  </si>
  <si>
    <t>Fixed Rate Senior Secured Debt</t>
  </si>
  <si>
    <t>Debt Repayment</t>
  </si>
  <si>
    <t>Common Share Issuance / (Buy-Back)</t>
  </si>
  <si>
    <t>Preference Share Issuance / (Buy-Back)</t>
  </si>
  <si>
    <t>Other Financing Activities</t>
  </si>
  <si>
    <t>Sales Price inflation Rate</t>
  </si>
  <si>
    <t>New Warehouses</t>
  </si>
  <si>
    <t>Gross Sales Price per sqm</t>
  </si>
  <si>
    <t>Warehouses Forecast</t>
  </si>
  <si>
    <t>Square Meters per store</t>
  </si>
  <si>
    <t>Total Lettable Space in Sqm</t>
  </si>
  <si>
    <t>Core Revenue Assumptions</t>
  </si>
  <si>
    <t>Dividend Pay-out Ratio</t>
  </si>
  <si>
    <t>Auxiliary Revenue</t>
  </si>
  <si>
    <t>Warehouse Forecast</t>
  </si>
  <si>
    <t>Total Variable Cost</t>
  </si>
  <si>
    <t>Common Shares Outstanding</t>
  </si>
  <si>
    <t>Preference Shares Outstanding</t>
  </si>
  <si>
    <t>Preference Dividend Rate</t>
  </si>
  <si>
    <t>Premium on Variable Rate Term Debt</t>
  </si>
  <si>
    <t>Fixed Rate Term Debt</t>
  </si>
  <si>
    <t>Variable Rate Term Debt</t>
  </si>
  <si>
    <t>All-in Interest Rate for Variable Rate Debt</t>
  </si>
  <si>
    <t>Mandatory Debt Repayment</t>
  </si>
  <si>
    <t>Interest Expense on Fixed Rate Debt</t>
  </si>
  <si>
    <t>Interest Expense on Variable Rate Debt</t>
  </si>
  <si>
    <t>Change in Intangible Assets: Additions / (Reduction)</t>
  </si>
  <si>
    <t>Change in Other Investing Activities: Additions / (Reduction)</t>
  </si>
  <si>
    <t>Change in Other Financing Activities: Additions / (Reduction)</t>
  </si>
  <si>
    <t>Change in Other Operating Activities: Additions / (Reduction)</t>
  </si>
  <si>
    <t>Change in Other Equity: Additions / (Reduction)</t>
  </si>
  <si>
    <t>Sales Price Inflation Scenarios</t>
  </si>
  <si>
    <t>Additional Warehouses Scenarios</t>
  </si>
  <si>
    <t>Intangible Assets</t>
  </si>
  <si>
    <t>Change in Goodwill: Addition / (impairement)</t>
  </si>
  <si>
    <t>Goodwiill Addition/(Impairement)</t>
  </si>
  <si>
    <t>Financial Model for 2025 to 2029</t>
  </si>
  <si>
    <t>Veritas Dwellings</t>
  </si>
  <si>
    <t>$'m</t>
  </si>
  <si>
    <t>$</t>
  </si>
  <si>
    <t>$/sqm</t>
  </si>
  <si>
    <t>Share Issuance / (Buyback)</t>
  </si>
  <si>
    <t>Animashaun Jafar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</si>
</sst>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0\A"/>
    <numFmt numFmtId="170" formatCode="#,##0.0_);\(#,##0.0\)"/>
    <numFmt numFmtId="171" formatCode="#,##0.000_);\(#,##0.000\)"/>
    <numFmt numFmtId="172" formatCode="_(* #,##0.0_);_(* \(#,##0.0\);_(* &quot;-&quot;??_);_(@_)"/>
    <numFmt numFmtId="173" formatCode="_-* #,##0_-;\-* #,##0_-;_-* &quot;-&quot;??_-;_-@_-"/>
    <numFmt numFmtId="174" formatCode="\F0\A"/>
    <numFmt numFmtId="175" formatCode="#,##0.0"/>
    <numFmt numFmtId="176" formatCode="#,##0.0;\-#,##0.0"/>
    <numFmt numFmtId="177" formatCode="#,##0.0000_);\(#,##0.0000\)"/>
    <numFmt numFmtId="178" formatCode="0\F"/>
    <numFmt numFmtId="179" formatCode="#,##0.0_);[Red]\(#,##0.0\)"/>
    <numFmt numFmtId="180" formatCode="0.0%"/>
    <numFmt numFmtId="181" formatCode="\+0.0%;\-0.0%"/>
    <numFmt numFmtId="182" formatCode="_([$$-409]* #,##0.00_);_([$$-409]* \(#,##0.00\);_([$$-409]* &quot;-&quot;??_);_(@_)"/>
    <numFmt numFmtId="183" formatCode="#,##0.0_);[Red]\(#,##0.0\);\-"/>
    <numFmt numFmtId="184" formatCode="0.0\x"/>
    <numFmt numFmtId="185" formatCode="#,##0.0000000000000000_);[Red]\(#,##0.0000000000000000\)"/>
  </numFmts>
  <fonts count="29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color indexed="12"/>
      <name val="Times New Roman"/>
      <family val="1"/>
    </font>
    <font>
      <sz val="10"/>
      <color rgb="FF0000FF"/>
      <name val="Times New Roman"/>
      <family val="1"/>
    </font>
    <font>
      <b/>
      <sz val="10"/>
      <color indexed="12"/>
      <name val="Times New Roman"/>
      <family val="1"/>
    </font>
    <font>
      <b/>
      <i/>
      <sz val="10"/>
      <name val="Times New Roman"/>
      <family val="1"/>
    </font>
    <font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5"/>
      <name val="Arial"/>
      <family val="2"/>
    </font>
    <font>
      <b/>
      <sz val="10"/>
      <color theme="5"/>
      <name val="Arial"/>
      <family val="2"/>
    </font>
    <font>
      <b/>
      <u/>
      <sz val="10"/>
      <name val="Arial"/>
      <family val="2"/>
    </font>
    <font>
      <sz val="10"/>
      <color theme="3"/>
      <name val="Arial"/>
      <family val="2"/>
    </font>
    <font>
      <sz val="10"/>
      <color rgb="FF1F497D"/>
      <name val="Arial"/>
      <family val="2"/>
    </font>
    <font>
      <sz val="9"/>
      <color theme="0" tint="-0.499984740745262"/>
      <name val="Arial"/>
      <family val="2"/>
    </font>
    <font>
      <b/>
      <sz val="9"/>
      <color theme="0" tint="-0.499984740745262"/>
      <name val="Arial"/>
      <family val="2"/>
    </font>
    <font>
      <i/>
      <sz val="9"/>
      <color theme="0" tint="-0.499984740745262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8">
    <xf numFmtId="179" fontId="0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2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5" fontId="5" fillId="0" borderId="6">
      <protection locked="0"/>
    </xf>
    <xf numFmtId="0" fontId="4" fillId="0" borderId="7" applyNumberFormat="0" applyFont="0" applyFill="0" applyAlignment="0" applyProtection="0"/>
    <xf numFmtId="0" fontId="6" fillId="0" borderId="0" applyNumberFormat="0" applyFill="0" applyBorder="0" applyAlignment="0" applyProtection="0"/>
    <xf numFmtId="173" fontId="3" fillId="0" borderId="0" applyNumberFormat="0" applyFill="0" applyBorder="0" applyAlignment="0" applyProtection="0"/>
    <xf numFmtId="0" fontId="4" fillId="0" borderId="5" applyNumberFormat="0" applyFont="0" applyFill="0" applyAlignment="0" applyProtection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1" fillId="3" borderId="0" applyNumberFormat="0" applyFont="0" applyBorder="0" applyAlignment="0" applyProtection="0"/>
    <xf numFmtId="179" fontId="22" fillId="4" borderId="5" applyNumberFormat="0" applyAlignment="0">
      <protection locked="0"/>
    </xf>
    <xf numFmtId="179" fontId="24" fillId="0" borderId="0" applyNumberFormat="0" applyFill="0" applyBorder="0" applyAlignment="0" applyProtection="0"/>
    <xf numFmtId="179" fontId="1" fillId="0" borderId="14" applyNumberFormat="0" applyFont="0" applyFill="0" applyAlignment="0" applyProtection="0"/>
    <xf numFmtId="18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57">
    <xf numFmtId="179" fontId="0" fillId="0" borderId="0" xfId="0"/>
    <xf numFmtId="179" fontId="2" fillId="0" borderId="0" xfId="0" applyFont="1" applyProtection="1"/>
    <xf numFmtId="168" fontId="2" fillId="0" borderId="0" xfId="1" applyNumberFormat="1" applyFont="1" applyBorder="1" applyProtection="1"/>
    <xf numFmtId="179" fontId="7" fillId="0" borderId="0" xfId="0" applyFont="1" applyBorder="1" applyAlignment="1" applyProtection="1">
      <alignment horizontal="left"/>
    </xf>
    <xf numFmtId="179" fontId="7" fillId="0" borderId="0" xfId="0" applyFont="1" applyAlignment="1" applyProtection="1">
      <alignment horizontal="centerContinuous"/>
    </xf>
    <xf numFmtId="179" fontId="8" fillId="0" borderId="0" xfId="0" applyFont="1" applyBorder="1" applyAlignment="1" applyProtection="1">
      <alignment horizontal="left"/>
    </xf>
    <xf numFmtId="179" fontId="8" fillId="0" borderId="0" xfId="0" applyFont="1" applyBorder="1" applyAlignment="1" applyProtection="1">
      <alignment horizontal="centerContinuous"/>
    </xf>
    <xf numFmtId="179" fontId="8" fillId="0" borderId="1" xfId="0" applyFont="1" applyBorder="1" applyAlignment="1" applyProtection="1">
      <alignment horizontal="centerContinuous"/>
    </xf>
    <xf numFmtId="179" fontId="9" fillId="0" borderId="0" xfId="0" quotePrefix="1" applyFont="1" applyProtection="1"/>
    <xf numFmtId="179" fontId="10" fillId="0" borderId="0" xfId="0" applyFont="1" applyBorder="1" applyAlignment="1" applyProtection="1">
      <alignment horizontal="centerContinuous"/>
    </xf>
    <xf numFmtId="179" fontId="11" fillId="0" borderId="0" xfId="0" applyFont="1" applyBorder="1" applyProtection="1"/>
    <xf numFmtId="174" fontId="11" fillId="0" borderId="0" xfId="0" quotePrefix="1" applyNumberFormat="1" applyFont="1" applyBorder="1" applyAlignment="1" applyProtection="1">
      <alignment horizontal="right"/>
    </xf>
    <xf numFmtId="179" fontId="2" fillId="0" borderId="0" xfId="0" applyFont="1" applyBorder="1" applyProtection="1"/>
    <xf numFmtId="179" fontId="10" fillId="0" borderId="0" xfId="0" applyFont="1" applyBorder="1" applyProtection="1"/>
    <xf numFmtId="179" fontId="11" fillId="0" borderId="0" xfId="0" applyFont="1" applyFill="1" applyBorder="1" applyProtection="1"/>
    <xf numFmtId="170" fontId="12" fillId="0" borderId="0" xfId="1" applyNumberFormat="1" applyFont="1" applyFill="1" applyBorder="1" applyAlignment="1" applyProtection="1">
      <alignment horizontal="right"/>
      <protection locked="0"/>
    </xf>
    <xf numFmtId="170" fontId="12" fillId="0" borderId="2" xfId="1" applyNumberFormat="1" applyFont="1" applyFill="1" applyBorder="1" applyAlignment="1" applyProtection="1">
      <alignment horizontal="right"/>
      <protection locked="0"/>
    </xf>
    <xf numFmtId="179" fontId="10" fillId="0" borderId="0" xfId="0" applyFont="1" applyProtection="1"/>
    <xf numFmtId="179" fontId="12" fillId="0" borderId="0" xfId="0" applyFont="1" applyAlignment="1" applyProtection="1">
      <alignment horizontal="center"/>
    </xf>
    <xf numFmtId="179" fontId="2" fillId="0" borderId="0" xfId="0" quotePrefix="1" applyFont="1" applyBorder="1" applyAlignment="1" applyProtection="1">
      <alignment horizontal="left"/>
    </xf>
    <xf numFmtId="179" fontId="10" fillId="0" borderId="0" xfId="0" quotePrefix="1" applyFont="1" applyAlignment="1" applyProtection="1">
      <alignment horizontal="left"/>
    </xf>
    <xf numFmtId="170" fontId="10" fillId="0" borderId="0" xfId="1" applyNumberFormat="1" applyFont="1" applyFill="1" applyBorder="1" applyAlignment="1" applyProtection="1">
      <alignment horizontal="right"/>
    </xf>
    <xf numFmtId="179" fontId="2" fillId="0" borderId="0" xfId="0" quotePrefix="1" applyFont="1" applyAlignment="1" applyProtection="1">
      <alignment horizontal="left"/>
    </xf>
    <xf numFmtId="170" fontId="10" fillId="0" borderId="0" xfId="1" applyNumberFormat="1" applyFont="1" applyFill="1" applyBorder="1" applyProtection="1"/>
    <xf numFmtId="179" fontId="2" fillId="0" borderId="0" xfId="0" applyFont="1" applyFill="1" applyProtection="1"/>
    <xf numFmtId="170" fontId="12" fillId="0" borderId="2" xfId="1" applyNumberFormat="1" applyFont="1" applyFill="1" applyBorder="1" applyProtection="1">
      <protection locked="0"/>
    </xf>
    <xf numFmtId="179" fontId="2" fillId="0" borderId="0" xfId="0" applyFont="1" applyFill="1" applyAlignment="1" applyProtection="1">
      <alignment horizontal="left"/>
    </xf>
    <xf numFmtId="179" fontId="10" fillId="0" borderId="0" xfId="0" applyFont="1" applyAlignment="1" applyProtection="1">
      <alignment horizontal="left"/>
    </xf>
    <xf numFmtId="170" fontId="12" fillId="0" borderId="0" xfId="1" applyNumberFormat="1" applyFont="1" applyFill="1" applyBorder="1" applyProtection="1">
      <protection locked="0"/>
    </xf>
    <xf numFmtId="164" fontId="10" fillId="0" borderId="0" xfId="0" quotePrefix="1" applyNumberFormat="1" applyFont="1" applyBorder="1" applyAlignment="1" applyProtection="1">
      <alignment horizontal="left"/>
    </xf>
    <xf numFmtId="170" fontId="10" fillId="0" borderId="0" xfId="1" applyNumberFormat="1" applyFont="1" applyBorder="1" applyAlignment="1" applyProtection="1">
      <alignment horizontal="right"/>
    </xf>
    <xf numFmtId="179" fontId="2" fillId="0" borderId="2" xfId="0" applyFont="1" applyBorder="1" applyProtection="1"/>
    <xf numFmtId="179" fontId="2" fillId="0" borderId="0" xfId="0" applyFont="1" applyAlignment="1" applyProtection="1">
      <alignment horizontal="centerContinuous"/>
    </xf>
    <xf numFmtId="179" fontId="2" fillId="0" borderId="0" xfId="0" applyFont="1" applyBorder="1" applyAlignment="1" applyProtection="1">
      <alignment horizontal="centerContinuous"/>
    </xf>
    <xf numFmtId="179" fontId="2" fillId="0" borderId="1" xfId="0" applyFont="1" applyBorder="1" applyAlignment="1" applyProtection="1">
      <alignment horizontal="centerContinuous"/>
    </xf>
    <xf numFmtId="179" fontId="9" fillId="0" borderId="0" xfId="0" quotePrefix="1" applyFont="1" applyAlignment="1" applyProtection="1">
      <alignment horizontal="left"/>
    </xf>
    <xf numFmtId="169" fontId="11" fillId="0" borderId="0" xfId="0" applyNumberFormat="1" applyFont="1" applyAlignment="1" applyProtection="1">
      <alignment horizontal="right"/>
    </xf>
    <xf numFmtId="37" fontId="2" fillId="0" borderId="0" xfId="1" applyNumberFormat="1" applyFont="1" applyProtection="1"/>
    <xf numFmtId="170" fontId="13" fillId="0" borderId="0" xfId="1" applyNumberFormat="1" applyFont="1" applyFill="1" applyProtection="1">
      <protection locked="0"/>
    </xf>
    <xf numFmtId="37" fontId="12" fillId="0" borderId="0" xfId="1" applyNumberFormat="1" applyFont="1" applyBorder="1" applyProtection="1"/>
    <xf numFmtId="170" fontId="13" fillId="0" borderId="2" xfId="1" applyNumberFormat="1" applyFont="1" applyFill="1" applyBorder="1" applyAlignment="1" applyProtection="1">
      <alignment horizontal="right"/>
      <protection locked="0"/>
    </xf>
    <xf numFmtId="37" fontId="10" fillId="0" borderId="0" xfId="1" applyNumberFormat="1" applyFont="1" applyBorder="1" applyProtection="1"/>
    <xf numFmtId="170" fontId="10" fillId="0" borderId="0" xfId="1" applyNumberFormat="1" applyFont="1" applyFill="1" applyProtection="1">
      <protection locked="0"/>
    </xf>
    <xf numFmtId="170" fontId="12" fillId="0" borderId="0" xfId="1" applyNumberFormat="1" applyFont="1" applyFill="1" applyProtection="1">
      <protection locked="0"/>
    </xf>
    <xf numFmtId="37" fontId="2" fillId="0" borderId="0" xfId="1" applyNumberFormat="1" applyFont="1" applyBorder="1" applyProtection="1"/>
    <xf numFmtId="37" fontId="2" fillId="0" borderId="0" xfId="1" applyNumberFormat="1" applyFont="1" applyFill="1" applyBorder="1" applyProtection="1"/>
    <xf numFmtId="179" fontId="10" fillId="0" borderId="0" xfId="0" applyFont="1" applyFill="1" applyProtection="1"/>
    <xf numFmtId="179" fontId="10" fillId="0" borderId="0" xfId="0" applyFont="1" applyFill="1" applyAlignment="1" applyProtection="1">
      <alignment horizontal="left"/>
    </xf>
    <xf numFmtId="37" fontId="10" fillId="0" borderId="0" xfId="1" applyNumberFormat="1" applyFont="1" applyFill="1" applyBorder="1" applyProtection="1"/>
    <xf numFmtId="170" fontId="14" fillId="2" borderId="0" xfId="1" applyNumberFormat="1" applyFont="1" applyFill="1" applyProtection="1">
      <protection locked="0"/>
    </xf>
    <xf numFmtId="170" fontId="10" fillId="2" borderId="0" xfId="1" applyNumberFormat="1" applyFont="1" applyFill="1" applyProtection="1">
      <protection locked="0"/>
    </xf>
    <xf numFmtId="170" fontId="2" fillId="0" borderId="0" xfId="1" applyNumberFormat="1" applyFont="1" applyFill="1" applyProtection="1"/>
    <xf numFmtId="170" fontId="2" fillId="0" borderId="2" xfId="1" applyNumberFormat="1" applyFont="1" applyFill="1" applyBorder="1" applyProtection="1"/>
    <xf numFmtId="170" fontId="10" fillId="0" borderId="0" xfId="1" applyNumberFormat="1" applyFont="1" applyFill="1" applyProtection="1"/>
    <xf numFmtId="179" fontId="15" fillId="0" borderId="0" xfId="0" applyFont="1" applyBorder="1" applyAlignment="1" applyProtection="1">
      <alignment horizontal="centerContinuous"/>
    </xf>
    <xf numFmtId="179" fontId="9" fillId="0" borderId="0" xfId="0" applyFont="1" applyAlignment="1" applyProtection="1">
      <alignment horizontal="left"/>
    </xf>
    <xf numFmtId="175" fontId="2" fillId="0" borderId="0" xfId="0" applyNumberFormat="1" applyFont="1" applyBorder="1" applyProtection="1"/>
    <xf numFmtId="37" fontId="12" fillId="0" borderId="0" xfId="1" applyNumberFormat="1" applyFont="1" applyFill="1" applyBorder="1" applyProtection="1"/>
    <xf numFmtId="179" fontId="2" fillId="0" borderId="0" xfId="0" applyFont="1" applyAlignment="1" applyProtection="1">
      <alignment horizontal="left"/>
    </xf>
    <xf numFmtId="37" fontId="2" fillId="0" borderId="0" xfId="1" applyNumberFormat="1" applyFont="1" applyFill="1" applyProtection="1"/>
    <xf numFmtId="170" fontId="2" fillId="0" borderId="4" xfId="1" applyNumberFormat="1" applyFont="1" applyFill="1" applyBorder="1" applyProtection="1"/>
    <xf numFmtId="170" fontId="13" fillId="0" borderId="0" xfId="1" applyNumberFormat="1" applyFont="1" applyFill="1" applyBorder="1" applyProtection="1">
      <protection locked="0"/>
    </xf>
    <xf numFmtId="170" fontId="2" fillId="0" borderId="0" xfId="1" applyNumberFormat="1" applyFont="1" applyFill="1" applyBorder="1" applyProtection="1"/>
    <xf numFmtId="176" fontId="2" fillId="0" borderId="0" xfId="1" applyNumberFormat="1" applyFont="1" applyProtection="1"/>
    <xf numFmtId="177" fontId="2" fillId="0" borderId="0" xfId="0" applyNumberFormat="1" applyFont="1" applyFill="1" applyProtection="1"/>
    <xf numFmtId="172" fontId="2" fillId="0" borderId="0" xfId="1" applyNumberFormat="1" applyFont="1" applyBorder="1" applyProtection="1"/>
    <xf numFmtId="172" fontId="2" fillId="0" borderId="0" xfId="1" applyNumberFormat="1" applyFont="1" applyFill="1" applyBorder="1" applyProtection="1"/>
    <xf numFmtId="179" fontId="9" fillId="0" borderId="2" xfId="0" quotePrefix="1" applyFont="1" applyBorder="1" applyAlignment="1" applyProtection="1">
      <alignment horizontal="left"/>
    </xf>
    <xf numFmtId="179" fontId="2" fillId="0" borderId="2" xfId="0" applyFont="1" applyFill="1" applyBorder="1" applyProtection="1"/>
    <xf numFmtId="171" fontId="12" fillId="0" borderId="0" xfId="1" applyNumberFormat="1" applyFont="1" applyBorder="1" applyProtection="1"/>
    <xf numFmtId="179" fontId="16" fillId="0" borderId="0" xfId="0" applyFont="1"/>
    <xf numFmtId="179" fontId="17" fillId="0" borderId="0" xfId="0" applyFont="1"/>
    <xf numFmtId="179" fontId="0" fillId="0" borderId="0" xfId="0" applyAlignment="1">
      <alignment horizontal="right"/>
    </xf>
    <xf numFmtId="0" fontId="0" fillId="3" borderId="0" xfId="12" applyFont="1"/>
    <xf numFmtId="0" fontId="18" fillId="3" borderId="0" xfId="12" applyFont="1"/>
    <xf numFmtId="169" fontId="17" fillId="0" borderId="0" xfId="0" applyNumberFormat="1" applyFont="1"/>
    <xf numFmtId="178" fontId="17" fillId="0" borderId="0" xfId="0" applyNumberFormat="1" applyFont="1"/>
    <xf numFmtId="0" fontId="1" fillId="3" borderId="0" xfId="12" applyFont="1" applyAlignment="1">
      <alignment horizontal="centerContinuous"/>
    </xf>
    <xf numFmtId="179" fontId="17" fillId="0" borderId="1" xfId="0" applyFont="1" applyBorder="1"/>
    <xf numFmtId="0" fontId="0" fillId="0" borderId="0" xfId="0" applyNumberFormat="1"/>
    <xf numFmtId="179" fontId="21" fillId="0" borderId="0" xfId="0" applyFont="1"/>
    <xf numFmtId="179" fontId="17" fillId="0" borderId="7" xfId="0" applyFont="1" applyBorder="1"/>
    <xf numFmtId="179" fontId="22" fillId="4" borderId="5" xfId="13">
      <protection locked="0"/>
    </xf>
    <xf numFmtId="179" fontId="17" fillId="0" borderId="10" xfId="0" applyFont="1" applyBorder="1"/>
    <xf numFmtId="179" fontId="0" fillId="0" borderId="11" xfId="0" applyBorder="1"/>
    <xf numFmtId="179" fontId="0" fillId="0" borderId="12" xfId="0" applyBorder="1"/>
    <xf numFmtId="180" fontId="0" fillId="0" borderId="0" xfId="11" applyFont="1"/>
    <xf numFmtId="181" fontId="0" fillId="0" borderId="0" xfId="11" applyNumberFormat="1" applyFont="1"/>
    <xf numFmtId="40" fontId="0" fillId="0" borderId="0" xfId="0" applyNumberFormat="1"/>
    <xf numFmtId="180" fontId="23" fillId="5" borderId="5" xfId="11" applyFont="1" applyFill="1" applyBorder="1" applyProtection="1">
      <protection locked="0"/>
    </xf>
    <xf numFmtId="180" fontId="17" fillId="0" borderId="0" xfId="11" applyFont="1"/>
    <xf numFmtId="179" fontId="24" fillId="0" borderId="0" xfId="14"/>
    <xf numFmtId="179" fontId="0" fillId="0" borderId="14" xfId="15" applyFont="1"/>
    <xf numFmtId="180" fontId="0" fillId="0" borderId="14" xfId="15" applyNumberFormat="1" applyFont="1"/>
    <xf numFmtId="179" fontId="0" fillId="0" borderId="8" xfId="0" applyBorder="1"/>
    <xf numFmtId="179" fontId="0" fillId="0" borderId="15" xfId="0" applyBorder="1"/>
    <xf numFmtId="179" fontId="0" fillId="0" borderId="9" xfId="0" applyBorder="1"/>
    <xf numFmtId="180" fontId="22" fillId="4" borderId="5" xfId="13" applyNumberFormat="1">
      <protection locked="0"/>
    </xf>
    <xf numFmtId="182" fontId="22" fillId="4" borderId="5" xfId="13" applyNumberFormat="1">
      <protection locked="0"/>
    </xf>
    <xf numFmtId="180" fontId="0" fillId="0" borderId="14" xfId="11" applyFont="1" applyBorder="1"/>
    <xf numFmtId="179" fontId="17" fillId="0" borderId="0" xfId="0" applyFont="1" applyBorder="1"/>
    <xf numFmtId="179" fontId="17" fillId="0" borderId="14" xfId="15" applyFont="1"/>
    <xf numFmtId="179" fontId="0" fillId="0" borderId="16" xfId="0" applyBorder="1"/>
    <xf numFmtId="179" fontId="0" fillId="0" borderId="4" xfId="0" applyBorder="1"/>
    <xf numFmtId="179" fontId="0" fillId="0" borderId="17" xfId="0" applyBorder="1"/>
    <xf numFmtId="179" fontId="0" fillId="0" borderId="18" xfId="0" applyBorder="1"/>
    <xf numFmtId="179" fontId="0" fillId="0" borderId="0" xfId="0" applyBorder="1"/>
    <xf numFmtId="179" fontId="0" fillId="0" borderId="19" xfId="0" applyBorder="1"/>
    <xf numFmtId="179" fontId="0" fillId="0" borderId="20" xfId="0" applyBorder="1"/>
    <xf numFmtId="179" fontId="0" fillId="0" borderId="2" xfId="0" applyBorder="1"/>
    <xf numFmtId="179" fontId="0" fillId="0" borderId="0" xfId="0" applyFont="1"/>
    <xf numFmtId="179" fontId="24" fillId="0" borderId="4" xfId="14" applyBorder="1"/>
    <xf numFmtId="179" fontId="24" fillId="0" borderId="0" xfId="14" applyBorder="1"/>
    <xf numFmtId="179" fontId="17" fillId="0" borderId="8" xfId="0" applyFont="1" applyBorder="1"/>
    <xf numFmtId="179" fontId="17" fillId="0" borderId="15" xfId="0" applyFont="1" applyBorder="1"/>
    <xf numFmtId="179" fontId="17" fillId="0" borderId="9" xfId="0" applyFont="1" applyBorder="1"/>
    <xf numFmtId="0" fontId="17" fillId="0" borderId="0" xfId="0" applyNumberFormat="1" applyFont="1"/>
    <xf numFmtId="179" fontId="0" fillId="0" borderId="10" xfId="0" applyBorder="1"/>
    <xf numFmtId="179" fontId="21" fillId="0" borderId="0" xfId="0" applyFont="1" applyAlignment="1">
      <alignment horizontal="right"/>
    </xf>
    <xf numFmtId="179" fontId="24" fillId="0" borderId="15" xfId="14" applyBorder="1"/>
    <xf numFmtId="183" fontId="0" fillId="0" borderId="0" xfId="0" applyNumberFormat="1"/>
    <xf numFmtId="179" fontId="0" fillId="0" borderId="13" xfId="0" applyBorder="1"/>
    <xf numFmtId="179" fontId="24" fillId="0" borderId="2" xfId="14" applyBorder="1"/>
    <xf numFmtId="179" fontId="25" fillId="0" borderId="0" xfId="14" applyFont="1"/>
    <xf numFmtId="179" fontId="25" fillId="0" borderId="15" xfId="14" applyFont="1" applyBorder="1"/>
    <xf numFmtId="179" fontId="0" fillId="0" borderId="1" xfId="0" applyFont="1" applyBorder="1"/>
    <xf numFmtId="179" fontId="0" fillId="0" borderId="0" xfId="0" applyFont="1" applyBorder="1"/>
    <xf numFmtId="184" fontId="0" fillId="0" borderId="0" xfId="16" applyFont="1"/>
    <xf numFmtId="179" fontId="20" fillId="0" borderId="0" xfId="0" applyFont="1"/>
    <xf numFmtId="179" fontId="26" fillId="0" borderId="4" xfId="14" applyFont="1" applyBorder="1"/>
    <xf numFmtId="179" fontId="26" fillId="0" borderId="0" xfId="14" applyFont="1" applyBorder="1"/>
    <xf numFmtId="179" fontId="26" fillId="0" borderId="2" xfId="14" applyFont="1" applyBorder="1"/>
    <xf numFmtId="179" fontId="27" fillId="0" borderId="16" xfId="0" applyFont="1" applyBorder="1"/>
    <xf numFmtId="179" fontId="27" fillId="0" borderId="4" xfId="0" applyFont="1" applyBorder="1"/>
    <xf numFmtId="180" fontId="27" fillId="0" borderId="4" xfId="11" applyFont="1" applyBorder="1"/>
    <xf numFmtId="180" fontId="27" fillId="0" borderId="17" xfId="11" applyFont="1" applyBorder="1"/>
    <xf numFmtId="179" fontId="28" fillId="0" borderId="18" xfId="0" applyFont="1" applyBorder="1"/>
    <xf numFmtId="179" fontId="27" fillId="0" borderId="0" xfId="0" applyFont="1" applyBorder="1"/>
    <xf numFmtId="179" fontId="27" fillId="0" borderId="19" xfId="0" applyFont="1" applyBorder="1"/>
    <xf numFmtId="179" fontId="27" fillId="0" borderId="18" xfId="0" applyFont="1" applyBorder="1"/>
    <xf numFmtId="180" fontId="27" fillId="0" borderId="0" xfId="11" applyFont="1" applyBorder="1"/>
    <xf numFmtId="180" fontId="27" fillId="0" borderId="19" xfId="11" applyFont="1" applyBorder="1"/>
    <xf numFmtId="184" fontId="27" fillId="0" borderId="0" xfId="16" applyFont="1" applyBorder="1"/>
    <xf numFmtId="184" fontId="27" fillId="0" borderId="19" xfId="16" applyFont="1" applyBorder="1"/>
    <xf numFmtId="179" fontId="27" fillId="0" borderId="20" xfId="0" applyFont="1" applyBorder="1"/>
    <xf numFmtId="179" fontId="27" fillId="0" borderId="2" xfId="0" applyFont="1" applyBorder="1"/>
    <xf numFmtId="184" fontId="27" fillId="0" borderId="2" xfId="16" applyFont="1" applyBorder="1"/>
    <xf numFmtId="184" fontId="27" fillId="0" borderId="13" xfId="16" applyFont="1" applyBorder="1"/>
    <xf numFmtId="179" fontId="17" fillId="0" borderId="20" xfId="0" applyFont="1" applyBorder="1"/>
    <xf numFmtId="179" fontId="25" fillId="0" borderId="2" xfId="14" applyFont="1" applyBorder="1"/>
    <xf numFmtId="179" fontId="17" fillId="0" borderId="2" xfId="0" applyFont="1" applyBorder="1"/>
    <xf numFmtId="179" fontId="17" fillId="0" borderId="13" xfId="0" applyFont="1" applyBorder="1"/>
    <xf numFmtId="179" fontId="0" fillId="0" borderId="3" xfId="0" applyBorder="1"/>
    <xf numFmtId="185" fontId="0" fillId="0" borderId="0" xfId="0" applyNumberFormat="1"/>
    <xf numFmtId="4" fontId="10" fillId="0" borderId="3" xfId="17" applyNumberFormat="1" applyFont="1" applyFill="1" applyBorder="1" applyProtection="1"/>
    <xf numFmtId="179" fontId="19" fillId="0" borderId="8" xfId="0" applyFont="1" applyBorder="1" applyAlignment="1">
      <alignment horizontal="center"/>
    </xf>
    <xf numFmtId="179" fontId="19" fillId="0" borderId="9" xfId="0" applyFont="1" applyBorder="1" applyAlignment="1">
      <alignment horizontal="center"/>
    </xf>
  </cellXfs>
  <cellStyles count="18">
    <cellStyle name="Across" xfId="2" xr:uid="{00000000-0005-0000-0000-000000000000}"/>
    <cellStyle name="Banner" xfId="12" xr:uid="{9A61CD71-8D8D-483C-AA68-6EC4F81DC1BF}"/>
    <cellStyle name="Bottom" xfId="3" xr:uid="{00000000-0005-0000-0000-000001000000}"/>
    <cellStyle name="Center" xfId="4" xr:uid="{00000000-0005-0000-0000-000002000000}"/>
    <cellStyle name="Comma" xfId="1" builtinId="3"/>
    <cellStyle name="Currency" xfId="17" builtinId="4"/>
    <cellStyle name="Currency [2]" xfId="5" xr:uid="{00000000-0005-0000-0000-000004000000}"/>
    <cellStyle name="Double" xfId="6" xr:uid="{00000000-0005-0000-0000-000005000000}"/>
    <cellStyle name="Inp" xfId="13" xr:uid="{A3B706F9-7AB5-48AA-935A-9027829630FB}"/>
    <cellStyle name="Linked" xfId="15" xr:uid="{A08EE38E-C955-44B2-A435-EFE6B34B05C6}"/>
    <cellStyle name="Multiples" xfId="16" xr:uid="{896ED714-8DC9-48B3-B6BD-FEE4B055DCFD}"/>
    <cellStyle name="Normal" xfId="0" builtinId="0" customBuiltin="1"/>
    <cellStyle name="Numbers" xfId="7" xr:uid="{00000000-0005-0000-0000-000007000000}"/>
    <cellStyle name="Numbers - Bold - Italic" xfId="8" xr:uid="{00000000-0005-0000-0000-000008000000}"/>
    <cellStyle name="Outline" xfId="9" xr:uid="{00000000-0005-0000-0000-000009000000}"/>
    <cellStyle name="Percent" xfId="11" builtinId="5" customBuiltin="1"/>
    <cellStyle name="Percent 2" xfId="10" xr:uid="{00000000-0005-0000-0000-00000B000000}"/>
    <cellStyle name="Units" xfId="14" xr:uid="{F425C19E-C161-40D6-94DE-80A7307555EA}"/>
  </cellStyles>
  <dxfs count="4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86E7CC19-B2AF-41B2-A4C9-EBE9E415E25A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1" fmlaLink="S_Scenarios" fmlaRange="L_Scenarios" noThreeD="1" sel="1" val="0"/>
</file>

<file path=xl/ctrlProps/ctrlProp2.xml><?xml version="1.0" encoding="utf-8"?>
<formControlPr xmlns="http://schemas.microsoft.com/office/spreadsheetml/2009/9/main" objectType="Drop" dropStyle="combo" dx="31" fmlaLink="S_Scenarios" fmlaRange="L_Scenarios" noThreeD="1" sel="1" val="0"/>
</file>

<file path=xl/ctrlProps/ctrlProp3.xml><?xml version="1.0" encoding="utf-8"?>
<formControlPr xmlns="http://schemas.microsoft.com/office/spreadsheetml/2009/9/main" objectType="Drop" dropStyle="combo" dx="31" fmlaLink="S_Scenarios" fmlaRange="L_Scenarios" noThreeD="1" sel="1" val="0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48893</xdr:rowOff>
    </xdr:to>
    <xdr:sp macro="" textlink="">
      <xdr:nvSpPr>
        <xdr:cNvPr id="2" name="Drop Down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819400" y="49065180"/>
          <a:ext cx="929640" cy="220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48893</xdr:rowOff>
    </xdr:to>
    <xdr:sp macro="" textlink="">
      <xdr:nvSpPr>
        <xdr:cNvPr id="3" name="Drop Down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819400" y="49065180"/>
          <a:ext cx="929640" cy="220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48893</xdr:rowOff>
    </xdr:to>
    <xdr:sp macro="" textlink="">
      <xdr:nvSpPr>
        <xdr:cNvPr id="4" name="Drop Down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819400" y="49065180"/>
          <a:ext cx="929640" cy="220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48893</xdr:rowOff>
    </xdr:to>
    <xdr:sp macro="" textlink="">
      <xdr:nvSpPr>
        <xdr:cNvPr id="5" name="Drop Down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819400" y="49065180"/>
          <a:ext cx="929640" cy="220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48893</xdr:rowOff>
    </xdr:to>
    <xdr:sp macro="" textlink="">
      <xdr:nvSpPr>
        <xdr:cNvPr id="6" name="Drop Down 2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819400" y="49065180"/>
          <a:ext cx="929640" cy="220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48893</xdr:rowOff>
    </xdr:to>
    <xdr:sp macro="" textlink="">
      <xdr:nvSpPr>
        <xdr:cNvPr id="7" name="Drop Down 1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819400" y="49065180"/>
          <a:ext cx="929640" cy="220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48893</xdr:rowOff>
    </xdr:to>
    <xdr:sp macro="" textlink="">
      <xdr:nvSpPr>
        <xdr:cNvPr id="8" name="Drop Down -1022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819400" y="49065180"/>
          <a:ext cx="929640" cy="220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47134</xdr:rowOff>
    </xdr:to>
    <xdr:sp macro="" textlink="">
      <xdr:nvSpPr>
        <xdr:cNvPr id="9" name="Drop Down 1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2819400" y="57332880"/>
          <a:ext cx="929640" cy="21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47134</xdr:rowOff>
    </xdr:to>
    <xdr:sp macro="" textlink="">
      <xdr:nvSpPr>
        <xdr:cNvPr id="10" name="Drop Down 1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2819400" y="57332880"/>
          <a:ext cx="929640" cy="21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47134</xdr:rowOff>
    </xdr:to>
    <xdr:sp macro="" textlink="">
      <xdr:nvSpPr>
        <xdr:cNvPr id="11" name="Drop Down 1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2819400" y="57332880"/>
          <a:ext cx="929640" cy="21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47134</xdr:rowOff>
    </xdr:to>
    <xdr:sp macro="" textlink="">
      <xdr:nvSpPr>
        <xdr:cNvPr id="12" name="Drop Down 1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2819400" y="57332880"/>
          <a:ext cx="929640" cy="21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47134</xdr:rowOff>
    </xdr:to>
    <xdr:sp macro="" textlink="">
      <xdr:nvSpPr>
        <xdr:cNvPr id="13" name="Drop Down 2" hidden="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2819400" y="57332880"/>
          <a:ext cx="929640" cy="21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47134</xdr:rowOff>
    </xdr:to>
    <xdr:sp macro="" textlink="">
      <xdr:nvSpPr>
        <xdr:cNvPr id="14" name="Drop Down 1" hidden="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2819400" y="57332880"/>
          <a:ext cx="929640" cy="21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774065</xdr:colOff>
      <xdr:row>111</xdr:row>
      <xdr:rowOff>47134</xdr:rowOff>
    </xdr:to>
    <xdr:sp macro="" textlink="">
      <xdr:nvSpPr>
        <xdr:cNvPr id="15" name="Drop Down -1022" hidden="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2819400" y="57332880"/>
          <a:ext cx="929640" cy="21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48893</xdr:rowOff>
    </xdr:to>
    <xdr:sp macro="" textlink="">
      <xdr:nvSpPr>
        <xdr:cNvPr id="16" name="Drop Down 1" hidden="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4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48893</xdr:rowOff>
    </xdr:to>
    <xdr:sp macro="" textlink="">
      <xdr:nvSpPr>
        <xdr:cNvPr id="17" name="Drop Down 1" hidden="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4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48893</xdr:rowOff>
    </xdr:to>
    <xdr:sp macro="" textlink="">
      <xdr:nvSpPr>
        <xdr:cNvPr id="18" name="Drop Down 1" hidden="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4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48893</xdr:rowOff>
    </xdr:to>
    <xdr:sp macro="" textlink="">
      <xdr:nvSpPr>
        <xdr:cNvPr id="19" name="Drop Down 1" hidden="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4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48893</xdr:rowOff>
    </xdr:to>
    <xdr:sp macro="" textlink="">
      <xdr:nvSpPr>
        <xdr:cNvPr id="20" name="Drop Down 2" hidden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4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48893</xdr:rowOff>
    </xdr:to>
    <xdr:sp macro="" textlink="">
      <xdr:nvSpPr>
        <xdr:cNvPr id="21" name="Drop Down 1" hidden="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4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48893</xdr:rowOff>
    </xdr:to>
    <xdr:sp macro="" textlink="">
      <xdr:nvSpPr>
        <xdr:cNvPr id="22" name="Drop Down -1022" hidden="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4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47134</xdr:rowOff>
    </xdr:to>
    <xdr:sp macro="" textlink="">
      <xdr:nvSpPr>
        <xdr:cNvPr id="23" name="Drop Down 1" hidden="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47134</xdr:rowOff>
    </xdr:to>
    <xdr:sp macro="" textlink="">
      <xdr:nvSpPr>
        <xdr:cNvPr id="24" name="Drop Down 1" hidden="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47134</xdr:rowOff>
    </xdr:to>
    <xdr:sp macro="" textlink="">
      <xdr:nvSpPr>
        <xdr:cNvPr id="25" name="Drop Down 1" hidden="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47134</xdr:rowOff>
    </xdr:to>
    <xdr:sp macro="" textlink="">
      <xdr:nvSpPr>
        <xdr:cNvPr id="26" name="Drop Down 1" hidden="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47134</xdr:rowOff>
    </xdr:to>
    <xdr:sp macro="" textlink="">
      <xdr:nvSpPr>
        <xdr:cNvPr id="27" name="Drop Down 2" hidden="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47134</xdr:rowOff>
    </xdr:to>
    <xdr:sp macro="" textlink="">
      <xdr:nvSpPr>
        <xdr:cNvPr id="28" name="Drop Down 1" hidden="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110</xdr:row>
      <xdr:rowOff>0</xdr:rowOff>
    </xdr:from>
    <xdr:to>
      <xdr:col>11</xdr:col>
      <xdr:colOff>399308</xdr:colOff>
      <xdr:row>111</xdr:row>
      <xdr:rowOff>47134</xdr:rowOff>
    </xdr:to>
    <xdr:sp macro="" textlink="">
      <xdr:nvSpPr>
        <xdr:cNvPr id="29" name="Drop Down -1022" hidden="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2846917" y="20447000"/>
          <a:ext cx="904240" cy="20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0" name="Drop Down 1" hidden="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1" name="Drop Down 1" hidden="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2" name="Drop Down 1" hidden="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3" name="Drop Down 1" hidden="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4" name="Drop Down 2" hidden="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5" name="Drop Down 1" hidden="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6" name="Drop Down -1022" hidden="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7" name="Drop Down 1" hidden="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8" name="Drop Down 1" hidden="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9" name="Drop Down 1" hidden="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0" name="Drop Down 1" hidden="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1" name="Drop Down 2" hidden="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2" name="Drop Down 1" hidden="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3" name="Drop Down -1022" hidden="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" name="Drop Down 1" hidden="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5" name="Drop Down 1" hidden="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6" name="Drop Down 1" hidden="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" name="Drop Down 1" hidden="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" name="Drop Down 2" hidden="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" name="Drop Down 1" hidden="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0" name="Drop Down -1022" hidden="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1" name="Drop Down 1" hidden="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2" name="Drop Down 1" hidden="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3" name="Drop Down 1" hidden="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4" name="Drop Down 1" hidden="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5" name="Drop Down 2" hidden="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6" name="Drop Down 1" hidden="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7" name="Drop Down -1022" hidden="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8" name="Drop Down 1" hidden="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9" name="Drop Down 1" hidden="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0" name="Drop Down 1" hidden="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1" name="Drop Down 1" hidden="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2" name="Drop Down 2" hidden="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3" name="Drop Down 1" hidden="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4" name="Drop Down -1022" hidden="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5" name="Drop Down 1" hidden="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6" name="Drop Down 1" hidden="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7" name="Drop Down 1" hidden="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8" name="Drop Down 1" hidden="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9" name="Drop Down 2" hidden="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0" name="Drop Down 1" hidden="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" name="Drop Down -1022" hidden="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" name="Drop Down 1" hidden="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" name="Drop Down 1" hidden="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" name="Drop Down 1" hidden="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" name="Drop Down 1" hidden="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" name="Drop Down 2" hidden="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" name="Drop Down 1" hidden="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" name="Drop Down -1022" hidden="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" name="Drop Down 1" hidden="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" name="Drop Down 1" hidden="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" name="Drop Down 1" hidden="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" name="Drop Down 1" hidden="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" name="Drop Down 2" hidden="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" name="Drop Down 1" hidden="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" name="Drop Down -1022" hidden="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" name="Drop Down 1" hidden="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" name="Drop Down 1" hidden="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" name="Drop Down 1" hidden="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" name="Drop Down 1" hidden="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" name="Drop Down 2" hidden="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" name="Drop Down 1" hidden="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2" name="Drop Down -1022" hidden="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" name="Drop Down 1" hidden="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" name="Drop Down 1" hidden="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" name="Drop Down 1" hidden="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" name="Drop Down 1" hidden="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7" name="Drop Down 2" hidden="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8" name="Drop Down 1" hidden="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9" name="Drop Down -1022" hidden="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3819525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" name="Drop Down 1" hidden="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" name="Drop Down 1" hidden="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" name="Drop Down 1" hidden="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" name="Drop Down 1" hidden="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" name="Drop Down 2" hidden="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" name="Drop Down 1" hidden="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" name="Drop Down -1022" hidden="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" name="Drop Down 1" hidden="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" name="Drop Down 1" hidden="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9" name="Drop Down 1" hidden="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0" name="Drop Down 1" hidden="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1" name="Drop Down 2" hidden="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2" name="Drop Down 1" hidden="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3" name="Drop Down -1022" hidden="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4" name="Drop Down 1" hidden="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5" name="Drop Down 1" hidden="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6" name="Drop Down 1" hidden="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7" name="Drop Down 1" hidden="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8" name="Drop Down 2" hidden="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9" name="Drop Down 1" hidden="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0" name="Drop Down -1022" hidden="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1" name="Drop Down 1" hidden="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2" name="Drop Down 1" hidden="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3" name="Drop Down 1" hidden="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4" name="Drop Down 1" hidden="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5" name="Drop Down 2" hidden="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6" name="Drop Down 1" hidden="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7" name="Drop Down -1022" hidden="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rrowheads="1"/>
        </xdr:cNvSpPr>
      </xdr:nvSpPr>
      <xdr:spPr bwMode="auto">
        <a:xfrm>
          <a:off x="3943350" y="1826895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28" name="Drop Down 1" hidden="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29" name="Drop Down 1" hidden="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0" name="Drop Down 1" hidden="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1" name="Drop Down 1" hidden="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2" name="Drop Down 2" hidden="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3" name="Drop Down 1" hidden="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4" name="Drop Down -1022" hidden="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5" name="Drop Down 1" hidden="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6" name="Drop Down 1" hidden="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7" name="Drop Down 1" hidden="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8" name="Drop Down 1" hidden="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9" name="Drop Down 2" hidden="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0" name="Drop Down 1" hidden="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1" name="Drop Down -1022" hidden="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2" name="Drop Down 1" hidden="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3" name="Drop Down 1" hidden="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4" name="Drop Down 1" hidden="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5" name="Drop Down 1" hidden="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6" name="Drop Down 2" hidden="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7" name="Drop Down 1" hidden="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8" name="Drop Down -1022" hidden="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9" name="Drop Down 1" hidden="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0" name="Drop Down 1" hidden="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1" name="Drop Down 1" hidden="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2" name="Drop Down 1" hidden="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3" name="Drop Down 2" hidden="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4" name="Drop Down 1" hidden="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5" name="Drop Down -1022" hidden="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56" name="Drop Down 1" hidden="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57" name="Drop Down 1" hidden="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58" name="Drop Down 1" hidden="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59" name="Drop Down 1" hidden="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60" name="Drop Down 2" hidden="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61" name="Drop Down 1" hidden="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62" name="Drop Down -1022" hidden="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63" name="Drop Down 1" hidden="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64" name="Drop Down 1" hidden="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65" name="Drop Down 1" hidden="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66" name="Drop Down 1" hidden="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67" name="Drop Down 2" hidden="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68" name="Drop Down 1" hidden="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69" name="Drop Down -1022" hidden="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70" name="Drop Down 1" hidden="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71" name="Drop Down 1" hidden="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72" name="Drop Down 1" hidden="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73" name="Drop Down 1" hidden="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74" name="Drop Down 2" hidden="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75" name="Drop Down 1" hidden="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76" name="Drop Down -1022" hidden="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77" name="Drop Down 1" hidden="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78" name="Drop Down 1" hidden="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79" name="Drop Down 1" hidden="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0" name="Drop Down 1" hidden="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1" name="Drop Down 2" hidden="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2" name="Drop Down 1" hidden="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3" name="Drop Down -1022" hidden="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84" name="Drop Down 1" hidden="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85" name="Drop Down 1" hidden="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86" name="Drop Down 1" hidden="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87" name="Drop Down 1" hidden="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88" name="Drop Down 2" hidden="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89" name="Drop Down 1" hidden="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90" name="Drop Down -1022" hidden="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91" name="Drop Down 1" hidden="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92" name="Drop Down 1" hidden="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93" name="Drop Down 1" hidden="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94" name="Drop Down 1" hidden="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95" name="Drop Down 2" hidden="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96" name="Drop Down 1" hidden="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97" name="Drop Down -1022" hidden="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98" name="Drop Down 1" hidden="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99" name="Drop Down 1" hidden="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00" name="Drop Down 1" hidden="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01" name="Drop Down 1" hidden="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02" name="Drop Down 2" hidden="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03" name="Drop Down 1" hidden="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04" name="Drop Down -1022" hidden="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05" name="Drop Down 1" hidden="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06" name="Drop Down 1" hidden="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07" name="Drop Down 1" hidden="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08" name="Drop Down 1" hidden="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09" name="Drop Down 2" hidden="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10" name="Drop Down 1" hidden="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11" name="Drop Down -1022" hidden="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2" name="Drop Down 1" hidden="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3" name="Drop Down 1" hidden="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4" name="Drop Down 1" hidden="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5" name="Drop Down 1" hidden="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6" name="Drop Down 2" hidden="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7" name="Drop Down 1" hidden="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8" name="Drop Down -1022" hidden="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9" name="Drop Down 1" hidden="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20" name="Drop Down 1" hidden="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21" name="Drop Down 1" hidden="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22" name="Drop Down 1" hidden="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23" name="Drop Down 2" hidden="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24" name="Drop Down 1" hidden="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25" name="Drop Down -1022" hidden="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26" name="Drop Down 1" hidden="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27" name="Drop Down 1" hidden="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28" name="Drop Down 1" hidden="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29" name="Drop Down 1" hidden="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0" name="Drop Down 2" hidden="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1" name="Drop Down 1" hidden="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2" name="Drop Down -1022" hidden="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3" name="Drop Down 1" hidden="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4" name="Drop Down 1" hidden="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5" name="Drop Down 1" hidden="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6" name="Drop Down 1" hidden="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7" name="Drop Down 2" hidden="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8" name="Drop Down 1" hidden="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9" name="Drop Down -1022" hidden="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rrowheads="1"/>
        </xdr:cNvSpPr>
      </xdr:nvSpPr>
      <xdr:spPr bwMode="auto">
        <a:xfrm>
          <a:off x="5638800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40" name="Drop Down 1" hidden="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41" name="Drop Down 1" hidden="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42" name="Drop Down 1" hidden="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43" name="Drop Down 1" hidden="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44" name="Drop Down 2" hidden="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45" name="Drop Down 1" hidden="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46" name="Drop Down -1022" hidden="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47" name="Drop Down 1" hidden="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48" name="Drop Down 1" hidden="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49" name="Drop Down 1" hidden="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50" name="Drop Down 1" hidden="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51" name="Drop Down 2" hidden="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52" name="Drop Down 1" hidden="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53" name="Drop Down -1022" hidden="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54" name="Drop Down 1" hidden="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55" name="Drop Down 1" hidden="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56" name="Drop Down 1" hidden="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57" name="Drop Down 1" hidden="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58" name="Drop Down 2" hidden="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59" name="Drop Down 1" hidden="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60" name="Drop Down -1022" hidden="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61" name="Drop Down 1" hidden="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62" name="Drop Down 1" hidden="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63" name="Drop Down 1" hidden="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64" name="Drop Down 1" hidden="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65" name="Drop Down 2" hidden="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66" name="Drop Down 1" hidden="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67" name="Drop Down -1022" hidden="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Arrowheads="1"/>
        </xdr:cNvSpPr>
      </xdr:nvSpPr>
      <xdr:spPr bwMode="auto">
        <a:xfrm>
          <a:off x="4791075" y="18592800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268" name="Drop Down 1" hidden="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269" name="Drop Down 1" hidden="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270" name="Drop Down 1" hidden="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271" name="Drop Down 1" hidden="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272" name="Drop Down 2" hidden="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273" name="Drop Down 1" hidden="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274" name="Drop Down -1022" hidden="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275" name="Drop Down 1" hidden="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276" name="Drop Down 1" hidden="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277" name="Drop Down 1" hidden="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278" name="Drop Down 1" hidden="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279" name="Drop Down 2" hidden="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280" name="Drop Down 1" hidden="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281" name="Drop Down -1022" hidden="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82" name="Drop Down 1" hidden="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83" name="Drop Down 1" hidden="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84" name="Drop Down 1" hidden="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85" name="Drop Down 1" hidden="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86" name="Drop Down 2" hidden="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87" name="Drop Down 1" hidden="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288" name="Drop Down -1022" hidden="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89" name="Drop Down 1" hidden="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90" name="Drop Down 1" hidden="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91" name="Drop Down 1" hidden="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92" name="Drop Down 1" hidden="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93" name="Drop Down 2" hidden="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94" name="Drop Down 1" hidden="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295" name="Drop Down -1022" hidden="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96" name="Drop Down 1" hidden="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97" name="Drop Down 1" hidden="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98" name="Drop Down 1" hidden="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99" name="Drop Down 1" hidden="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00" name="Drop Down 2" hidden="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01" name="Drop Down 1" hidden="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02" name="Drop Down -1022" hidden="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03" name="Drop Down 1" hidden="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04" name="Drop Down 1" hidden="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05" name="Drop Down 1" hidden="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06" name="Drop Down 1" hidden="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07" name="Drop Down 2" hidden="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08" name="Drop Down 1" hidden="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09" name="Drop Down -1022" hidden="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10" name="Drop Down 1" hidden="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11" name="Drop Down 1" hidden="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12" name="Drop Down 1" hidden="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13" name="Drop Down 1" hidden="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14" name="Drop Down 2" hidden="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15" name="Drop Down 1" hidden="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16" name="Drop Down -1022" hidden="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17" name="Drop Down 1" hidden="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18" name="Drop Down 1" hidden="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19" name="Drop Down 1" hidden="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20" name="Drop Down 1" hidden="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21" name="Drop Down 2" hidden="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22" name="Drop Down 1" hidden="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23" name="Drop Down -1022" hidden="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24" name="Drop Down 1" hidden="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25" name="Drop Down 1" hidden="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26" name="Drop Down 1" hidden="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27" name="Drop Down 1" hidden="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28" name="Drop Down 2" hidden="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29" name="Drop Down 1" hidden="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30" name="Drop Down -1022" hidden="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31" name="Drop Down 1" hidden="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32" name="Drop Down 1" hidden="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33" name="Drop Down 1" hidden="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34" name="Drop Down 1" hidden="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35" name="Drop Down 2" hidden="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36" name="Drop Down 1" hidden="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37" name="Drop Down -1022" hidden="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38" name="Drop Down 1" hidden="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39" name="Drop Down 1" hidden="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40" name="Drop Down 1" hidden="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41" name="Drop Down 1" hidden="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42" name="Drop Down 2" hidden="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43" name="Drop Down 1" hidden="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44" name="Drop Down -1022" hidden="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45" name="Drop Down 1" hidden="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46" name="Drop Down 1" hidden="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47" name="Drop Down 1" hidden="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48" name="Drop Down 1" hidden="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49" name="Drop Down 2" hidden="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50" name="Drop Down 1" hidden="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51" name="Drop Down -1022" hidden="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52" name="Drop Down 1" hidden="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53" name="Drop Down 1" hidden="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54" name="Drop Down 1" hidden="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55" name="Drop Down 1" hidden="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56" name="Drop Down 2" hidden="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57" name="Drop Down 1" hidden="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58" name="Drop Down -1022" hidden="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59" name="Drop Down 1" hidden="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60" name="Drop Down 1" hidden="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61" name="Drop Down 1" hidden="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62" name="Drop Down 1" hidden="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63" name="Drop Down 2" hidden="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64" name="Drop Down 1" hidden="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65" name="Drop Down -1022" hidden="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66" name="Drop Down 1" hidden="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67" name="Drop Down 1" hidden="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68" name="Drop Down 1" hidden="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69" name="Drop Down 1" hidden="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70" name="Drop Down 2" hidden="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71" name="Drop Down 1" hidden="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372" name="Drop Down -1022" hidden="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73" name="Drop Down 1" hidden="1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74" name="Drop Down 1" hidden="1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75" name="Drop Down 1" hidden="1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76" name="Drop Down 1" hidden="1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77" name="Drop Down 2" hidden="1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78" name="Drop Down 1" hidden="1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379" name="Drop Down -1022" hidden="1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80" name="Drop Down 1" hidden="1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81" name="Drop Down 1" hidden="1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82" name="Drop Down 1" hidden="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83" name="Drop Down 1" hidden="1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84" name="Drop Down 2" hidden="1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85" name="Drop Down 1" hidden="1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86" name="Drop Down -1022" hidden="1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87" name="Drop Down 1" hidden="1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88" name="Drop Down 1" hidden="1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89" name="Drop Down 1" hidden="1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90" name="Drop Down 1" hidden="1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91" name="Drop Down 2" hidden="1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92" name="Drop Down 1" hidden="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393" name="Drop Down -1022" hidden="1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94" name="Drop Down 1" hidden="1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95" name="Drop Down 1" hidden="1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96" name="Drop Down 1" hidden="1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97" name="Drop Down 1" hidden="1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98" name="Drop Down 2" hidden="1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399" name="Drop Down 1" hidden="1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00" name="Drop Down -1022" hidden="1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01" name="Drop Down 1" hidden="1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02" name="Drop Down 1" hidden="1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03" name="Drop Down 1" hidden="1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04" name="Drop Down 1" hidden="1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05" name="Drop Down 2" hidden="1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06" name="Drop Down 1" hidden="1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07" name="Drop Down -1022" hidden="1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08" name="Drop Down 1" hidden="1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09" name="Drop Down 1" hidden="1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10" name="Drop Down 1" hidden="1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11" name="Drop Down 1" hidden="1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12" name="Drop Down 2" hidden="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13" name="Drop Down 1" hidden="1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14" name="Drop Down -1022" hidden="1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15" name="Drop Down 1" hidden="1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16" name="Drop Down 1" hidden="1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17" name="Drop Down 1" hidden="1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18" name="Drop Down 1" hidden="1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19" name="Drop Down 2" hidden="1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20" name="Drop Down 1" hidden="1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21" name="Drop Down -1022" hidden="1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22" name="Drop Down 1" hidden="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23" name="Drop Down 1" hidden="1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24" name="Drop Down 1" hidden="1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25" name="Drop Down 1" hidden="1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26" name="Drop Down 2" hidden="1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27" name="Drop Down 1" hidden="1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428" name="Drop Down -1022" hidden="1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29" name="Drop Down 1" hidden="1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30" name="Drop Down 1" hidden="1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31" name="Drop Down 1" hidden="1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32" name="Drop Down 1" hidden="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33" name="Drop Down 2" hidden="1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34" name="Drop Down 1" hidden="1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435" name="Drop Down -1022" hidden="1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6" name="Drop Down 1" hidden="1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7" name="Drop Down 1" hidden="1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8" name="Drop Down 1" hidden="1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9" name="Drop Down 1" hidden="1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40" name="Drop Down 2" hidden="1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41" name="Drop Down 1" hidden="1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42" name="Drop Down -1022" hidden="1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43" name="Drop Down 1" hidden="1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44" name="Drop Down 1" hidden="1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45" name="Drop Down 1" hidden="1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46" name="Drop Down 1" hidden="1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47" name="Drop Down 2" hidden="1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48" name="Drop Down 1" hidden="1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49" name="Drop Down -1022" hidden="1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50" name="Drop Down 1" hidden="1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51" name="Drop Down 1" hidden="1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52" name="Drop Down 1" hidden="1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53" name="Drop Down 1" hidden="1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54" name="Drop Down 2" hidden="1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55" name="Drop Down 1" hidden="1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56" name="Drop Down -1022" hidden="1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57" name="Drop Down 1" hidden="1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58" name="Drop Down 1" hidden="1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59" name="Drop Down 1" hidden="1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0" name="Drop Down 1" hidden="1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1" name="Drop Down 2" hidden="1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2" name="Drop Down 1" hidden="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3" name="Drop Down -1022" hidden="1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4" name="Drop Down 1" hidden="1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5" name="Drop Down 1" hidden="1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6" name="Drop Down 1" hidden="1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7" name="Drop Down 1" hidden="1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8" name="Drop Down 2" hidden="1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9" name="Drop Down 1" hidden="1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0" name="Drop Down -1022" hidden="1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1" name="Drop Down 1" hidden="1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2" name="Drop Down 1" hidden="1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3" name="Drop Down 1" hidden="1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4" name="Drop Down 1" hidden="1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5" name="Drop Down 2" hidden="1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6" name="Drop Down 1" hidden="1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7" name="Drop Down -1022" hidden="1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8" name="Drop Down 1" hidden="1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9" name="Drop Down 1" hidden="1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0" name="Drop Down 1" hidden="1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1" name="Drop Down 1" hidden="1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2" name="Drop Down 2" hidden="1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3" name="Drop Down 1" hidden="1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4" name="Drop Down -1022" hidden="1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5" name="Drop Down 1" hidden="1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6" name="Drop Down 1" hidden="1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7" name="Drop Down 1" hidden="1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8" name="Drop Down 1" hidden="1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9" name="Drop Down 2" hidden="1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0" name="Drop Down 1" hidden="1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1" name="Drop Down -1022" hidden="1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2" name="Drop Down 1" hidden="1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3" name="Drop Down 1" hidden="1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4" name="Drop Down 1" hidden="1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5" name="Drop Down 1" hidden="1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6" name="Drop Down 2" hidden="1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7" name="Drop Down 1" hidden="1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8" name="Drop Down -1022" hidden="1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9" name="Drop Down 1" hidden="1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0" name="Drop Down 1" hidden="1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1" name="Drop Down 1" hidden="1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2" name="Drop Down 1" hidden="1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3" name="Drop Down 2" hidden="1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4" name="Drop Down 1" hidden="1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5" name="Drop Down -1022" hidden="1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6" name="Drop Down 1" hidden="1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7" name="Drop Down 1" hidden="1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8" name="Drop Down 1" hidden="1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9" name="Drop Down 1" hidden="1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0" name="Drop Down 2" hidden="1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1" name="Drop Down 1" hidden="1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2" name="Drop Down -1022" hidden="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3" name="Drop Down 1" hidden="1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4" name="Drop Down 1" hidden="1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5" name="Drop Down 1" hidden="1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6" name="Drop Down 1" hidden="1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7" name="Drop Down 2" hidden="1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8" name="Drop Down 1" hidden="1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9" name="Drop Down -1022" hidden="1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20" name="Drop Down 1" hidden="1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21" name="Drop Down 1" hidden="1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22" name="Drop Down 1" hidden="1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23" name="Drop Down 1" hidden="1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24" name="Drop Down 2" hidden="1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25" name="Drop Down 1" hidden="1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26" name="Drop Down -1022" hidden="1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27" name="Drop Down 1" hidden="1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28" name="Drop Down 1" hidden="1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29" name="Drop Down 1" hidden="1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30" name="Drop Down 1" hidden="1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31" name="Drop Down 2" hidden="1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32" name="Drop Down 1" hidden="1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33" name="Drop Down -1022" hidden="1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34" name="Drop Down 1" hidden="1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35" name="Drop Down 1" hidden="1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36" name="Drop Down 1" hidden="1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37" name="Drop Down 1" hidden="1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38" name="Drop Down 2" hidden="1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39" name="Drop Down 1" hidden="1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40" name="Drop Down -1022" hidden="1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41" name="Drop Down 1" hidden="1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42" name="Drop Down 1" hidden="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43" name="Drop Down 1" hidden="1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44" name="Drop Down 1" hidden="1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45" name="Drop Down 2" hidden="1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46" name="Drop Down 1" hidden="1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47" name="Drop Down -1022" hidden="1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8" name="Drop Down 1" hidden="1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9" name="Drop Down 1" hidden="1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0" name="Drop Down 1" hidden="1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1" name="Drop Down 1" hidden="1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2" name="Drop Down 2" hidden="1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3" name="Drop Down 1" hidden="1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4" name="Drop Down -1022" hidden="1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5" name="Drop Down 1" hidden="1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6" name="Drop Down 1" hidden="1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7" name="Drop Down 1" hidden="1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8" name="Drop Down 1" hidden="1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9" name="Drop Down 2" hidden="1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0" name="Drop Down 1" hidden="1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1" name="Drop Down -1022" hidden="1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2" name="Drop Down 1" hidden="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3" name="Drop Down 1" hidden="1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4" name="Drop Down 1" hidden="1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5" name="Drop Down 1" hidden="1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6" name="Drop Down 2" hidden="1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7" name="Drop Down 1" hidden="1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8" name="Drop Down -1022" hidden="1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9" name="Drop Down 1" hidden="1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0" name="Drop Down 1" hidden="1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1" name="Drop Down 1" hidden="1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2" name="Drop Down 1" hidden="1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3" name="Drop Down 2" hidden="1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4" name="Drop Down 1" hidden="1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5" name="Drop Down -1022" hidden="1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76" name="Drop Down 1" hidden="1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77" name="Drop Down 1" hidden="1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78" name="Drop Down 1" hidden="1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79" name="Drop Down 1" hidden="1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80" name="Drop Down 2" hidden="1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81" name="Drop Down 1" hidden="1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82" name="Drop Down -1022" hidden="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83" name="Drop Down 1" hidden="1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84" name="Drop Down 1" hidden="1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85" name="Drop Down 1" hidden="1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86" name="Drop Down 1" hidden="1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87" name="Drop Down 2" hidden="1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88" name="Drop Down 1" hidden="1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89" name="Drop Down -1022" hidden="1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90" name="Drop Down 1" hidden="1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91" name="Drop Down 1" hidden="1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92" name="Drop Down 1" hidden="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93" name="Drop Down 1" hidden="1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94" name="Drop Down 2" hidden="1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95" name="Drop Down 1" hidden="1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596" name="Drop Down -1022" hidden="1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97" name="Drop Down 1" hidden="1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98" name="Drop Down 1" hidden="1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599" name="Drop Down 1" hidden="1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00" name="Drop Down 1" hidden="1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01" name="Drop Down 2" hidden="1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02" name="Drop Down 1" hidden="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03" name="Drop Down -1022" hidden="1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604" name="Drop Down 1" hidden="1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605" name="Drop Down 1" hidden="1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606" name="Drop Down 1" hidden="1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607" name="Drop Down 1" hidden="1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608" name="Drop Down 2" hidden="1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609" name="Drop Down 1" hidden="1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610" name="Drop Down -1022" hidden="1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611" name="Drop Down 1" hidden="1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612" name="Drop Down 1" hidden="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613" name="Drop Down 1" hidden="1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614" name="Drop Down 1" hidden="1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615" name="Drop Down 2" hidden="1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616" name="Drop Down 1" hidden="1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617" name="Drop Down -1022" hidden="1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18" name="Drop Down 1" hidden="1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19" name="Drop Down 1" hidden="1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20" name="Drop Down 1" hidden="1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21" name="Drop Down 1" hidden="1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22" name="Drop Down 2" hidden="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23" name="Drop Down 1" hidden="1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24" name="Drop Down -1022" hidden="1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25" name="Drop Down 1" hidden="1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26" name="Drop Down 1" hidden="1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27" name="Drop Down 1" hidden="1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28" name="Drop Down 1" hidden="1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29" name="Drop Down 2" hidden="1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30" name="Drop Down 1" hidden="1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31" name="Drop Down -1022" hidden="1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2" name="Drop Down 1" hidden="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3" name="Drop Down 1" hidden="1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4" name="Drop Down 1" hidden="1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5" name="Drop Down 1" hidden="1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6" name="Drop Down 2" hidden="1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7" name="Drop Down 1" hidden="1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8" name="Drop Down -1022" hidden="1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9" name="Drop Down 1" hidden="1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40" name="Drop Down 1" hidden="1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41" name="Drop Down 1" hidden="1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42" name="Drop Down 1" hidden="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43" name="Drop Down 2" hidden="1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44" name="Drop Down 1" hidden="1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45" name="Drop Down -1022" hidden="1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46" name="Drop Down 1" hidden="1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47" name="Drop Down 1" hidden="1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48" name="Drop Down 1" hidden="1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49" name="Drop Down 1" hidden="1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50" name="Drop Down 2" hidden="1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51" name="Drop Down 1" hidden="1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52" name="Drop Down -1022" hidden="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53" name="Drop Down 1" hidden="1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54" name="Drop Down 1" hidden="1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55" name="Drop Down 1" hidden="1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56" name="Drop Down 1" hidden="1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57" name="Drop Down 2" hidden="1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58" name="Drop Down 1" hidden="1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59" name="Drop Down -1022" hidden="1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60" name="Drop Down 1" hidden="1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61" name="Drop Down 1" hidden="1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62" name="Drop Down 1" hidden="1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63" name="Drop Down 1" hidden="1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64" name="Drop Down 2" hidden="1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65" name="Drop Down 1" hidden="1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66" name="Drop Down -1022" hidden="1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67" name="Drop Down 1" hidden="1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68" name="Drop Down 1" hidden="1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69" name="Drop Down 1" hidden="1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70" name="Drop Down 1" hidden="1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71" name="Drop Down 2" hidden="1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72" name="Drop Down 1" hidden="1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73" name="Drop Down -1022" hidden="1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74" name="Drop Down 1" hidden="1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75" name="Drop Down 1" hidden="1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76" name="Drop Down 1" hidden="1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77" name="Drop Down 1" hidden="1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78" name="Drop Down 2" hidden="1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79" name="Drop Down 1" hidden="1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80" name="Drop Down -1022" hidden="1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81" name="Drop Down 1" hidden="1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82" name="Drop Down 1" hidden="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83" name="Drop Down 1" hidden="1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84" name="Drop Down 1" hidden="1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85" name="Drop Down 2" hidden="1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86" name="Drop Down 1" hidden="1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87" name="Drop Down -1022" hidden="1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88" name="Drop Down 1" hidden="1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89" name="Drop Down 1" hidden="1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90" name="Drop Down 1" hidden="1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91" name="Drop Down 1" hidden="1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92" name="Drop Down 2" hidden="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93" name="Drop Down 1" hidden="1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694" name="Drop Down -1022" hidden="1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95" name="Drop Down 1" hidden="1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96" name="Drop Down 1" hidden="1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97" name="Drop Down 1" hidden="1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98" name="Drop Down 1" hidden="1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699" name="Drop Down 2" hidden="1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00" name="Drop Down 1" hidden="1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01" name="Drop Down -1022" hidden="1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02" name="Drop Down 1" hidden="1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03" name="Drop Down 1" hidden="1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04" name="Drop Down 1" hidden="1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05" name="Drop Down 1" hidden="1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06" name="Drop Down 2" hidden="1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07" name="Drop Down 1" hidden="1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08" name="Drop Down -1022" hidden="1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09" name="Drop Down 1" hidden="1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0" name="Drop Down 1" hidden="1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1" name="Drop Down 1" hidden="1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2" name="Drop Down 1" hidden="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3" name="Drop Down 2" hidden="1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4" name="Drop Down 1" hidden="1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5" name="Drop Down -1022" hidden="1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6" name="Drop Down 1" hidden="1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7" name="Drop Down 1" hidden="1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8" name="Drop Down 1" hidden="1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9" name="Drop Down 1" hidden="1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0" name="Drop Down 2" hidden="1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1" name="Drop Down 1" hidden="1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2" name="Drop Down -1022" hidden="1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3" name="Drop Down 1" hidden="1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4" name="Drop Down 1" hidden="1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5" name="Drop Down 1" hidden="1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6" name="Drop Down 1" hidden="1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7" name="Drop Down 2" hidden="1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8" name="Drop Down 1" hidden="1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9" name="Drop Down -1022" hidden="1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0" name="Drop Down 1" hidden="1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1" name="Drop Down 1" hidden="1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2" name="Drop Down 1" hidden="1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3" name="Drop Down 1" hidden="1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4" name="Drop Down 2" hidden="1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5" name="Drop Down 1" hidden="1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6" name="Drop Down -1022" hidden="1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7" name="Drop Down 1" hidden="1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8" name="Drop Down 1" hidden="1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9" name="Drop Down 1" hidden="1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0" name="Drop Down 1" hidden="1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1" name="Drop Down 2" hidden="1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2" name="Drop Down 1" hidden="1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3" name="Drop Down -1022" hidden="1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4" name="Drop Down 1" hidden="1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5" name="Drop Down 1" hidden="1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6" name="Drop Down 1" hidden="1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7" name="Drop Down 1" hidden="1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8" name="Drop Down 2" hidden="1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9" name="Drop Down 1" hidden="1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50" name="Drop Down -1022" hidden="1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51" name="Drop Down 1" hidden="1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52" name="Drop Down 1" hidden="1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53" name="Drop Down 1" hidden="1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54" name="Drop Down 1" hidden="1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55" name="Drop Down 2" hidden="1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56" name="Drop Down 1" hidden="1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57" name="Drop Down -1022" hidden="1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58" name="Drop Down 1" hidden="1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59" name="Drop Down 1" hidden="1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0" name="Drop Down 1" hidden="1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1" name="Drop Down 1" hidden="1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2" name="Drop Down 2" hidden="1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3" name="Drop Down 1" hidden="1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4" name="Drop Down -1022" hidden="1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5" name="Drop Down 1" hidden="1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6" name="Drop Down 1" hidden="1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7" name="Drop Down 1" hidden="1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8" name="Drop Down 1" hidden="1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9" name="Drop Down 2" hidden="1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0" name="Drop Down 1" hidden="1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1" name="Drop Down -1022" hidden="1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72" name="Drop Down 1" hidden="1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73" name="Drop Down 1" hidden="1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74" name="Drop Down 1" hidden="1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75" name="Drop Down 1" hidden="1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76" name="Drop Down 2" hidden="1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77" name="Drop Down 1" hidden="1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78" name="Drop Down -1022" hidden="1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79" name="Drop Down 1" hidden="1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80" name="Drop Down 1" hidden="1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81" name="Drop Down 1" hidden="1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82" name="Drop Down 1" hidden="1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83" name="Drop Down 2" hidden="1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84" name="Drop Down 1" hidden="1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85" name="Drop Down -1022" hidden="1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6" name="Drop Down 1" hidden="1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7" name="Drop Down 1" hidden="1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8" name="Drop Down 1" hidden="1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9" name="Drop Down 1" hidden="1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0" name="Drop Down 2" hidden="1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1" name="Drop Down 1" hidden="1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2" name="Drop Down -1022" hidden="1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3" name="Drop Down 1" hidden="1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4" name="Drop Down 1" hidden="1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5" name="Drop Down 1" hidden="1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6" name="Drop Down 1" hidden="1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7" name="Drop Down 2" hidden="1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8" name="Drop Down 1" hidden="1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9" name="Drop Down -1022" hidden="1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00" name="Drop Down 1" hidden="1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01" name="Drop Down 1" hidden="1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02" name="Drop Down 1" hidden="1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03" name="Drop Down 1" hidden="1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04" name="Drop Down 2" hidden="1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05" name="Drop Down 1" hidden="1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06" name="Drop Down -1022" hidden="1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07" name="Drop Down 1" hidden="1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08" name="Drop Down 1" hidden="1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09" name="Drop Down 1" hidden="1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10" name="Drop Down 1" hidden="1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11" name="Drop Down 2" hidden="1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12" name="Drop Down 1" hidden="1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13" name="Drop Down -1022" hidden="1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14" name="Drop Down 1" hidden="1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15" name="Drop Down 1" hidden="1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16" name="Drop Down 1" hidden="1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17" name="Drop Down 1" hidden="1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18" name="Drop Down 2" hidden="1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19" name="Drop Down 1" hidden="1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20" name="Drop Down -1022" hidden="1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21" name="Drop Down 1" hidden="1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22" name="Drop Down 1" hidden="1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23" name="Drop Down 1" hidden="1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24" name="Drop Down 1" hidden="1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25" name="Drop Down 2" hidden="1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26" name="Drop Down 1" hidden="1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27" name="Drop Down -1022" hidden="1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28" name="Drop Down 1" hidden="1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29" name="Drop Down 1" hidden="1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30" name="Drop Down 1" hidden="1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31" name="Drop Down 1" hidden="1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32" name="Drop Down 2" hidden="1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33" name="Drop Down 1" hidden="1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34" name="Drop Down -1022" hidden="1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35" name="Drop Down 1" hidden="1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36" name="Drop Down 1" hidden="1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37" name="Drop Down 1" hidden="1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38" name="Drop Down 1" hidden="1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39" name="Drop Down 2" hidden="1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40" name="Drop Down 1" hidden="1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41" name="Drop Down -1022" hidden="1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42" name="Drop Down 1" hidden="1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43" name="Drop Down 1" hidden="1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44" name="Drop Down 1" hidden="1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45" name="Drop Down 1" hidden="1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46" name="Drop Down 2" hidden="1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47" name="Drop Down 1" hidden="1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48" name="Drop Down -1022" hidden="1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49" name="Drop Down 1" hidden="1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50" name="Drop Down 1" hidden="1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51" name="Drop Down 1" hidden="1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52" name="Drop Down 1" hidden="1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53" name="Drop Down 2" hidden="1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54" name="Drop Down 1" hidden="1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55" name="Drop Down -1022" hidden="1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6" name="Drop Down 1" hidden="1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7" name="Drop Down 1" hidden="1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8" name="Drop Down 1" hidden="1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9" name="Drop Down 1" hidden="1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0" name="Drop Down 2" hidden="1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1" name="Drop Down 1" hidden="1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2" name="Drop Down -1022" hidden="1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3" name="Drop Down 1" hidden="1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4" name="Drop Down 1" hidden="1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5" name="Drop Down 1" hidden="1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6" name="Drop Down 1" hidden="1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7" name="Drop Down 2" hidden="1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8" name="Drop Down 1" hidden="1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9" name="Drop Down -1022" hidden="1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0" name="Drop Down 1" hidden="1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1" name="Drop Down 1" hidden="1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2" name="Drop Down 1" hidden="1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3" name="Drop Down 1" hidden="1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4" name="Drop Down 2" hidden="1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5" name="Drop Down 1" hidden="1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6" name="Drop Down -1022" hidden="1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7" name="Drop Down 1" hidden="1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8" name="Drop Down 1" hidden="1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9" name="Drop Down 1" hidden="1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0" name="Drop Down 1" hidden="1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1" name="Drop Down 2" hidden="1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2" name="Drop Down 1" hidden="1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3" name="Drop Down -1022" hidden="1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4" name="Drop Down 1" hidden="1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5" name="Drop Down 1" hidden="1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6" name="Drop Down 1" hidden="1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7" name="Drop Down 1" hidden="1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8" name="Drop Down 2" hidden="1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9" name="Drop Down 1" hidden="1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0" name="Drop Down -1022" hidden="1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1" name="Drop Down 1" hidden="1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2" name="Drop Down 1" hidden="1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3" name="Drop Down 1" hidden="1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4" name="Drop Down 1" hidden="1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5" name="Drop Down 2" hidden="1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6" name="Drop Down 1" hidden="1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7" name="Drop Down -1022" hidden="1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8" name="Drop Down 1" hidden="1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9" name="Drop Down 1" hidden="1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0" name="Drop Down 1" hidden="1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1" name="Drop Down 1" hidden="1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2" name="Drop Down 2" hidden="1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3" name="Drop Down 1" hidden="1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4" name="Drop Down -1022" hidden="1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5" name="Drop Down 1" hidden="1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6" name="Drop Down 1" hidden="1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7" name="Drop Down 1" hidden="1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8" name="Drop Down 1" hidden="1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9" name="Drop Down 2" hidden="1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0" name="Drop Down 1" hidden="1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1" name="Drop Down -1022" hidden="1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2" name="Drop Down 1" hidden="1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3" name="Drop Down 1" hidden="1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4" name="Drop Down 1" hidden="1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5" name="Drop Down 1" hidden="1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6" name="Drop Down 2" hidden="1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7" name="Drop Down 1" hidden="1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8" name="Drop Down -1022" hidden="1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9" name="Drop Down 1" hidden="1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20" name="Drop Down 1" hidden="1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21" name="Drop Down 1" hidden="1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22" name="Drop Down 1" hidden="1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23" name="Drop Down 2" hidden="1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24" name="Drop Down 1" hidden="1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25" name="Drop Down -1022" hidden="1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26" name="Drop Down 1" hidden="1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27" name="Drop Down 1" hidden="1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28" name="Drop Down 1" hidden="1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29" name="Drop Down 1" hidden="1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0" name="Drop Down 2" hidden="1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1" name="Drop Down 1" hidden="1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2" name="Drop Down -1022" hidden="1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3" name="Drop Down 1" hidden="1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4" name="Drop Down 1" hidden="1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5" name="Drop Down 1" hidden="1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6" name="Drop Down 1" hidden="1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7" name="Drop Down 2" hidden="1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8" name="Drop Down 1" hidden="1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9" name="Drop Down -1022" hidden="1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40" name="Drop Down 1" hidden="1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41" name="Drop Down 1" hidden="1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42" name="Drop Down 1" hidden="1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43" name="Drop Down 1" hidden="1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44" name="Drop Down 2" hidden="1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45" name="Drop Down 1" hidden="1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46" name="Drop Down -1022" hidden="1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47" name="Drop Down 1" hidden="1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48" name="Drop Down 1" hidden="1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49" name="Drop Down 1" hidden="1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0" name="Drop Down 1" hidden="1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1" name="Drop Down 2" hidden="1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2" name="Drop Down 1" hidden="1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3" name="Drop Down -1022" hidden="1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4" name="Drop Down 1" hidden="1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5" name="Drop Down 1" hidden="1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6" name="Drop Down 1" hidden="1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7" name="Drop Down 1" hidden="1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8" name="Drop Down 2" hidden="1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9" name="Drop Down 1" hidden="1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0" name="Drop Down -1022" hidden="1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1" name="Drop Down 1" hidden="1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2" name="Drop Down 1" hidden="1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3" name="Drop Down 1" hidden="1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4" name="Drop Down 1" hidden="1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5" name="Drop Down 2" hidden="1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6" name="Drop Down 1" hidden="1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7" name="Drop Down -1022" hidden="1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8" name="Drop Down 1" hidden="1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9" name="Drop Down 1" hidden="1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0" name="Drop Down 1" hidden="1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1" name="Drop Down 1" hidden="1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2" name="Drop Down 2" hidden="1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3" name="Drop Down 1" hidden="1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4" name="Drop Down -1022" hidden="1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5" name="Drop Down 1" hidden="1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6" name="Drop Down 1" hidden="1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7" name="Drop Down 1" hidden="1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8" name="Drop Down 1" hidden="1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9" name="Drop Down 2" hidden="1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0" name="Drop Down 1" hidden="1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1" name="Drop Down -1022" hidden="1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2" name="Drop Down 1" hidden="1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3" name="Drop Down 1" hidden="1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4" name="Drop Down 1" hidden="1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5" name="Drop Down 1" hidden="1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6" name="Drop Down 2" hidden="1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7" name="Drop Down 1" hidden="1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8" name="Drop Down -1022" hidden="1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9" name="Drop Down 1" hidden="1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0" name="Drop Down 1" hidden="1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1" name="Drop Down 1" hidden="1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2" name="Drop Down 1" hidden="1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3" name="Drop Down 2" hidden="1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4" name="Drop Down 1" hidden="1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5" name="Drop Down -1022" hidden="1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6" name="Drop Down 1" hidden="1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7" name="Drop Down 1" hidden="1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8" name="Drop Down 1" hidden="1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9" name="Drop Down 1" hidden="1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0" name="Drop Down 2" hidden="1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1" name="Drop Down 1" hidden="1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2" name="Drop Down -1022" hidden="1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3" name="Drop Down 1" hidden="1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4" name="Drop Down 1" hidden="1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5" name="Drop Down 1" hidden="1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6" name="Drop Down 1" hidden="1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7" name="Drop Down 2" hidden="1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8" name="Drop Down 1" hidden="1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9" name="Drop Down -1022" hidden="1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0" name="Drop Down 1" hidden="1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1" name="Drop Down 1" hidden="1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2" name="Drop Down 1" hidden="1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3" name="Drop Down 1" hidden="1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4" name="Drop Down 2" hidden="1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5" name="Drop Down 1" hidden="1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6" name="Drop Down -1022" hidden="1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7" name="Drop Down 1" hidden="1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8" name="Drop Down 1" hidden="1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9" name="Drop Down 1" hidden="1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0" name="Drop Down 1" hidden="1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1" name="Drop Down 2" hidden="1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2" name="Drop Down 1" hidden="1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3" name="Drop Down -1022" hidden="1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24" name="Drop Down 1" hidden="1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25" name="Drop Down 1" hidden="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26" name="Drop Down 1" hidden="1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27" name="Drop Down 1" hidden="1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28" name="Drop Down 2" hidden="1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29" name="Drop Down 1" hidden="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30" name="Drop Down -1022" hidden="1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31" name="Drop Down 1" hidden="1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32" name="Drop Down 1" hidden="1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33" name="Drop Down 1" hidden="1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34" name="Drop Down 1" hidden="1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35" name="Drop Down 2" hidden="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36" name="Drop Down 1" hidden="1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37" name="Drop Down -1022" hidden="1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38" name="Drop Down 1" hidden="1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39" name="Drop Down 1" hidden="1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40" name="Drop Down 1" hidden="1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41" name="Drop Down 1" hidden="1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42" name="Drop Down 2" hidden="1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43" name="Drop Down 1" hidden="1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44" name="Drop Down -1022" hidden="1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45" name="Drop Down 1" hidden="1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46" name="Drop Down 1" hidden="1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47" name="Drop Down 1" hidden="1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48" name="Drop Down 1" hidden="1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49" name="Drop Down 2" hidden="1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50" name="Drop Down 1" hidden="1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51" name="Drop Down -1022" hidden="1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2" name="Drop Down 1" hidden="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3" name="Drop Down 1" hidden="1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4" name="Drop Down 1" hidden="1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5" name="Drop Down 1" hidden="1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6" name="Drop Down 2" hidden="1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7" name="Drop Down 1" hidden="1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8" name="Drop Down -1022" hidden="1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9" name="Drop Down 1" hidden="1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0" name="Drop Down 1" hidden="1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1" name="Drop Down 1" hidden="1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2" name="Drop Down 1" hidden="1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3" name="Drop Down 2" hidden="1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4" name="Drop Down 1" hidden="1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5" name="Drop Down -1022" hidden="1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6" name="Drop Down 1" hidden="1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7" name="Drop Down 1" hidden="1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8" name="Drop Down 1" hidden="1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9" name="Drop Down 1" hidden="1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0" name="Drop Down 2" hidden="1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1" name="Drop Down 1" hidden="1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2" name="Drop Down -1022" hidden="1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3" name="Drop Down 1" hidden="1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4" name="Drop Down 1" hidden="1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5" name="Drop Down 1" hidden="1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6" name="Drop Down 1" hidden="1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7" name="Drop Down 2" hidden="1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8" name="Drop Down 1" hidden="1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9" name="Drop Down -1022" hidden="1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80" name="Drop Down 1" hidden="1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81" name="Drop Down 1" hidden="1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82" name="Drop Down 1" hidden="1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83" name="Drop Down 1" hidden="1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84" name="Drop Down 2" hidden="1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85" name="Drop Down 1" hidden="1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86" name="Drop Down -1022" hidden="1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87" name="Drop Down 1" hidden="1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88" name="Drop Down 1" hidden="1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89" name="Drop Down 1" hidden="1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90" name="Drop Down 1" hidden="1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91" name="Drop Down 2" hidden="1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92" name="Drop Down 1" hidden="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093" name="Drop Down -1022" hidden="1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94" name="Drop Down 1" hidden="1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95" name="Drop Down 1" hidden="1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96" name="Drop Down 1" hidden="1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97" name="Drop Down 1" hidden="1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98" name="Drop Down 2" hidden="1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099" name="Drop Down 1" hidden="1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100" name="Drop Down -1022" hidden="1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101" name="Drop Down 1" hidden="1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102" name="Drop Down 1" hidden="1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103" name="Drop Down 1" hidden="1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104" name="Drop Down 1" hidden="1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105" name="Drop Down 2" hidden="1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106" name="Drop Down 1" hidden="1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107" name="Drop Down -1022" hidden="1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08" name="Drop Down 1" hidden="1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09" name="Drop Down 1" hidden="1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10" name="Drop Down 1" hidden="1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11" name="Drop Down 1" hidden="1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12" name="Drop Down 2" hidden="1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13" name="Drop Down 1" hidden="1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14" name="Drop Down -1022" hidden="1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115" name="Drop Down 1" hidden="1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116" name="Drop Down 1" hidden="1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117" name="Drop Down 1" hidden="1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118" name="Drop Down 1" hidden="1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119" name="Drop Down 2" hidden="1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120" name="Drop Down 1" hidden="1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121" name="Drop Down -1022" hidden="1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22" name="Drop Down 1" hidden="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23" name="Drop Down 1" hidden="1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24" name="Drop Down 1" hidden="1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25" name="Drop Down 1" hidden="1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26" name="Drop Down 2" hidden="1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27" name="Drop Down 1" hidden="1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28" name="Drop Down -1022" hidden="1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29" name="Drop Down 1" hidden="1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30" name="Drop Down 1" hidden="1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31" name="Drop Down 1" hidden="1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32" name="Drop Down 1" hidden="1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33" name="Drop Down 2" hidden="1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34" name="Drop Down 1" hidden="1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35" name="Drop Down -1022" hidden="1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36" name="Drop Down 1" hidden="1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37" name="Drop Down 1" hidden="1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38" name="Drop Down 1" hidden="1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39" name="Drop Down 1" hidden="1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40" name="Drop Down 2" hidden="1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41" name="Drop Down 1" hidden="1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42" name="Drop Down -1022" hidden="1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43" name="Drop Down 1" hidden="1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44" name="Drop Down 1" hidden="1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45" name="Drop Down 1" hidden="1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46" name="Drop Down 1" hidden="1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47" name="Drop Down 2" hidden="1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48" name="Drop Down 1" hidden="1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49" name="Drop Down -1022" hidden="1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50" name="Drop Down 1" hidden="1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51" name="Drop Down 1" hidden="1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52" name="Drop Down 1" hidden="1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53" name="Drop Down 1" hidden="1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54" name="Drop Down 2" hidden="1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55" name="Drop Down 1" hidden="1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56" name="Drop Down -1022" hidden="1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57" name="Drop Down 1" hidden="1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58" name="Drop Down 1" hidden="1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59" name="Drop Down 1" hidden="1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60" name="Drop Down 1" hidden="1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61" name="Drop Down 2" hidden="1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62" name="Drop Down 1" hidden="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63" name="Drop Down -1022" hidden="1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64" name="Drop Down 1" hidden="1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65" name="Drop Down 1" hidden="1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66" name="Drop Down 1" hidden="1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67" name="Drop Down 1" hidden="1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68" name="Drop Down 2" hidden="1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69" name="Drop Down 1" hidden="1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70" name="Drop Down -1022" hidden="1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71" name="Drop Down 1" hidden="1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72" name="Drop Down 1" hidden="1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73" name="Drop Down 1" hidden="1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74" name="Drop Down 1" hidden="1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75" name="Drop Down 2" hidden="1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76" name="Drop Down 1" hidden="1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77" name="Drop Down -1022" hidden="1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78" name="Drop Down 1" hidden="1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79" name="Drop Down 1" hidden="1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80" name="Drop Down 1" hidden="1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81" name="Drop Down 1" hidden="1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82" name="Drop Down 2" hidden="1">
          <a:extLst>
            <a:ext uri="{FF2B5EF4-FFF2-40B4-BE49-F238E27FC236}">
              <a16:creationId xmlns:a16="http://schemas.microsoft.com/office/drawing/2014/main" id="{00000000-0008-0000-0100-00009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83" name="Drop Down 1" hidden="1"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184" name="Drop Down -1022" hidden="1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85" name="Drop Down 1" hidden="1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86" name="Drop Down 1" hidden="1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87" name="Drop Down 1" hidden="1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88" name="Drop Down 1" hidden="1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89" name="Drop Down 2" hidden="1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90" name="Drop Down 1" hidden="1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191" name="Drop Down -1022" hidden="1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92" name="Drop Down 1" hidden="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93" name="Drop Down 1" hidden="1"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94" name="Drop Down 1" hidden="1">
          <a:extLst>
            <a:ext uri="{FF2B5EF4-FFF2-40B4-BE49-F238E27FC236}">
              <a16:creationId xmlns:a16="http://schemas.microsoft.com/office/drawing/2014/main" id="{00000000-0008-0000-0100-0000A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95" name="Drop Down 1" hidden="1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96" name="Drop Down 2" hidden="1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97" name="Drop Down 1" hidden="1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198" name="Drop Down -1022" hidden="1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199" name="Drop Down 1" hidden="1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200" name="Drop Down 1" hidden="1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201" name="Drop Down 1" hidden="1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202" name="Drop Down 1" hidden="1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203" name="Drop Down 2" hidden="1">
          <a:extLst>
            <a:ext uri="{FF2B5EF4-FFF2-40B4-BE49-F238E27FC236}">
              <a16:creationId xmlns:a16="http://schemas.microsoft.com/office/drawing/2014/main" id="{00000000-0008-0000-0100-0000B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204" name="Drop Down 1" hidden="1">
          <a:extLst>
            <a:ext uri="{FF2B5EF4-FFF2-40B4-BE49-F238E27FC236}">
              <a16:creationId xmlns:a16="http://schemas.microsoft.com/office/drawing/2014/main" id="{00000000-0008-0000-0100-0000B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205" name="Drop Down -1022" hidden="1">
          <a:extLst>
            <a:ext uri="{FF2B5EF4-FFF2-40B4-BE49-F238E27FC236}">
              <a16:creationId xmlns:a16="http://schemas.microsoft.com/office/drawing/2014/main" id="{00000000-0008-0000-0100-0000B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06" name="Drop Down 1" hidden="1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07" name="Drop Down 1" hidden="1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08" name="Drop Down 1" hidden="1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09" name="Drop Down 1" hidden="1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10" name="Drop Down 2" hidden="1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11" name="Drop Down 1" hidden="1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12" name="Drop Down -1022" hidden="1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13" name="Drop Down 1" hidden="1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14" name="Drop Down 1" hidden="1">
          <a:extLst>
            <a:ext uri="{FF2B5EF4-FFF2-40B4-BE49-F238E27FC236}">
              <a16:creationId xmlns:a16="http://schemas.microsoft.com/office/drawing/2014/main" id="{00000000-0008-0000-0100-0000B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15" name="Drop Down 1" hidden="1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16" name="Drop Down 1" hidden="1">
          <a:extLst>
            <a:ext uri="{FF2B5EF4-FFF2-40B4-BE49-F238E27FC236}">
              <a16:creationId xmlns:a16="http://schemas.microsoft.com/office/drawing/2014/main" id="{00000000-0008-0000-0100-0000C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17" name="Drop Down 2" hidden="1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18" name="Drop Down 1" hidden="1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19" name="Drop Down -1022" hidden="1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20" name="Drop Down 1" hidden="1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21" name="Drop Down 1" hidden="1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22" name="Drop Down 1" hidden="1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23" name="Drop Down 1" hidden="1">
          <a:extLst>
            <a:ext uri="{FF2B5EF4-FFF2-40B4-BE49-F238E27FC236}">
              <a16:creationId xmlns:a16="http://schemas.microsoft.com/office/drawing/2014/main" id="{00000000-0008-0000-0100-0000C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24" name="Drop Down 2" hidden="1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25" name="Drop Down 1" hidden="1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26" name="Drop Down -1022" hidden="1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27" name="Drop Down 1" hidden="1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28" name="Drop Down 1" hidden="1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29" name="Drop Down 1" hidden="1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30" name="Drop Down 1" hidden="1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31" name="Drop Down 2" hidden="1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32" name="Drop Down 1" hidden="1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33" name="Drop Down -1022" hidden="1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34" name="Drop Down 1" hidden="1">
          <a:extLst>
            <a:ext uri="{FF2B5EF4-FFF2-40B4-BE49-F238E27FC236}">
              <a16:creationId xmlns:a16="http://schemas.microsoft.com/office/drawing/2014/main" id="{00000000-0008-0000-0100-0000D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35" name="Drop Down 1" hidden="1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36" name="Drop Down 1" hidden="1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37" name="Drop Down 1" hidden="1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38" name="Drop Down 2" hidden="1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39" name="Drop Down 1" hidden="1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40" name="Drop Down -1022" hidden="1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41" name="Drop Down 1" hidden="1">
          <a:extLst>
            <a:ext uri="{FF2B5EF4-FFF2-40B4-BE49-F238E27FC236}">
              <a16:creationId xmlns:a16="http://schemas.microsoft.com/office/drawing/2014/main" id="{00000000-0008-0000-0100-0000D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42" name="Drop Down 1" hidden="1">
          <a:extLst>
            <a:ext uri="{FF2B5EF4-FFF2-40B4-BE49-F238E27FC236}">
              <a16:creationId xmlns:a16="http://schemas.microsoft.com/office/drawing/2014/main" id="{00000000-0008-0000-0100-0000D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43" name="Drop Down 1" hidden="1">
          <a:extLst>
            <a:ext uri="{FF2B5EF4-FFF2-40B4-BE49-F238E27FC236}">
              <a16:creationId xmlns:a16="http://schemas.microsoft.com/office/drawing/2014/main" id="{00000000-0008-0000-0100-0000D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44" name="Drop Down 1" hidden="1">
          <a:extLst>
            <a:ext uri="{FF2B5EF4-FFF2-40B4-BE49-F238E27FC236}">
              <a16:creationId xmlns:a16="http://schemas.microsoft.com/office/drawing/2014/main" id="{00000000-0008-0000-0100-0000D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45" name="Drop Down 2" hidden="1">
          <a:extLst>
            <a:ext uri="{FF2B5EF4-FFF2-40B4-BE49-F238E27FC236}">
              <a16:creationId xmlns:a16="http://schemas.microsoft.com/office/drawing/2014/main" id="{00000000-0008-0000-0100-0000D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46" name="Drop Down 1" hidden="1">
          <a:extLst>
            <a:ext uri="{FF2B5EF4-FFF2-40B4-BE49-F238E27FC236}">
              <a16:creationId xmlns:a16="http://schemas.microsoft.com/office/drawing/2014/main" id="{00000000-0008-0000-0100-0000D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47" name="Drop Down -1022" hidden="1">
          <a:extLst>
            <a:ext uri="{FF2B5EF4-FFF2-40B4-BE49-F238E27FC236}">
              <a16:creationId xmlns:a16="http://schemas.microsoft.com/office/drawing/2014/main" id="{00000000-0008-0000-0100-0000D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48" name="Drop Down 1" hidden="1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49" name="Drop Down 1" hidden="1">
          <a:extLst>
            <a:ext uri="{FF2B5EF4-FFF2-40B4-BE49-F238E27FC236}">
              <a16:creationId xmlns:a16="http://schemas.microsoft.com/office/drawing/2014/main" id="{00000000-0008-0000-0100-0000E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50" name="Drop Down 1" hidden="1">
          <a:extLst>
            <a:ext uri="{FF2B5EF4-FFF2-40B4-BE49-F238E27FC236}">
              <a16:creationId xmlns:a16="http://schemas.microsoft.com/office/drawing/2014/main" id="{00000000-0008-0000-0100-0000E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51" name="Drop Down 1" hidden="1">
          <a:extLst>
            <a:ext uri="{FF2B5EF4-FFF2-40B4-BE49-F238E27FC236}">
              <a16:creationId xmlns:a16="http://schemas.microsoft.com/office/drawing/2014/main" id="{00000000-0008-0000-0100-0000E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52" name="Drop Down 2" hidden="1">
          <a:extLst>
            <a:ext uri="{FF2B5EF4-FFF2-40B4-BE49-F238E27FC236}">
              <a16:creationId xmlns:a16="http://schemas.microsoft.com/office/drawing/2014/main" id="{00000000-0008-0000-0100-0000E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53" name="Drop Down 1" hidden="1">
          <a:extLst>
            <a:ext uri="{FF2B5EF4-FFF2-40B4-BE49-F238E27FC236}">
              <a16:creationId xmlns:a16="http://schemas.microsoft.com/office/drawing/2014/main" id="{00000000-0008-0000-0100-0000E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54" name="Drop Down -1022" hidden="1">
          <a:extLst>
            <a:ext uri="{FF2B5EF4-FFF2-40B4-BE49-F238E27FC236}">
              <a16:creationId xmlns:a16="http://schemas.microsoft.com/office/drawing/2014/main" id="{00000000-0008-0000-0100-0000E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55" name="Drop Down 1" hidden="1">
          <a:extLst>
            <a:ext uri="{FF2B5EF4-FFF2-40B4-BE49-F238E27FC236}">
              <a16:creationId xmlns:a16="http://schemas.microsoft.com/office/drawing/2014/main" id="{00000000-0008-0000-0100-0000E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56" name="Drop Down 1" hidden="1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57" name="Drop Down 1" hidden="1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58" name="Drop Down 1" hidden="1">
          <a:extLst>
            <a:ext uri="{FF2B5EF4-FFF2-40B4-BE49-F238E27FC236}">
              <a16:creationId xmlns:a16="http://schemas.microsoft.com/office/drawing/2014/main" id="{00000000-0008-0000-0100-0000E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59" name="Drop Down 2" hidden="1">
          <a:extLst>
            <a:ext uri="{FF2B5EF4-FFF2-40B4-BE49-F238E27FC236}">
              <a16:creationId xmlns:a16="http://schemas.microsoft.com/office/drawing/2014/main" id="{00000000-0008-0000-0100-0000E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60" name="Drop Down 1" hidden="1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61" name="Drop Down -1022" hidden="1">
          <a:extLst>
            <a:ext uri="{FF2B5EF4-FFF2-40B4-BE49-F238E27FC236}">
              <a16:creationId xmlns:a16="http://schemas.microsoft.com/office/drawing/2014/main" id="{00000000-0008-0000-0100-0000ED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62" name="Drop Down 1" hidden="1">
          <a:extLst>
            <a:ext uri="{FF2B5EF4-FFF2-40B4-BE49-F238E27FC236}">
              <a16:creationId xmlns:a16="http://schemas.microsoft.com/office/drawing/2014/main" id="{00000000-0008-0000-0100-0000EE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63" name="Drop Down 1" hidden="1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64" name="Drop Down 1" hidden="1">
          <a:extLst>
            <a:ext uri="{FF2B5EF4-FFF2-40B4-BE49-F238E27FC236}">
              <a16:creationId xmlns:a16="http://schemas.microsoft.com/office/drawing/2014/main" id="{00000000-0008-0000-0100-0000F0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65" name="Drop Down 1" hidden="1">
          <a:extLst>
            <a:ext uri="{FF2B5EF4-FFF2-40B4-BE49-F238E27FC236}">
              <a16:creationId xmlns:a16="http://schemas.microsoft.com/office/drawing/2014/main" id="{00000000-0008-0000-0100-0000F1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66" name="Drop Down 2" hidden="1">
          <a:extLst>
            <a:ext uri="{FF2B5EF4-FFF2-40B4-BE49-F238E27FC236}">
              <a16:creationId xmlns:a16="http://schemas.microsoft.com/office/drawing/2014/main" id="{00000000-0008-0000-0100-0000F2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67" name="Drop Down 1" hidden="1">
          <a:extLst>
            <a:ext uri="{FF2B5EF4-FFF2-40B4-BE49-F238E27FC236}">
              <a16:creationId xmlns:a16="http://schemas.microsoft.com/office/drawing/2014/main" id="{00000000-0008-0000-0100-0000F3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268" name="Drop Down -1022" hidden="1">
          <a:extLst>
            <a:ext uri="{FF2B5EF4-FFF2-40B4-BE49-F238E27FC236}">
              <a16:creationId xmlns:a16="http://schemas.microsoft.com/office/drawing/2014/main" id="{00000000-0008-0000-0100-0000F4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69" name="Drop Down 1" hidden="1">
          <a:extLst>
            <a:ext uri="{FF2B5EF4-FFF2-40B4-BE49-F238E27FC236}">
              <a16:creationId xmlns:a16="http://schemas.microsoft.com/office/drawing/2014/main" id="{00000000-0008-0000-0100-0000F5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70" name="Drop Down 1" hidden="1">
          <a:extLst>
            <a:ext uri="{FF2B5EF4-FFF2-40B4-BE49-F238E27FC236}">
              <a16:creationId xmlns:a16="http://schemas.microsoft.com/office/drawing/2014/main" id="{00000000-0008-0000-0100-0000F6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71" name="Drop Down 1" hidden="1">
          <a:extLst>
            <a:ext uri="{FF2B5EF4-FFF2-40B4-BE49-F238E27FC236}">
              <a16:creationId xmlns:a16="http://schemas.microsoft.com/office/drawing/2014/main" id="{00000000-0008-0000-0100-0000F7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72" name="Drop Down 1" hidden="1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73" name="Drop Down 2" hidden="1">
          <a:extLst>
            <a:ext uri="{FF2B5EF4-FFF2-40B4-BE49-F238E27FC236}">
              <a16:creationId xmlns:a16="http://schemas.microsoft.com/office/drawing/2014/main" id="{00000000-0008-0000-0100-0000F9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74" name="Drop Down 1" hidden="1">
          <a:extLst>
            <a:ext uri="{FF2B5EF4-FFF2-40B4-BE49-F238E27FC236}">
              <a16:creationId xmlns:a16="http://schemas.microsoft.com/office/drawing/2014/main" id="{00000000-0008-0000-0100-0000FA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275" name="Drop Down -1022" hidden="1">
          <a:extLst>
            <a:ext uri="{FF2B5EF4-FFF2-40B4-BE49-F238E27FC236}">
              <a16:creationId xmlns:a16="http://schemas.microsoft.com/office/drawing/2014/main" id="{00000000-0008-0000-0100-0000FB04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276" name="Drop Down 1" hidden="1">
          <a:extLst>
            <a:ext uri="{FF2B5EF4-FFF2-40B4-BE49-F238E27FC236}">
              <a16:creationId xmlns:a16="http://schemas.microsoft.com/office/drawing/2014/main" id="{00000000-0008-0000-0100-0000FC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277" name="Drop Down 1" hidden="1">
          <a:extLst>
            <a:ext uri="{FF2B5EF4-FFF2-40B4-BE49-F238E27FC236}">
              <a16:creationId xmlns:a16="http://schemas.microsoft.com/office/drawing/2014/main" id="{00000000-0008-0000-0100-0000FD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278" name="Drop Down 1" hidden="1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279" name="Drop Down 1" hidden="1">
          <a:extLst>
            <a:ext uri="{FF2B5EF4-FFF2-40B4-BE49-F238E27FC236}">
              <a16:creationId xmlns:a16="http://schemas.microsoft.com/office/drawing/2014/main" id="{00000000-0008-0000-0100-0000FF04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280" name="Drop Down 2" hidden="1">
          <a:extLst>
            <a:ext uri="{FF2B5EF4-FFF2-40B4-BE49-F238E27FC236}">
              <a16:creationId xmlns:a16="http://schemas.microsoft.com/office/drawing/2014/main" id="{00000000-0008-0000-0100-000000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281" name="Drop Down 1" hidden="1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282" name="Drop Down -1022" hidden="1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283" name="Drop Down 1" hidden="1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284" name="Drop Down 1" hidden="1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285" name="Drop Down 1" hidden="1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286" name="Drop Down 1" hidden="1">
          <a:extLst>
            <a:ext uri="{FF2B5EF4-FFF2-40B4-BE49-F238E27FC236}">
              <a16:creationId xmlns:a16="http://schemas.microsoft.com/office/drawing/2014/main" id="{00000000-0008-0000-0100-000006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287" name="Drop Down 2" hidden="1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288" name="Drop Down 1" hidden="1">
          <a:extLst>
            <a:ext uri="{FF2B5EF4-FFF2-40B4-BE49-F238E27FC236}">
              <a16:creationId xmlns:a16="http://schemas.microsoft.com/office/drawing/2014/main" id="{00000000-0008-0000-0100-000008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289" name="Drop Down -1022" hidden="1">
          <a:extLst>
            <a:ext uri="{FF2B5EF4-FFF2-40B4-BE49-F238E27FC236}">
              <a16:creationId xmlns:a16="http://schemas.microsoft.com/office/drawing/2014/main" id="{00000000-0008-0000-0100-000009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290" name="Drop Down 1" hidden="1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291" name="Drop Down 1" hidden="1">
          <a:extLst>
            <a:ext uri="{FF2B5EF4-FFF2-40B4-BE49-F238E27FC236}">
              <a16:creationId xmlns:a16="http://schemas.microsoft.com/office/drawing/2014/main" id="{00000000-0008-0000-0100-00000B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292" name="Drop Down 1" hidden="1">
          <a:extLst>
            <a:ext uri="{FF2B5EF4-FFF2-40B4-BE49-F238E27FC236}">
              <a16:creationId xmlns:a16="http://schemas.microsoft.com/office/drawing/2014/main" id="{00000000-0008-0000-0100-00000C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293" name="Drop Down 1" hidden="1">
          <a:extLst>
            <a:ext uri="{FF2B5EF4-FFF2-40B4-BE49-F238E27FC236}">
              <a16:creationId xmlns:a16="http://schemas.microsoft.com/office/drawing/2014/main" id="{00000000-0008-0000-0100-00000D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294" name="Drop Down 2" hidden="1">
          <a:extLst>
            <a:ext uri="{FF2B5EF4-FFF2-40B4-BE49-F238E27FC236}">
              <a16:creationId xmlns:a16="http://schemas.microsoft.com/office/drawing/2014/main" id="{00000000-0008-0000-0100-00000E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295" name="Drop Down 1" hidden="1">
          <a:extLst>
            <a:ext uri="{FF2B5EF4-FFF2-40B4-BE49-F238E27FC236}">
              <a16:creationId xmlns:a16="http://schemas.microsoft.com/office/drawing/2014/main" id="{00000000-0008-0000-0100-00000F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296" name="Drop Down -1022" hidden="1">
          <a:extLst>
            <a:ext uri="{FF2B5EF4-FFF2-40B4-BE49-F238E27FC236}">
              <a16:creationId xmlns:a16="http://schemas.microsoft.com/office/drawing/2014/main" id="{00000000-0008-0000-0100-000010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297" name="Drop Down 1" hidden="1">
          <a:extLst>
            <a:ext uri="{FF2B5EF4-FFF2-40B4-BE49-F238E27FC236}">
              <a16:creationId xmlns:a16="http://schemas.microsoft.com/office/drawing/2014/main" id="{00000000-0008-0000-0100-000011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298" name="Drop Down 1" hidden="1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299" name="Drop Down 1" hidden="1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00" name="Drop Down 1" hidden="1">
          <a:extLst>
            <a:ext uri="{FF2B5EF4-FFF2-40B4-BE49-F238E27FC236}">
              <a16:creationId xmlns:a16="http://schemas.microsoft.com/office/drawing/2014/main" id="{00000000-0008-0000-0100-000014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01" name="Drop Down 2" hidden="1">
          <a:extLst>
            <a:ext uri="{FF2B5EF4-FFF2-40B4-BE49-F238E27FC236}">
              <a16:creationId xmlns:a16="http://schemas.microsoft.com/office/drawing/2014/main" id="{00000000-0008-0000-0100-000015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02" name="Drop Down 1" hidden="1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03" name="Drop Down -1022" hidden="1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04" name="Drop Down 1" hidden="1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05" name="Drop Down 1" hidden="1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06" name="Drop Down 1" hidden="1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07" name="Drop Down 1" hidden="1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08" name="Drop Down 2" hidden="1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09" name="Drop Down 1" hidden="1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10" name="Drop Down -1022" hidden="1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11" name="Drop Down 1" hidden="1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12" name="Drop Down 1" hidden="1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13" name="Drop Down 1" hidden="1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14" name="Drop Down 1" hidden="1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15" name="Drop Down 2" hidden="1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16" name="Drop Down 1" hidden="1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17" name="Drop Down -1022" hidden="1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18" name="Drop Down 1" hidden="1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19" name="Drop Down 1" hidden="1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20" name="Drop Down 1" hidden="1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21" name="Drop Down 1" hidden="1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22" name="Drop Down 2" hidden="1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23" name="Drop Down 1" hidden="1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24" name="Drop Down -1022" hidden="1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25" name="Drop Down 1" hidden="1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26" name="Drop Down 1" hidden="1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27" name="Drop Down 1" hidden="1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28" name="Drop Down 1" hidden="1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29" name="Drop Down 2" hidden="1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30" name="Drop Down 1" hidden="1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31" name="Drop Down -1022" hidden="1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32" name="Drop Down 1" hidden="1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33" name="Drop Down 1" hidden="1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34" name="Drop Down 1" hidden="1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35" name="Drop Down 1" hidden="1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36" name="Drop Down 2" hidden="1">
          <a:extLst>
            <a:ext uri="{FF2B5EF4-FFF2-40B4-BE49-F238E27FC236}">
              <a16:creationId xmlns:a16="http://schemas.microsoft.com/office/drawing/2014/main" id="{00000000-0008-0000-0100-000038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37" name="Drop Down 1" hidden="1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38" name="Drop Down -1022" hidden="1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39" name="Drop Down 1" hidden="1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40" name="Drop Down 1" hidden="1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41" name="Drop Down 1" hidden="1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42" name="Drop Down 1" hidden="1">
          <a:extLst>
            <a:ext uri="{FF2B5EF4-FFF2-40B4-BE49-F238E27FC236}">
              <a16:creationId xmlns:a16="http://schemas.microsoft.com/office/drawing/2014/main" id="{00000000-0008-0000-0100-00003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43" name="Drop Down 2" hidden="1">
          <a:extLst>
            <a:ext uri="{FF2B5EF4-FFF2-40B4-BE49-F238E27FC236}">
              <a16:creationId xmlns:a16="http://schemas.microsoft.com/office/drawing/2014/main" id="{00000000-0008-0000-0100-00003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44" name="Drop Down 1" hidden="1">
          <a:extLst>
            <a:ext uri="{FF2B5EF4-FFF2-40B4-BE49-F238E27FC236}">
              <a16:creationId xmlns:a16="http://schemas.microsoft.com/office/drawing/2014/main" id="{00000000-0008-0000-0100-00004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45" name="Drop Down -1022" hidden="1">
          <a:extLst>
            <a:ext uri="{FF2B5EF4-FFF2-40B4-BE49-F238E27FC236}">
              <a16:creationId xmlns:a16="http://schemas.microsoft.com/office/drawing/2014/main" id="{00000000-0008-0000-0100-00004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46" name="Drop Down 1" hidden="1">
          <a:extLst>
            <a:ext uri="{FF2B5EF4-FFF2-40B4-BE49-F238E27FC236}">
              <a16:creationId xmlns:a16="http://schemas.microsoft.com/office/drawing/2014/main" id="{00000000-0008-0000-0100-00004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47" name="Drop Down 1" hidden="1">
          <a:extLst>
            <a:ext uri="{FF2B5EF4-FFF2-40B4-BE49-F238E27FC236}">
              <a16:creationId xmlns:a16="http://schemas.microsoft.com/office/drawing/2014/main" id="{00000000-0008-0000-0100-00004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48" name="Drop Down 1" hidden="1">
          <a:extLst>
            <a:ext uri="{FF2B5EF4-FFF2-40B4-BE49-F238E27FC236}">
              <a16:creationId xmlns:a16="http://schemas.microsoft.com/office/drawing/2014/main" id="{00000000-0008-0000-0100-00004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49" name="Drop Down 1" hidden="1">
          <a:extLst>
            <a:ext uri="{FF2B5EF4-FFF2-40B4-BE49-F238E27FC236}">
              <a16:creationId xmlns:a16="http://schemas.microsoft.com/office/drawing/2014/main" id="{00000000-0008-0000-0100-00004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50" name="Drop Down 2" hidden="1">
          <a:extLst>
            <a:ext uri="{FF2B5EF4-FFF2-40B4-BE49-F238E27FC236}">
              <a16:creationId xmlns:a16="http://schemas.microsoft.com/office/drawing/2014/main" id="{00000000-0008-0000-0100-00004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51" name="Drop Down 1" hidden="1">
          <a:extLst>
            <a:ext uri="{FF2B5EF4-FFF2-40B4-BE49-F238E27FC236}">
              <a16:creationId xmlns:a16="http://schemas.microsoft.com/office/drawing/2014/main" id="{00000000-0008-0000-0100-00004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52" name="Drop Down -1022" hidden="1">
          <a:extLst>
            <a:ext uri="{FF2B5EF4-FFF2-40B4-BE49-F238E27FC236}">
              <a16:creationId xmlns:a16="http://schemas.microsoft.com/office/drawing/2014/main" id="{00000000-0008-0000-0100-000048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53" name="Drop Down 1" hidden="1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54" name="Drop Down 1" hidden="1">
          <a:extLst>
            <a:ext uri="{FF2B5EF4-FFF2-40B4-BE49-F238E27FC236}">
              <a16:creationId xmlns:a16="http://schemas.microsoft.com/office/drawing/2014/main" id="{00000000-0008-0000-0100-00004A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55" name="Drop Down 1" hidden="1">
          <a:extLst>
            <a:ext uri="{FF2B5EF4-FFF2-40B4-BE49-F238E27FC236}">
              <a16:creationId xmlns:a16="http://schemas.microsoft.com/office/drawing/2014/main" id="{00000000-0008-0000-0100-00004B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56" name="Drop Down 1" hidden="1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57" name="Drop Down 2" hidden="1">
          <a:extLst>
            <a:ext uri="{FF2B5EF4-FFF2-40B4-BE49-F238E27FC236}">
              <a16:creationId xmlns:a16="http://schemas.microsoft.com/office/drawing/2014/main" id="{00000000-0008-0000-0100-00004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58" name="Drop Down 1" hidden="1">
          <a:extLst>
            <a:ext uri="{FF2B5EF4-FFF2-40B4-BE49-F238E27FC236}">
              <a16:creationId xmlns:a16="http://schemas.microsoft.com/office/drawing/2014/main" id="{00000000-0008-0000-0100-00004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59" name="Drop Down -1022" hidden="1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60" name="Drop Down 1" hidden="1">
          <a:extLst>
            <a:ext uri="{FF2B5EF4-FFF2-40B4-BE49-F238E27FC236}">
              <a16:creationId xmlns:a16="http://schemas.microsoft.com/office/drawing/2014/main" id="{00000000-0008-0000-0100-000050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61" name="Drop Down 1" hidden="1">
          <a:extLst>
            <a:ext uri="{FF2B5EF4-FFF2-40B4-BE49-F238E27FC236}">
              <a16:creationId xmlns:a16="http://schemas.microsoft.com/office/drawing/2014/main" id="{00000000-0008-0000-0100-000051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62" name="Drop Down 1" hidden="1">
          <a:extLst>
            <a:ext uri="{FF2B5EF4-FFF2-40B4-BE49-F238E27FC236}">
              <a16:creationId xmlns:a16="http://schemas.microsoft.com/office/drawing/2014/main" id="{00000000-0008-0000-0100-000052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63" name="Drop Down 1" hidden="1">
          <a:extLst>
            <a:ext uri="{FF2B5EF4-FFF2-40B4-BE49-F238E27FC236}">
              <a16:creationId xmlns:a16="http://schemas.microsoft.com/office/drawing/2014/main" id="{00000000-0008-0000-0100-000053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64" name="Drop Down 2" hidden="1">
          <a:extLst>
            <a:ext uri="{FF2B5EF4-FFF2-40B4-BE49-F238E27FC236}">
              <a16:creationId xmlns:a16="http://schemas.microsoft.com/office/drawing/2014/main" id="{00000000-0008-0000-0100-000054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65" name="Drop Down 1" hidden="1">
          <a:extLst>
            <a:ext uri="{FF2B5EF4-FFF2-40B4-BE49-F238E27FC236}">
              <a16:creationId xmlns:a16="http://schemas.microsoft.com/office/drawing/2014/main" id="{00000000-0008-0000-0100-000055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66" name="Drop Down -1022" hidden="1">
          <a:extLst>
            <a:ext uri="{FF2B5EF4-FFF2-40B4-BE49-F238E27FC236}">
              <a16:creationId xmlns:a16="http://schemas.microsoft.com/office/drawing/2014/main" id="{00000000-0008-0000-0100-000056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67" name="Drop Down 1" hidden="1">
          <a:extLst>
            <a:ext uri="{FF2B5EF4-FFF2-40B4-BE49-F238E27FC236}">
              <a16:creationId xmlns:a16="http://schemas.microsoft.com/office/drawing/2014/main" id="{00000000-0008-0000-0100-000057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68" name="Drop Down 1" hidden="1">
          <a:extLst>
            <a:ext uri="{FF2B5EF4-FFF2-40B4-BE49-F238E27FC236}">
              <a16:creationId xmlns:a16="http://schemas.microsoft.com/office/drawing/2014/main" id="{00000000-0008-0000-0100-000058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69" name="Drop Down 1" hidden="1">
          <a:extLst>
            <a:ext uri="{FF2B5EF4-FFF2-40B4-BE49-F238E27FC236}">
              <a16:creationId xmlns:a16="http://schemas.microsoft.com/office/drawing/2014/main" id="{00000000-0008-0000-0100-000059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70" name="Drop Down 1" hidden="1">
          <a:extLst>
            <a:ext uri="{FF2B5EF4-FFF2-40B4-BE49-F238E27FC236}">
              <a16:creationId xmlns:a16="http://schemas.microsoft.com/office/drawing/2014/main" id="{00000000-0008-0000-0100-00005A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71" name="Drop Down 2" hidden="1">
          <a:extLst>
            <a:ext uri="{FF2B5EF4-FFF2-40B4-BE49-F238E27FC236}">
              <a16:creationId xmlns:a16="http://schemas.microsoft.com/office/drawing/2014/main" id="{00000000-0008-0000-0100-00005B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72" name="Drop Down 1" hidden="1">
          <a:extLst>
            <a:ext uri="{FF2B5EF4-FFF2-40B4-BE49-F238E27FC236}">
              <a16:creationId xmlns:a16="http://schemas.microsoft.com/office/drawing/2014/main" id="{00000000-0008-0000-0100-00005C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73" name="Drop Down -1022" hidden="1">
          <a:extLst>
            <a:ext uri="{FF2B5EF4-FFF2-40B4-BE49-F238E27FC236}">
              <a16:creationId xmlns:a16="http://schemas.microsoft.com/office/drawing/2014/main" id="{00000000-0008-0000-0100-00005D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74" name="Drop Down 1" hidden="1">
          <a:extLst>
            <a:ext uri="{FF2B5EF4-FFF2-40B4-BE49-F238E27FC236}">
              <a16:creationId xmlns:a16="http://schemas.microsoft.com/office/drawing/2014/main" id="{00000000-0008-0000-0100-00005E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75" name="Drop Down 1" hidden="1">
          <a:extLst>
            <a:ext uri="{FF2B5EF4-FFF2-40B4-BE49-F238E27FC236}">
              <a16:creationId xmlns:a16="http://schemas.microsoft.com/office/drawing/2014/main" id="{00000000-0008-0000-0100-00005F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76" name="Drop Down 1" hidden="1">
          <a:extLst>
            <a:ext uri="{FF2B5EF4-FFF2-40B4-BE49-F238E27FC236}">
              <a16:creationId xmlns:a16="http://schemas.microsoft.com/office/drawing/2014/main" id="{00000000-0008-0000-0100-000060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77" name="Drop Down 1" hidden="1">
          <a:extLst>
            <a:ext uri="{FF2B5EF4-FFF2-40B4-BE49-F238E27FC236}">
              <a16:creationId xmlns:a16="http://schemas.microsoft.com/office/drawing/2014/main" id="{00000000-0008-0000-0100-000061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78" name="Drop Down 2" hidden="1">
          <a:extLst>
            <a:ext uri="{FF2B5EF4-FFF2-40B4-BE49-F238E27FC236}">
              <a16:creationId xmlns:a16="http://schemas.microsoft.com/office/drawing/2014/main" id="{00000000-0008-0000-0100-000062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79" name="Drop Down 1" hidden="1">
          <a:extLst>
            <a:ext uri="{FF2B5EF4-FFF2-40B4-BE49-F238E27FC236}">
              <a16:creationId xmlns:a16="http://schemas.microsoft.com/office/drawing/2014/main" id="{00000000-0008-0000-0100-000063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380" name="Drop Down -1022" hidden="1">
          <a:extLst>
            <a:ext uri="{FF2B5EF4-FFF2-40B4-BE49-F238E27FC236}">
              <a16:creationId xmlns:a16="http://schemas.microsoft.com/office/drawing/2014/main" id="{00000000-0008-0000-0100-000064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81" name="Drop Down 1" hidden="1">
          <a:extLst>
            <a:ext uri="{FF2B5EF4-FFF2-40B4-BE49-F238E27FC236}">
              <a16:creationId xmlns:a16="http://schemas.microsoft.com/office/drawing/2014/main" id="{00000000-0008-0000-0100-000065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82" name="Drop Down 1" hidden="1">
          <a:extLst>
            <a:ext uri="{FF2B5EF4-FFF2-40B4-BE49-F238E27FC236}">
              <a16:creationId xmlns:a16="http://schemas.microsoft.com/office/drawing/2014/main" id="{00000000-0008-0000-0100-000066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83" name="Drop Down 1" hidden="1">
          <a:extLst>
            <a:ext uri="{FF2B5EF4-FFF2-40B4-BE49-F238E27FC236}">
              <a16:creationId xmlns:a16="http://schemas.microsoft.com/office/drawing/2014/main" id="{00000000-0008-0000-0100-000067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84" name="Drop Down 1" hidden="1">
          <a:extLst>
            <a:ext uri="{FF2B5EF4-FFF2-40B4-BE49-F238E27FC236}">
              <a16:creationId xmlns:a16="http://schemas.microsoft.com/office/drawing/2014/main" id="{00000000-0008-0000-0100-000068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85" name="Drop Down 2" hidden="1">
          <a:extLst>
            <a:ext uri="{FF2B5EF4-FFF2-40B4-BE49-F238E27FC236}">
              <a16:creationId xmlns:a16="http://schemas.microsoft.com/office/drawing/2014/main" id="{00000000-0008-0000-0100-000069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86" name="Drop Down 1" hidden="1">
          <a:extLst>
            <a:ext uri="{FF2B5EF4-FFF2-40B4-BE49-F238E27FC236}">
              <a16:creationId xmlns:a16="http://schemas.microsoft.com/office/drawing/2014/main" id="{00000000-0008-0000-0100-00006A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387" name="Drop Down -1022" hidden="1">
          <a:extLst>
            <a:ext uri="{FF2B5EF4-FFF2-40B4-BE49-F238E27FC236}">
              <a16:creationId xmlns:a16="http://schemas.microsoft.com/office/drawing/2014/main" id="{00000000-0008-0000-0100-00006B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88" name="Drop Down 1" hidden="1">
          <a:extLst>
            <a:ext uri="{FF2B5EF4-FFF2-40B4-BE49-F238E27FC236}">
              <a16:creationId xmlns:a16="http://schemas.microsoft.com/office/drawing/2014/main" id="{00000000-0008-0000-0100-00006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89" name="Drop Down 1" hidden="1">
          <a:extLst>
            <a:ext uri="{FF2B5EF4-FFF2-40B4-BE49-F238E27FC236}">
              <a16:creationId xmlns:a16="http://schemas.microsoft.com/office/drawing/2014/main" id="{00000000-0008-0000-0100-00006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90" name="Drop Down 1" hidden="1">
          <a:extLst>
            <a:ext uri="{FF2B5EF4-FFF2-40B4-BE49-F238E27FC236}">
              <a16:creationId xmlns:a16="http://schemas.microsoft.com/office/drawing/2014/main" id="{00000000-0008-0000-0100-00006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91" name="Drop Down 1" hidden="1">
          <a:extLst>
            <a:ext uri="{FF2B5EF4-FFF2-40B4-BE49-F238E27FC236}">
              <a16:creationId xmlns:a16="http://schemas.microsoft.com/office/drawing/2014/main" id="{00000000-0008-0000-0100-00006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92" name="Drop Down 2" hidden="1">
          <a:extLst>
            <a:ext uri="{FF2B5EF4-FFF2-40B4-BE49-F238E27FC236}">
              <a16:creationId xmlns:a16="http://schemas.microsoft.com/office/drawing/2014/main" id="{00000000-0008-0000-0100-00007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93" name="Drop Down 1" hidden="1">
          <a:extLst>
            <a:ext uri="{FF2B5EF4-FFF2-40B4-BE49-F238E27FC236}">
              <a16:creationId xmlns:a16="http://schemas.microsoft.com/office/drawing/2014/main" id="{00000000-0008-0000-0100-00007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394" name="Drop Down -1022" hidden="1">
          <a:extLst>
            <a:ext uri="{FF2B5EF4-FFF2-40B4-BE49-F238E27FC236}">
              <a16:creationId xmlns:a16="http://schemas.microsoft.com/office/drawing/2014/main" id="{00000000-0008-0000-0100-00007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95" name="Drop Down 1" hidden="1">
          <a:extLst>
            <a:ext uri="{FF2B5EF4-FFF2-40B4-BE49-F238E27FC236}">
              <a16:creationId xmlns:a16="http://schemas.microsoft.com/office/drawing/2014/main" id="{00000000-0008-0000-0100-00007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96" name="Drop Down 1" hidden="1">
          <a:extLst>
            <a:ext uri="{FF2B5EF4-FFF2-40B4-BE49-F238E27FC236}">
              <a16:creationId xmlns:a16="http://schemas.microsoft.com/office/drawing/2014/main" id="{00000000-0008-0000-0100-00007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97" name="Drop Down 1" hidden="1">
          <a:extLst>
            <a:ext uri="{FF2B5EF4-FFF2-40B4-BE49-F238E27FC236}">
              <a16:creationId xmlns:a16="http://schemas.microsoft.com/office/drawing/2014/main" id="{00000000-0008-0000-0100-00007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98" name="Drop Down 1" hidden="1">
          <a:extLst>
            <a:ext uri="{FF2B5EF4-FFF2-40B4-BE49-F238E27FC236}">
              <a16:creationId xmlns:a16="http://schemas.microsoft.com/office/drawing/2014/main" id="{00000000-0008-0000-0100-00007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399" name="Drop Down 2" hidden="1">
          <a:extLst>
            <a:ext uri="{FF2B5EF4-FFF2-40B4-BE49-F238E27FC236}">
              <a16:creationId xmlns:a16="http://schemas.microsoft.com/office/drawing/2014/main" id="{00000000-0008-0000-0100-00007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00" name="Drop Down 1" hidden="1">
          <a:extLst>
            <a:ext uri="{FF2B5EF4-FFF2-40B4-BE49-F238E27FC236}">
              <a16:creationId xmlns:a16="http://schemas.microsoft.com/office/drawing/2014/main" id="{00000000-0008-0000-0100-000078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01" name="Drop Down -1022" hidden="1">
          <a:extLst>
            <a:ext uri="{FF2B5EF4-FFF2-40B4-BE49-F238E27FC236}">
              <a16:creationId xmlns:a16="http://schemas.microsoft.com/office/drawing/2014/main" id="{00000000-0008-0000-0100-000079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02" name="Drop Down 1" hidden="1">
          <a:extLst>
            <a:ext uri="{FF2B5EF4-FFF2-40B4-BE49-F238E27FC236}">
              <a16:creationId xmlns:a16="http://schemas.microsoft.com/office/drawing/2014/main" id="{00000000-0008-0000-0100-00007A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03" name="Drop Down 1" hidden="1">
          <a:extLst>
            <a:ext uri="{FF2B5EF4-FFF2-40B4-BE49-F238E27FC236}">
              <a16:creationId xmlns:a16="http://schemas.microsoft.com/office/drawing/2014/main" id="{00000000-0008-0000-0100-00007B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04" name="Drop Down 1" hidden="1">
          <a:extLst>
            <a:ext uri="{FF2B5EF4-FFF2-40B4-BE49-F238E27FC236}">
              <a16:creationId xmlns:a16="http://schemas.microsoft.com/office/drawing/2014/main" id="{00000000-0008-0000-0100-00007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05" name="Drop Down 1" hidden="1">
          <a:extLst>
            <a:ext uri="{FF2B5EF4-FFF2-40B4-BE49-F238E27FC236}">
              <a16:creationId xmlns:a16="http://schemas.microsoft.com/office/drawing/2014/main" id="{00000000-0008-0000-0100-00007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06" name="Drop Down 2" hidden="1">
          <a:extLst>
            <a:ext uri="{FF2B5EF4-FFF2-40B4-BE49-F238E27FC236}">
              <a16:creationId xmlns:a16="http://schemas.microsoft.com/office/drawing/2014/main" id="{00000000-0008-0000-0100-00007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07" name="Drop Down 1" hidden="1">
          <a:extLst>
            <a:ext uri="{FF2B5EF4-FFF2-40B4-BE49-F238E27FC236}">
              <a16:creationId xmlns:a16="http://schemas.microsoft.com/office/drawing/2014/main" id="{00000000-0008-0000-0100-00007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08" name="Drop Down -1022" hidden="1">
          <a:extLst>
            <a:ext uri="{FF2B5EF4-FFF2-40B4-BE49-F238E27FC236}">
              <a16:creationId xmlns:a16="http://schemas.microsoft.com/office/drawing/2014/main" id="{00000000-0008-0000-0100-00008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09" name="Drop Down 1" hidden="1">
          <a:extLst>
            <a:ext uri="{FF2B5EF4-FFF2-40B4-BE49-F238E27FC236}">
              <a16:creationId xmlns:a16="http://schemas.microsoft.com/office/drawing/2014/main" id="{00000000-0008-0000-0100-00008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10" name="Drop Down 1" hidden="1">
          <a:extLst>
            <a:ext uri="{FF2B5EF4-FFF2-40B4-BE49-F238E27FC236}">
              <a16:creationId xmlns:a16="http://schemas.microsoft.com/office/drawing/2014/main" id="{00000000-0008-0000-0100-00008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11" name="Drop Down 1" hidden="1">
          <a:extLst>
            <a:ext uri="{FF2B5EF4-FFF2-40B4-BE49-F238E27FC236}">
              <a16:creationId xmlns:a16="http://schemas.microsoft.com/office/drawing/2014/main" id="{00000000-0008-0000-0100-00008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12" name="Drop Down 1" hidden="1">
          <a:extLst>
            <a:ext uri="{FF2B5EF4-FFF2-40B4-BE49-F238E27FC236}">
              <a16:creationId xmlns:a16="http://schemas.microsoft.com/office/drawing/2014/main" id="{00000000-0008-0000-0100-00008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13" name="Drop Down 2" hidden="1">
          <a:extLst>
            <a:ext uri="{FF2B5EF4-FFF2-40B4-BE49-F238E27FC236}">
              <a16:creationId xmlns:a16="http://schemas.microsoft.com/office/drawing/2014/main" id="{00000000-0008-0000-0100-00008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14" name="Drop Down 1" hidden="1">
          <a:extLst>
            <a:ext uri="{FF2B5EF4-FFF2-40B4-BE49-F238E27FC236}">
              <a16:creationId xmlns:a16="http://schemas.microsoft.com/office/drawing/2014/main" id="{00000000-0008-0000-0100-00008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15" name="Drop Down -1022" hidden="1">
          <a:extLst>
            <a:ext uri="{FF2B5EF4-FFF2-40B4-BE49-F238E27FC236}">
              <a16:creationId xmlns:a16="http://schemas.microsoft.com/office/drawing/2014/main" id="{00000000-0008-0000-0100-00008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16" name="Drop Down 1" hidden="1">
          <a:extLst>
            <a:ext uri="{FF2B5EF4-FFF2-40B4-BE49-F238E27FC236}">
              <a16:creationId xmlns:a16="http://schemas.microsoft.com/office/drawing/2014/main" id="{00000000-0008-0000-0100-000088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17" name="Drop Down 1" hidden="1">
          <a:extLst>
            <a:ext uri="{FF2B5EF4-FFF2-40B4-BE49-F238E27FC236}">
              <a16:creationId xmlns:a16="http://schemas.microsoft.com/office/drawing/2014/main" id="{00000000-0008-0000-0100-000089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18" name="Drop Down 1" hidden="1">
          <a:extLst>
            <a:ext uri="{FF2B5EF4-FFF2-40B4-BE49-F238E27FC236}">
              <a16:creationId xmlns:a16="http://schemas.microsoft.com/office/drawing/2014/main" id="{00000000-0008-0000-0100-00008A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19" name="Drop Down 1" hidden="1">
          <a:extLst>
            <a:ext uri="{FF2B5EF4-FFF2-40B4-BE49-F238E27FC236}">
              <a16:creationId xmlns:a16="http://schemas.microsoft.com/office/drawing/2014/main" id="{00000000-0008-0000-0100-00008B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20" name="Drop Down 2" hidden="1">
          <a:extLst>
            <a:ext uri="{FF2B5EF4-FFF2-40B4-BE49-F238E27FC236}">
              <a16:creationId xmlns:a16="http://schemas.microsoft.com/office/drawing/2014/main" id="{00000000-0008-0000-0100-00008C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21" name="Drop Down 1" hidden="1">
          <a:extLst>
            <a:ext uri="{FF2B5EF4-FFF2-40B4-BE49-F238E27FC236}">
              <a16:creationId xmlns:a16="http://schemas.microsoft.com/office/drawing/2014/main" id="{00000000-0008-0000-0100-00008D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22" name="Drop Down -1022" hidden="1">
          <a:extLst>
            <a:ext uri="{FF2B5EF4-FFF2-40B4-BE49-F238E27FC236}">
              <a16:creationId xmlns:a16="http://schemas.microsoft.com/office/drawing/2014/main" id="{00000000-0008-0000-0100-00008E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23" name="Drop Down 1" hidden="1">
          <a:extLst>
            <a:ext uri="{FF2B5EF4-FFF2-40B4-BE49-F238E27FC236}">
              <a16:creationId xmlns:a16="http://schemas.microsoft.com/office/drawing/2014/main" id="{00000000-0008-0000-0100-00008F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24" name="Drop Down 1" hidden="1">
          <a:extLst>
            <a:ext uri="{FF2B5EF4-FFF2-40B4-BE49-F238E27FC236}">
              <a16:creationId xmlns:a16="http://schemas.microsoft.com/office/drawing/2014/main" id="{00000000-0008-0000-0100-000090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25" name="Drop Down 1" hidden="1">
          <a:extLst>
            <a:ext uri="{FF2B5EF4-FFF2-40B4-BE49-F238E27FC236}">
              <a16:creationId xmlns:a16="http://schemas.microsoft.com/office/drawing/2014/main" id="{00000000-0008-0000-0100-000091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26" name="Drop Down 1" hidden="1">
          <a:extLst>
            <a:ext uri="{FF2B5EF4-FFF2-40B4-BE49-F238E27FC236}">
              <a16:creationId xmlns:a16="http://schemas.microsoft.com/office/drawing/2014/main" id="{00000000-0008-0000-0100-000092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27" name="Drop Down 2" hidden="1">
          <a:extLst>
            <a:ext uri="{FF2B5EF4-FFF2-40B4-BE49-F238E27FC236}">
              <a16:creationId xmlns:a16="http://schemas.microsoft.com/office/drawing/2014/main" id="{00000000-0008-0000-0100-000093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28" name="Drop Down 1" hidden="1">
          <a:extLst>
            <a:ext uri="{FF2B5EF4-FFF2-40B4-BE49-F238E27FC236}">
              <a16:creationId xmlns:a16="http://schemas.microsoft.com/office/drawing/2014/main" id="{00000000-0008-0000-0100-000094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29" name="Drop Down -1022" hidden="1">
          <a:extLst>
            <a:ext uri="{FF2B5EF4-FFF2-40B4-BE49-F238E27FC236}">
              <a16:creationId xmlns:a16="http://schemas.microsoft.com/office/drawing/2014/main" id="{00000000-0008-0000-0100-000095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30" name="Drop Down 1" hidden="1">
          <a:extLst>
            <a:ext uri="{FF2B5EF4-FFF2-40B4-BE49-F238E27FC236}">
              <a16:creationId xmlns:a16="http://schemas.microsoft.com/office/drawing/2014/main" id="{00000000-0008-0000-0100-000096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31" name="Drop Down 1" hidden="1">
          <a:extLst>
            <a:ext uri="{FF2B5EF4-FFF2-40B4-BE49-F238E27FC236}">
              <a16:creationId xmlns:a16="http://schemas.microsoft.com/office/drawing/2014/main" id="{00000000-0008-0000-0100-000097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32" name="Drop Down 1" hidden="1">
          <a:extLst>
            <a:ext uri="{FF2B5EF4-FFF2-40B4-BE49-F238E27FC236}">
              <a16:creationId xmlns:a16="http://schemas.microsoft.com/office/drawing/2014/main" id="{00000000-0008-0000-0100-000098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33" name="Drop Down 1" hidden="1">
          <a:extLst>
            <a:ext uri="{FF2B5EF4-FFF2-40B4-BE49-F238E27FC236}">
              <a16:creationId xmlns:a16="http://schemas.microsoft.com/office/drawing/2014/main" id="{00000000-0008-0000-0100-000099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34" name="Drop Down 2" hidden="1">
          <a:extLst>
            <a:ext uri="{FF2B5EF4-FFF2-40B4-BE49-F238E27FC236}">
              <a16:creationId xmlns:a16="http://schemas.microsoft.com/office/drawing/2014/main" id="{00000000-0008-0000-0100-00009A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35" name="Drop Down 1" hidden="1">
          <a:extLst>
            <a:ext uri="{FF2B5EF4-FFF2-40B4-BE49-F238E27FC236}">
              <a16:creationId xmlns:a16="http://schemas.microsoft.com/office/drawing/2014/main" id="{00000000-0008-0000-0100-00009B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36" name="Drop Down -1022" hidden="1">
          <a:extLst>
            <a:ext uri="{FF2B5EF4-FFF2-40B4-BE49-F238E27FC236}">
              <a16:creationId xmlns:a16="http://schemas.microsoft.com/office/drawing/2014/main" id="{00000000-0008-0000-0100-00009C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37" name="Drop Down 1" hidden="1">
          <a:extLst>
            <a:ext uri="{FF2B5EF4-FFF2-40B4-BE49-F238E27FC236}">
              <a16:creationId xmlns:a16="http://schemas.microsoft.com/office/drawing/2014/main" id="{00000000-0008-0000-0100-00009D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38" name="Drop Down 1" hidden="1">
          <a:extLst>
            <a:ext uri="{FF2B5EF4-FFF2-40B4-BE49-F238E27FC236}">
              <a16:creationId xmlns:a16="http://schemas.microsoft.com/office/drawing/2014/main" id="{00000000-0008-0000-0100-00009E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39" name="Drop Down 1" hidden="1">
          <a:extLst>
            <a:ext uri="{FF2B5EF4-FFF2-40B4-BE49-F238E27FC236}">
              <a16:creationId xmlns:a16="http://schemas.microsoft.com/office/drawing/2014/main" id="{00000000-0008-0000-0100-00009F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40" name="Drop Down 1" hidden="1">
          <a:extLst>
            <a:ext uri="{FF2B5EF4-FFF2-40B4-BE49-F238E27FC236}">
              <a16:creationId xmlns:a16="http://schemas.microsoft.com/office/drawing/2014/main" id="{00000000-0008-0000-0100-0000A0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41" name="Drop Down 2" hidden="1">
          <a:extLst>
            <a:ext uri="{FF2B5EF4-FFF2-40B4-BE49-F238E27FC236}">
              <a16:creationId xmlns:a16="http://schemas.microsoft.com/office/drawing/2014/main" id="{00000000-0008-0000-0100-0000A1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42" name="Drop Down 1" hidden="1">
          <a:extLst>
            <a:ext uri="{FF2B5EF4-FFF2-40B4-BE49-F238E27FC236}">
              <a16:creationId xmlns:a16="http://schemas.microsoft.com/office/drawing/2014/main" id="{00000000-0008-0000-0100-0000A2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43" name="Drop Down -1022" hidden="1">
          <a:extLst>
            <a:ext uri="{FF2B5EF4-FFF2-40B4-BE49-F238E27FC236}">
              <a16:creationId xmlns:a16="http://schemas.microsoft.com/office/drawing/2014/main" id="{00000000-0008-0000-0100-0000A3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444" name="Drop Down 1" hidden="1">
          <a:extLst>
            <a:ext uri="{FF2B5EF4-FFF2-40B4-BE49-F238E27FC236}">
              <a16:creationId xmlns:a16="http://schemas.microsoft.com/office/drawing/2014/main" id="{00000000-0008-0000-0100-0000A4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445" name="Drop Down 1" hidden="1">
          <a:extLst>
            <a:ext uri="{FF2B5EF4-FFF2-40B4-BE49-F238E27FC236}">
              <a16:creationId xmlns:a16="http://schemas.microsoft.com/office/drawing/2014/main" id="{00000000-0008-0000-0100-0000A5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446" name="Drop Down 1" hidden="1">
          <a:extLst>
            <a:ext uri="{FF2B5EF4-FFF2-40B4-BE49-F238E27FC236}">
              <a16:creationId xmlns:a16="http://schemas.microsoft.com/office/drawing/2014/main" id="{00000000-0008-0000-0100-0000A6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447" name="Drop Down 1" hidden="1">
          <a:extLst>
            <a:ext uri="{FF2B5EF4-FFF2-40B4-BE49-F238E27FC236}">
              <a16:creationId xmlns:a16="http://schemas.microsoft.com/office/drawing/2014/main" id="{00000000-0008-0000-0100-0000A7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448" name="Drop Down 2" hidden="1">
          <a:extLst>
            <a:ext uri="{FF2B5EF4-FFF2-40B4-BE49-F238E27FC236}">
              <a16:creationId xmlns:a16="http://schemas.microsoft.com/office/drawing/2014/main" id="{00000000-0008-0000-0100-0000A8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449" name="Drop Down 1" hidden="1">
          <a:extLst>
            <a:ext uri="{FF2B5EF4-FFF2-40B4-BE49-F238E27FC236}">
              <a16:creationId xmlns:a16="http://schemas.microsoft.com/office/drawing/2014/main" id="{00000000-0008-0000-0100-0000A9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9004"/>
    <xdr:sp macro="" textlink="">
      <xdr:nvSpPr>
        <xdr:cNvPr id="1450" name="Drop Down -1022" hidden="1">
          <a:extLst>
            <a:ext uri="{FF2B5EF4-FFF2-40B4-BE49-F238E27FC236}">
              <a16:creationId xmlns:a16="http://schemas.microsoft.com/office/drawing/2014/main" id="{00000000-0008-0000-0100-0000AA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451" name="Drop Down 1" hidden="1">
          <a:extLst>
            <a:ext uri="{FF2B5EF4-FFF2-40B4-BE49-F238E27FC236}">
              <a16:creationId xmlns:a16="http://schemas.microsoft.com/office/drawing/2014/main" id="{00000000-0008-0000-0100-0000AB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452" name="Drop Down 1" hidden="1">
          <a:extLst>
            <a:ext uri="{FF2B5EF4-FFF2-40B4-BE49-F238E27FC236}">
              <a16:creationId xmlns:a16="http://schemas.microsoft.com/office/drawing/2014/main" id="{00000000-0008-0000-0100-0000AC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453" name="Drop Down 1" hidden="1">
          <a:extLst>
            <a:ext uri="{FF2B5EF4-FFF2-40B4-BE49-F238E27FC236}">
              <a16:creationId xmlns:a16="http://schemas.microsoft.com/office/drawing/2014/main" id="{00000000-0008-0000-0100-0000AD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454" name="Drop Down 1" hidden="1">
          <a:extLst>
            <a:ext uri="{FF2B5EF4-FFF2-40B4-BE49-F238E27FC236}">
              <a16:creationId xmlns:a16="http://schemas.microsoft.com/office/drawing/2014/main" id="{00000000-0008-0000-0100-0000AE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455" name="Drop Down 2" hidden="1">
          <a:extLst>
            <a:ext uri="{FF2B5EF4-FFF2-40B4-BE49-F238E27FC236}">
              <a16:creationId xmlns:a16="http://schemas.microsoft.com/office/drawing/2014/main" id="{00000000-0008-0000-0100-0000AF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456" name="Drop Down 1" hidden="1">
          <a:extLst>
            <a:ext uri="{FF2B5EF4-FFF2-40B4-BE49-F238E27FC236}">
              <a16:creationId xmlns:a16="http://schemas.microsoft.com/office/drawing/2014/main" id="{00000000-0008-0000-0100-0000B0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4240" cy="207245"/>
    <xdr:sp macro="" textlink="">
      <xdr:nvSpPr>
        <xdr:cNvPr id="1457" name="Drop Down -1022" hidden="1">
          <a:extLst>
            <a:ext uri="{FF2B5EF4-FFF2-40B4-BE49-F238E27FC236}">
              <a16:creationId xmlns:a16="http://schemas.microsoft.com/office/drawing/2014/main" id="{00000000-0008-0000-0100-0000B1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58" name="Drop Down 1" hidden="1">
          <a:extLst>
            <a:ext uri="{FF2B5EF4-FFF2-40B4-BE49-F238E27FC236}">
              <a16:creationId xmlns:a16="http://schemas.microsoft.com/office/drawing/2014/main" id="{00000000-0008-0000-0100-0000B2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59" name="Drop Down 1" hidden="1">
          <a:extLst>
            <a:ext uri="{FF2B5EF4-FFF2-40B4-BE49-F238E27FC236}">
              <a16:creationId xmlns:a16="http://schemas.microsoft.com/office/drawing/2014/main" id="{00000000-0008-0000-0100-0000B3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60" name="Drop Down 1" hidden="1">
          <a:extLst>
            <a:ext uri="{FF2B5EF4-FFF2-40B4-BE49-F238E27FC236}">
              <a16:creationId xmlns:a16="http://schemas.microsoft.com/office/drawing/2014/main" id="{00000000-0008-0000-0100-0000B4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61" name="Drop Down 1" hidden="1">
          <a:extLst>
            <a:ext uri="{FF2B5EF4-FFF2-40B4-BE49-F238E27FC236}">
              <a16:creationId xmlns:a16="http://schemas.microsoft.com/office/drawing/2014/main" id="{00000000-0008-0000-0100-0000B5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62" name="Drop Down 2" hidden="1">
          <a:extLst>
            <a:ext uri="{FF2B5EF4-FFF2-40B4-BE49-F238E27FC236}">
              <a16:creationId xmlns:a16="http://schemas.microsoft.com/office/drawing/2014/main" id="{00000000-0008-0000-0100-0000B6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63" name="Drop Down 1" hidden="1">
          <a:extLst>
            <a:ext uri="{FF2B5EF4-FFF2-40B4-BE49-F238E27FC236}">
              <a16:creationId xmlns:a16="http://schemas.microsoft.com/office/drawing/2014/main" id="{00000000-0008-0000-0100-0000B7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464" name="Drop Down -1022" hidden="1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65" name="Drop Down 1" hidden="1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66" name="Drop Down 1" hidden="1">
          <a:extLst>
            <a:ext uri="{FF2B5EF4-FFF2-40B4-BE49-F238E27FC236}">
              <a16:creationId xmlns:a16="http://schemas.microsoft.com/office/drawing/2014/main" id="{00000000-0008-0000-0100-0000BA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67" name="Drop Down 1" hidden="1">
          <a:extLst>
            <a:ext uri="{FF2B5EF4-FFF2-40B4-BE49-F238E27FC236}">
              <a16:creationId xmlns:a16="http://schemas.microsoft.com/office/drawing/2014/main" id="{00000000-0008-0000-0100-0000BB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68" name="Drop Down 1" hidden="1">
          <a:extLst>
            <a:ext uri="{FF2B5EF4-FFF2-40B4-BE49-F238E27FC236}">
              <a16:creationId xmlns:a16="http://schemas.microsoft.com/office/drawing/2014/main" id="{00000000-0008-0000-0100-0000BC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69" name="Drop Down 2" hidden="1">
          <a:extLst>
            <a:ext uri="{FF2B5EF4-FFF2-40B4-BE49-F238E27FC236}">
              <a16:creationId xmlns:a16="http://schemas.microsoft.com/office/drawing/2014/main" id="{00000000-0008-0000-0100-0000BD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70" name="Drop Down 1" hidden="1">
          <a:extLst>
            <a:ext uri="{FF2B5EF4-FFF2-40B4-BE49-F238E27FC236}">
              <a16:creationId xmlns:a16="http://schemas.microsoft.com/office/drawing/2014/main" id="{00000000-0008-0000-0100-0000BE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471" name="Drop Down -1022" hidden="1">
          <a:extLst>
            <a:ext uri="{FF2B5EF4-FFF2-40B4-BE49-F238E27FC236}">
              <a16:creationId xmlns:a16="http://schemas.microsoft.com/office/drawing/2014/main" id="{00000000-0008-0000-0100-0000BF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72" name="Drop Down 1" hidden="1">
          <a:extLst>
            <a:ext uri="{FF2B5EF4-FFF2-40B4-BE49-F238E27FC236}">
              <a16:creationId xmlns:a16="http://schemas.microsoft.com/office/drawing/2014/main" id="{00000000-0008-0000-0100-0000C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73" name="Drop Down 1" hidden="1">
          <a:extLst>
            <a:ext uri="{FF2B5EF4-FFF2-40B4-BE49-F238E27FC236}">
              <a16:creationId xmlns:a16="http://schemas.microsoft.com/office/drawing/2014/main" id="{00000000-0008-0000-0100-0000C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74" name="Drop Down 1" hidden="1">
          <a:extLst>
            <a:ext uri="{FF2B5EF4-FFF2-40B4-BE49-F238E27FC236}">
              <a16:creationId xmlns:a16="http://schemas.microsoft.com/office/drawing/2014/main" id="{00000000-0008-0000-0100-0000C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75" name="Drop Down 1" hidden="1">
          <a:extLst>
            <a:ext uri="{FF2B5EF4-FFF2-40B4-BE49-F238E27FC236}">
              <a16:creationId xmlns:a16="http://schemas.microsoft.com/office/drawing/2014/main" id="{00000000-0008-0000-0100-0000C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76" name="Drop Down 2" hidden="1">
          <a:extLst>
            <a:ext uri="{FF2B5EF4-FFF2-40B4-BE49-F238E27FC236}">
              <a16:creationId xmlns:a16="http://schemas.microsoft.com/office/drawing/2014/main" id="{00000000-0008-0000-0100-0000C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77" name="Drop Down 1" hidden="1">
          <a:extLst>
            <a:ext uri="{FF2B5EF4-FFF2-40B4-BE49-F238E27FC236}">
              <a16:creationId xmlns:a16="http://schemas.microsoft.com/office/drawing/2014/main" id="{00000000-0008-0000-0100-0000C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78" name="Drop Down -1022" hidden="1">
          <a:extLst>
            <a:ext uri="{FF2B5EF4-FFF2-40B4-BE49-F238E27FC236}">
              <a16:creationId xmlns:a16="http://schemas.microsoft.com/office/drawing/2014/main" id="{00000000-0008-0000-0100-0000C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79" name="Drop Down 1" hidden="1">
          <a:extLst>
            <a:ext uri="{FF2B5EF4-FFF2-40B4-BE49-F238E27FC236}">
              <a16:creationId xmlns:a16="http://schemas.microsoft.com/office/drawing/2014/main" id="{00000000-0008-0000-0100-0000C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80" name="Drop Down 1" hidden="1">
          <a:extLst>
            <a:ext uri="{FF2B5EF4-FFF2-40B4-BE49-F238E27FC236}">
              <a16:creationId xmlns:a16="http://schemas.microsoft.com/office/drawing/2014/main" id="{00000000-0008-0000-0100-0000C8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81" name="Drop Down 1" hidden="1">
          <a:extLst>
            <a:ext uri="{FF2B5EF4-FFF2-40B4-BE49-F238E27FC236}">
              <a16:creationId xmlns:a16="http://schemas.microsoft.com/office/drawing/2014/main" id="{00000000-0008-0000-0100-0000C9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82" name="Drop Down 1" hidden="1">
          <a:extLst>
            <a:ext uri="{FF2B5EF4-FFF2-40B4-BE49-F238E27FC236}">
              <a16:creationId xmlns:a16="http://schemas.microsoft.com/office/drawing/2014/main" id="{00000000-0008-0000-0100-0000CA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83" name="Drop Down 2" hidden="1">
          <a:extLst>
            <a:ext uri="{FF2B5EF4-FFF2-40B4-BE49-F238E27FC236}">
              <a16:creationId xmlns:a16="http://schemas.microsoft.com/office/drawing/2014/main" id="{00000000-0008-0000-0100-0000CB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84" name="Drop Down 1" hidden="1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85" name="Drop Down -1022" hidden="1">
          <a:extLst>
            <a:ext uri="{FF2B5EF4-FFF2-40B4-BE49-F238E27FC236}">
              <a16:creationId xmlns:a16="http://schemas.microsoft.com/office/drawing/2014/main" id="{00000000-0008-0000-0100-0000C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86" name="Drop Down 1" hidden="1">
          <a:extLst>
            <a:ext uri="{FF2B5EF4-FFF2-40B4-BE49-F238E27FC236}">
              <a16:creationId xmlns:a16="http://schemas.microsoft.com/office/drawing/2014/main" id="{00000000-0008-0000-0100-0000C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87" name="Drop Down 1" hidden="1">
          <a:extLst>
            <a:ext uri="{FF2B5EF4-FFF2-40B4-BE49-F238E27FC236}">
              <a16:creationId xmlns:a16="http://schemas.microsoft.com/office/drawing/2014/main" id="{00000000-0008-0000-0100-0000C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88" name="Drop Down 1" hidden="1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89" name="Drop Down 1" hidden="1">
          <a:extLst>
            <a:ext uri="{FF2B5EF4-FFF2-40B4-BE49-F238E27FC236}">
              <a16:creationId xmlns:a16="http://schemas.microsoft.com/office/drawing/2014/main" id="{00000000-0008-0000-0100-0000D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90" name="Drop Down 2" hidden="1">
          <a:extLst>
            <a:ext uri="{FF2B5EF4-FFF2-40B4-BE49-F238E27FC236}">
              <a16:creationId xmlns:a16="http://schemas.microsoft.com/office/drawing/2014/main" id="{00000000-0008-0000-0100-0000D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91" name="Drop Down 1" hidden="1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492" name="Drop Down -1022" hidden="1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93" name="Drop Down 1" hidden="1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94" name="Drop Down 1" hidden="1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95" name="Drop Down 1" hidden="1">
          <a:extLst>
            <a:ext uri="{FF2B5EF4-FFF2-40B4-BE49-F238E27FC236}">
              <a16:creationId xmlns:a16="http://schemas.microsoft.com/office/drawing/2014/main" id="{00000000-0008-0000-0100-0000D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96" name="Drop Down 1" hidden="1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97" name="Drop Down 2" hidden="1">
          <a:extLst>
            <a:ext uri="{FF2B5EF4-FFF2-40B4-BE49-F238E27FC236}">
              <a16:creationId xmlns:a16="http://schemas.microsoft.com/office/drawing/2014/main" id="{00000000-0008-0000-0100-0000D9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98" name="Drop Down 1" hidden="1">
          <a:extLst>
            <a:ext uri="{FF2B5EF4-FFF2-40B4-BE49-F238E27FC236}">
              <a16:creationId xmlns:a16="http://schemas.microsoft.com/office/drawing/2014/main" id="{00000000-0008-0000-0100-0000DA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499" name="Drop Down -1022" hidden="1">
          <a:extLst>
            <a:ext uri="{FF2B5EF4-FFF2-40B4-BE49-F238E27FC236}">
              <a16:creationId xmlns:a16="http://schemas.microsoft.com/office/drawing/2014/main" id="{00000000-0008-0000-0100-0000DB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00" name="Drop Down 1" hidden="1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01" name="Drop Down 1" hidden="1">
          <a:extLst>
            <a:ext uri="{FF2B5EF4-FFF2-40B4-BE49-F238E27FC236}">
              <a16:creationId xmlns:a16="http://schemas.microsoft.com/office/drawing/2014/main" id="{00000000-0008-0000-0100-0000D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02" name="Drop Down 1" hidden="1">
          <a:extLst>
            <a:ext uri="{FF2B5EF4-FFF2-40B4-BE49-F238E27FC236}">
              <a16:creationId xmlns:a16="http://schemas.microsoft.com/office/drawing/2014/main" id="{00000000-0008-0000-0100-0000D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03" name="Drop Down 1" hidden="1">
          <a:extLst>
            <a:ext uri="{FF2B5EF4-FFF2-40B4-BE49-F238E27FC236}">
              <a16:creationId xmlns:a16="http://schemas.microsoft.com/office/drawing/2014/main" id="{00000000-0008-0000-0100-0000D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04" name="Drop Down 2" hidden="1">
          <a:extLst>
            <a:ext uri="{FF2B5EF4-FFF2-40B4-BE49-F238E27FC236}">
              <a16:creationId xmlns:a16="http://schemas.microsoft.com/office/drawing/2014/main" id="{00000000-0008-0000-0100-0000E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05" name="Drop Down 1" hidden="1">
          <a:extLst>
            <a:ext uri="{FF2B5EF4-FFF2-40B4-BE49-F238E27FC236}">
              <a16:creationId xmlns:a16="http://schemas.microsoft.com/office/drawing/2014/main" id="{00000000-0008-0000-0100-0000E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06" name="Drop Down -1022" hidden="1">
          <a:extLst>
            <a:ext uri="{FF2B5EF4-FFF2-40B4-BE49-F238E27FC236}">
              <a16:creationId xmlns:a16="http://schemas.microsoft.com/office/drawing/2014/main" id="{00000000-0008-0000-0100-0000E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07" name="Drop Down 1" hidden="1">
          <a:extLst>
            <a:ext uri="{FF2B5EF4-FFF2-40B4-BE49-F238E27FC236}">
              <a16:creationId xmlns:a16="http://schemas.microsoft.com/office/drawing/2014/main" id="{00000000-0008-0000-0100-0000E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08" name="Drop Down 1" hidden="1">
          <a:extLst>
            <a:ext uri="{FF2B5EF4-FFF2-40B4-BE49-F238E27FC236}">
              <a16:creationId xmlns:a16="http://schemas.microsoft.com/office/drawing/2014/main" id="{00000000-0008-0000-0100-0000E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09" name="Drop Down 1" hidden="1">
          <a:extLst>
            <a:ext uri="{FF2B5EF4-FFF2-40B4-BE49-F238E27FC236}">
              <a16:creationId xmlns:a16="http://schemas.microsoft.com/office/drawing/2014/main" id="{00000000-0008-0000-0100-0000E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10" name="Drop Down 1" hidden="1">
          <a:extLst>
            <a:ext uri="{FF2B5EF4-FFF2-40B4-BE49-F238E27FC236}">
              <a16:creationId xmlns:a16="http://schemas.microsoft.com/office/drawing/2014/main" id="{00000000-0008-0000-0100-0000E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11" name="Drop Down 2" hidden="1">
          <a:extLst>
            <a:ext uri="{FF2B5EF4-FFF2-40B4-BE49-F238E27FC236}">
              <a16:creationId xmlns:a16="http://schemas.microsoft.com/office/drawing/2014/main" id="{00000000-0008-0000-0100-0000E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12" name="Drop Down 1" hidden="1">
          <a:extLst>
            <a:ext uri="{FF2B5EF4-FFF2-40B4-BE49-F238E27FC236}">
              <a16:creationId xmlns:a16="http://schemas.microsoft.com/office/drawing/2014/main" id="{00000000-0008-0000-0100-0000E8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13" name="Drop Down -1022" hidden="1">
          <a:extLst>
            <a:ext uri="{FF2B5EF4-FFF2-40B4-BE49-F238E27FC236}">
              <a16:creationId xmlns:a16="http://schemas.microsoft.com/office/drawing/2014/main" id="{00000000-0008-0000-0100-0000E9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14" name="Drop Down 1" hidden="1">
          <a:extLst>
            <a:ext uri="{FF2B5EF4-FFF2-40B4-BE49-F238E27FC236}">
              <a16:creationId xmlns:a16="http://schemas.microsoft.com/office/drawing/2014/main" id="{00000000-0008-0000-0100-0000EA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15" name="Drop Down 1" hidden="1">
          <a:extLst>
            <a:ext uri="{FF2B5EF4-FFF2-40B4-BE49-F238E27FC236}">
              <a16:creationId xmlns:a16="http://schemas.microsoft.com/office/drawing/2014/main" id="{00000000-0008-0000-0100-0000EB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16" name="Drop Down 1" hidden="1">
          <a:extLst>
            <a:ext uri="{FF2B5EF4-FFF2-40B4-BE49-F238E27FC236}">
              <a16:creationId xmlns:a16="http://schemas.microsoft.com/office/drawing/2014/main" id="{00000000-0008-0000-0100-0000EC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17" name="Drop Down 1" hidden="1">
          <a:extLst>
            <a:ext uri="{FF2B5EF4-FFF2-40B4-BE49-F238E27FC236}">
              <a16:creationId xmlns:a16="http://schemas.microsoft.com/office/drawing/2014/main" id="{00000000-0008-0000-0100-0000ED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18" name="Drop Down 2" hidden="1">
          <a:extLst>
            <a:ext uri="{FF2B5EF4-FFF2-40B4-BE49-F238E27FC236}">
              <a16:creationId xmlns:a16="http://schemas.microsoft.com/office/drawing/2014/main" id="{00000000-0008-0000-0100-0000EE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19" name="Drop Down 1" hidden="1">
          <a:extLst>
            <a:ext uri="{FF2B5EF4-FFF2-40B4-BE49-F238E27FC236}">
              <a16:creationId xmlns:a16="http://schemas.microsoft.com/office/drawing/2014/main" id="{00000000-0008-0000-0100-0000EF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20" name="Drop Down -1022" hidden="1">
          <a:extLst>
            <a:ext uri="{FF2B5EF4-FFF2-40B4-BE49-F238E27FC236}">
              <a16:creationId xmlns:a16="http://schemas.microsoft.com/office/drawing/2014/main" id="{00000000-0008-0000-0100-0000F0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21" name="Drop Down 1" hidden="1">
          <a:extLst>
            <a:ext uri="{FF2B5EF4-FFF2-40B4-BE49-F238E27FC236}">
              <a16:creationId xmlns:a16="http://schemas.microsoft.com/office/drawing/2014/main" id="{00000000-0008-0000-0100-0000F1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22" name="Drop Down 1" hidden="1">
          <a:extLst>
            <a:ext uri="{FF2B5EF4-FFF2-40B4-BE49-F238E27FC236}">
              <a16:creationId xmlns:a16="http://schemas.microsoft.com/office/drawing/2014/main" id="{00000000-0008-0000-0100-0000F2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23" name="Drop Down 1" hidden="1">
          <a:extLst>
            <a:ext uri="{FF2B5EF4-FFF2-40B4-BE49-F238E27FC236}">
              <a16:creationId xmlns:a16="http://schemas.microsoft.com/office/drawing/2014/main" id="{00000000-0008-0000-0100-0000F3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24" name="Drop Down 1" hidden="1">
          <a:extLst>
            <a:ext uri="{FF2B5EF4-FFF2-40B4-BE49-F238E27FC236}">
              <a16:creationId xmlns:a16="http://schemas.microsoft.com/office/drawing/2014/main" id="{00000000-0008-0000-0100-0000F4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25" name="Drop Down 2" hidden="1">
          <a:extLst>
            <a:ext uri="{FF2B5EF4-FFF2-40B4-BE49-F238E27FC236}">
              <a16:creationId xmlns:a16="http://schemas.microsoft.com/office/drawing/2014/main" id="{00000000-0008-0000-0100-0000F5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26" name="Drop Down 1" hidden="1">
          <a:extLst>
            <a:ext uri="{FF2B5EF4-FFF2-40B4-BE49-F238E27FC236}">
              <a16:creationId xmlns:a16="http://schemas.microsoft.com/office/drawing/2014/main" id="{00000000-0008-0000-0100-0000F6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27" name="Drop Down -1022" hidden="1">
          <a:extLst>
            <a:ext uri="{FF2B5EF4-FFF2-40B4-BE49-F238E27FC236}">
              <a16:creationId xmlns:a16="http://schemas.microsoft.com/office/drawing/2014/main" id="{00000000-0008-0000-0100-0000F705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28" name="Drop Down 1" hidden="1">
          <a:extLst>
            <a:ext uri="{FF2B5EF4-FFF2-40B4-BE49-F238E27FC236}">
              <a16:creationId xmlns:a16="http://schemas.microsoft.com/office/drawing/2014/main" id="{00000000-0008-0000-0100-0000F8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29" name="Drop Down 1" hidden="1">
          <a:extLst>
            <a:ext uri="{FF2B5EF4-FFF2-40B4-BE49-F238E27FC236}">
              <a16:creationId xmlns:a16="http://schemas.microsoft.com/office/drawing/2014/main" id="{00000000-0008-0000-0100-0000F9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30" name="Drop Down 1" hidden="1">
          <a:extLst>
            <a:ext uri="{FF2B5EF4-FFF2-40B4-BE49-F238E27FC236}">
              <a16:creationId xmlns:a16="http://schemas.microsoft.com/office/drawing/2014/main" id="{00000000-0008-0000-0100-0000FA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31" name="Drop Down 1" hidden="1">
          <a:extLst>
            <a:ext uri="{FF2B5EF4-FFF2-40B4-BE49-F238E27FC236}">
              <a16:creationId xmlns:a16="http://schemas.microsoft.com/office/drawing/2014/main" id="{00000000-0008-0000-0100-0000FB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32" name="Drop Down 2" hidden="1">
          <a:extLst>
            <a:ext uri="{FF2B5EF4-FFF2-40B4-BE49-F238E27FC236}">
              <a16:creationId xmlns:a16="http://schemas.microsoft.com/office/drawing/2014/main" id="{00000000-0008-0000-0100-0000FC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33" name="Drop Down 1" hidden="1">
          <a:extLst>
            <a:ext uri="{FF2B5EF4-FFF2-40B4-BE49-F238E27FC236}">
              <a16:creationId xmlns:a16="http://schemas.microsoft.com/office/drawing/2014/main" id="{00000000-0008-0000-0100-0000FD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34" name="Drop Down -1022" hidden="1">
          <a:extLst>
            <a:ext uri="{FF2B5EF4-FFF2-40B4-BE49-F238E27FC236}">
              <a16:creationId xmlns:a16="http://schemas.microsoft.com/office/drawing/2014/main" id="{00000000-0008-0000-0100-0000FE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35" name="Drop Down 1" hidden="1">
          <a:extLst>
            <a:ext uri="{FF2B5EF4-FFF2-40B4-BE49-F238E27FC236}">
              <a16:creationId xmlns:a16="http://schemas.microsoft.com/office/drawing/2014/main" id="{00000000-0008-0000-0100-0000FF05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36" name="Drop Down 1" hidden="1">
          <a:extLst>
            <a:ext uri="{FF2B5EF4-FFF2-40B4-BE49-F238E27FC236}">
              <a16:creationId xmlns:a16="http://schemas.microsoft.com/office/drawing/2014/main" id="{00000000-0008-0000-0100-000000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37" name="Drop Down 1" hidden="1">
          <a:extLst>
            <a:ext uri="{FF2B5EF4-FFF2-40B4-BE49-F238E27FC236}">
              <a16:creationId xmlns:a16="http://schemas.microsoft.com/office/drawing/2014/main" id="{00000000-0008-0000-0100-000001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38" name="Drop Down 1" hidden="1">
          <a:extLst>
            <a:ext uri="{FF2B5EF4-FFF2-40B4-BE49-F238E27FC236}">
              <a16:creationId xmlns:a16="http://schemas.microsoft.com/office/drawing/2014/main" id="{00000000-0008-0000-0100-000002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39" name="Drop Down 2" hidden="1">
          <a:extLst>
            <a:ext uri="{FF2B5EF4-FFF2-40B4-BE49-F238E27FC236}">
              <a16:creationId xmlns:a16="http://schemas.microsoft.com/office/drawing/2014/main" id="{00000000-0008-0000-0100-000003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40" name="Drop Down 1" hidden="1">
          <a:extLst>
            <a:ext uri="{FF2B5EF4-FFF2-40B4-BE49-F238E27FC236}">
              <a16:creationId xmlns:a16="http://schemas.microsoft.com/office/drawing/2014/main" id="{00000000-0008-0000-0100-000004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41" name="Drop Down -1022" hidden="1">
          <a:extLst>
            <a:ext uri="{FF2B5EF4-FFF2-40B4-BE49-F238E27FC236}">
              <a16:creationId xmlns:a16="http://schemas.microsoft.com/office/drawing/2014/main" id="{00000000-0008-0000-0100-000005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42" name="Drop Down 1" hidden="1">
          <a:extLst>
            <a:ext uri="{FF2B5EF4-FFF2-40B4-BE49-F238E27FC236}">
              <a16:creationId xmlns:a16="http://schemas.microsoft.com/office/drawing/2014/main" id="{00000000-0008-0000-0100-000006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43" name="Drop Down 1" hidden="1">
          <a:extLst>
            <a:ext uri="{FF2B5EF4-FFF2-40B4-BE49-F238E27FC236}">
              <a16:creationId xmlns:a16="http://schemas.microsoft.com/office/drawing/2014/main" id="{00000000-0008-0000-0100-000007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44" name="Drop Down 1" hidden="1">
          <a:extLst>
            <a:ext uri="{FF2B5EF4-FFF2-40B4-BE49-F238E27FC236}">
              <a16:creationId xmlns:a16="http://schemas.microsoft.com/office/drawing/2014/main" id="{00000000-0008-0000-0100-000008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45" name="Drop Down 1" hidden="1">
          <a:extLst>
            <a:ext uri="{FF2B5EF4-FFF2-40B4-BE49-F238E27FC236}">
              <a16:creationId xmlns:a16="http://schemas.microsoft.com/office/drawing/2014/main" id="{00000000-0008-0000-0100-000009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46" name="Drop Down 2" hidden="1">
          <a:extLst>
            <a:ext uri="{FF2B5EF4-FFF2-40B4-BE49-F238E27FC236}">
              <a16:creationId xmlns:a16="http://schemas.microsoft.com/office/drawing/2014/main" id="{00000000-0008-0000-0100-00000A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47" name="Drop Down 1" hidden="1">
          <a:extLst>
            <a:ext uri="{FF2B5EF4-FFF2-40B4-BE49-F238E27FC236}">
              <a16:creationId xmlns:a16="http://schemas.microsoft.com/office/drawing/2014/main" id="{00000000-0008-0000-0100-00000B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48" name="Drop Down -1022" hidden="1">
          <a:extLst>
            <a:ext uri="{FF2B5EF4-FFF2-40B4-BE49-F238E27FC236}">
              <a16:creationId xmlns:a16="http://schemas.microsoft.com/office/drawing/2014/main" id="{00000000-0008-0000-0100-00000C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49" name="Drop Down 1" hidden="1">
          <a:extLst>
            <a:ext uri="{FF2B5EF4-FFF2-40B4-BE49-F238E27FC236}">
              <a16:creationId xmlns:a16="http://schemas.microsoft.com/office/drawing/2014/main" id="{00000000-0008-0000-0100-00000D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50" name="Drop Down 1" hidden="1">
          <a:extLst>
            <a:ext uri="{FF2B5EF4-FFF2-40B4-BE49-F238E27FC236}">
              <a16:creationId xmlns:a16="http://schemas.microsoft.com/office/drawing/2014/main" id="{00000000-0008-0000-0100-00000E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51" name="Drop Down 1" hidden="1">
          <a:extLst>
            <a:ext uri="{FF2B5EF4-FFF2-40B4-BE49-F238E27FC236}">
              <a16:creationId xmlns:a16="http://schemas.microsoft.com/office/drawing/2014/main" id="{00000000-0008-0000-0100-00000F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52" name="Drop Down 1" hidden="1">
          <a:extLst>
            <a:ext uri="{FF2B5EF4-FFF2-40B4-BE49-F238E27FC236}">
              <a16:creationId xmlns:a16="http://schemas.microsoft.com/office/drawing/2014/main" id="{00000000-0008-0000-0100-000010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53" name="Drop Down 2" hidden="1">
          <a:extLst>
            <a:ext uri="{FF2B5EF4-FFF2-40B4-BE49-F238E27FC236}">
              <a16:creationId xmlns:a16="http://schemas.microsoft.com/office/drawing/2014/main" id="{00000000-0008-0000-0100-000011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54" name="Drop Down 1" hidden="1">
          <a:extLst>
            <a:ext uri="{FF2B5EF4-FFF2-40B4-BE49-F238E27FC236}">
              <a16:creationId xmlns:a16="http://schemas.microsoft.com/office/drawing/2014/main" id="{00000000-0008-0000-0100-000012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55" name="Drop Down -1022" hidden="1">
          <a:extLst>
            <a:ext uri="{FF2B5EF4-FFF2-40B4-BE49-F238E27FC236}">
              <a16:creationId xmlns:a16="http://schemas.microsoft.com/office/drawing/2014/main" id="{00000000-0008-0000-0100-000013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56" name="Drop Down 1" hidden="1">
          <a:extLst>
            <a:ext uri="{FF2B5EF4-FFF2-40B4-BE49-F238E27FC236}">
              <a16:creationId xmlns:a16="http://schemas.microsoft.com/office/drawing/2014/main" id="{00000000-0008-0000-0100-00001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57" name="Drop Down 1" hidden="1">
          <a:extLst>
            <a:ext uri="{FF2B5EF4-FFF2-40B4-BE49-F238E27FC236}">
              <a16:creationId xmlns:a16="http://schemas.microsoft.com/office/drawing/2014/main" id="{00000000-0008-0000-0100-00001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58" name="Drop Down 1" hidden="1">
          <a:extLst>
            <a:ext uri="{FF2B5EF4-FFF2-40B4-BE49-F238E27FC236}">
              <a16:creationId xmlns:a16="http://schemas.microsoft.com/office/drawing/2014/main" id="{00000000-0008-0000-0100-00001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59" name="Drop Down 1" hidden="1">
          <a:extLst>
            <a:ext uri="{FF2B5EF4-FFF2-40B4-BE49-F238E27FC236}">
              <a16:creationId xmlns:a16="http://schemas.microsoft.com/office/drawing/2014/main" id="{00000000-0008-0000-0100-00001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60" name="Drop Down 2" hidden="1">
          <a:extLst>
            <a:ext uri="{FF2B5EF4-FFF2-40B4-BE49-F238E27FC236}">
              <a16:creationId xmlns:a16="http://schemas.microsoft.com/office/drawing/2014/main" id="{00000000-0008-0000-0100-00001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61" name="Drop Down 1" hidden="1">
          <a:extLst>
            <a:ext uri="{FF2B5EF4-FFF2-40B4-BE49-F238E27FC236}">
              <a16:creationId xmlns:a16="http://schemas.microsoft.com/office/drawing/2014/main" id="{00000000-0008-0000-0100-00001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62" name="Drop Down -1022" hidden="1">
          <a:extLst>
            <a:ext uri="{FF2B5EF4-FFF2-40B4-BE49-F238E27FC236}">
              <a16:creationId xmlns:a16="http://schemas.microsoft.com/office/drawing/2014/main" id="{00000000-0008-0000-0100-00001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63" name="Drop Down 1" hidden="1">
          <a:extLst>
            <a:ext uri="{FF2B5EF4-FFF2-40B4-BE49-F238E27FC236}">
              <a16:creationId xmlns:a16="http://schemas.microsoft.com/office/drawing/2014/main" id="{00000000-0008-0000-0100-00001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64" name="Drop Down 1" hidden="1">
          <a:extLst>
            <a:ext uri="{FF2B5EF4-FFF2-40B4-BE49-F238E27FC236}">
              <a16:creationId xmlns:a16="http://schemas.microsoft.com/office/drawing/2014/main" id="{00000000-0008-0000-0100-00001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65" name="Drop Down 1" hidden="1">
          <a:extLst>
            <a:ext uri="{FF2B5EF4-FFF2-40B4-BE49-F238E27FC236}">
              <a16:creationId xmlns:a16="http://schemas.microsoft.com/office/drawing/2014/main" id="{00000000-0008-0000-0100-00001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66" name="Drop Down 1" hidden="1">
          <a:extLst>
            <a:ext uri="{FF2B5EF4-FFF2-40B4-BE49-F238E27FC236}">
              <a16:creationId xmlns:a16="http://schemas.microsoft.com/office/drawing/2014/main" id="{00000000-0008-0000-0100-00001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67" name="Drop Down 2" hidden="1">
          <a:extLst>
            <a:ext uri="{FF2B5EF4-FFF2-40B4-BE49-F238E27FC236}">
              <a16:creationId xmlns:a16="http://schemas.microsoft.com/office/drawing/2014/main" id="{00000000-0008-0000-0100-00001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68" name="Drop Down 1" hidden="1">
          <a:extLst>
            <a:ext uri="{FF2B5EF4-FFF2-40B4-BE49-F238E27FC236}">
              <a16:creationId xmlns:a16="http://schemas.microsoft.com/office/drawing/2014/main" id="{00000000-0008-0000-0100-00002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69" name="Drop Down -1022" hidden="1">
          <a:extLst>
            <a:ext uri="{FF2B5EF4-FFF2-40B4-BE49-F238E27FC236}">
              <a16:creationId xmlns:a16="http://schemas.microsoft.com/office/drawing/2014/main" id="{00000000-0008-0000-0100-00002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70" name="Drop Down 1" hidden="1">
          <a:extLst>
            <a:ext uri="{FF2B5EF4-FFF2-40B4-BE49-F238E27FC236}">
              <a16:creationId xmlns:a16="http://schemas.microsoft.com/office/drawing/2014/main" id="{00000000-0008-0000-0100-00002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71" name="Drop Down 1" hidden="1">
          <a:extLst>
            <a:ext uri="{FF2B5EF4-FFF2-40B4-BE49-F238E27FC236}">
              <a16:creationId xmlns:a16="http://schemas.microsoft.com/office/drawing/2014/main" id="{00000000-0008-0000-0100-00002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72" name="Drop Down 1" hidden="1">
          <a:extLst>
            <a:ext uri="{FF2B5EF4-FFF2-40B4-BE49-F238E27FC236}">
              <a16:creationId xmlns:a16="http://schemas.microsoft.com/office/drawing/2014/main" id="{00000000-0008-0000-0100-00002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73" name="Drop Down 1" hidden="1">
          <a:extLst>
            <a:ext uri="{FF2B5EF4-FFF2-40B4-BE49-F238E27FC236}">
              <a16:creationId xmlns:a16="http://schemas.microsoft.com/office/drawing/2014/main" id="{00000000-0008-0000-0100-00002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74" name="Drop Down 2" hidden="1">
          <a:extLst>
            <a:ext uri="{FF2B5EF4-FFF2-40B4-BE49-F238E27FC236}">
              <a16:creationId xmlns:a16="http://schemas.microsoft.com/office/drawing/2014/main" id="{00000000-0008-0000-0100-00002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75" name="Drop Down 1" hidden="1">
          <a:extLst>
            <a:ext uri="{FF2B5EF4-FFF2-40B4-BE49-F238E27FC236}">
              <a16:creationId xmlns:a16="http://schemas.microsoft.com/office/drawing/2014/main" id="{00000000-0008-0000-0100-00002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576" name="Drop Down -1022" hidden="1">
          <a:extLst>
            <a:ext uri="{FF2B5EF4-FFF2-40B4-BE49-F238E27FC236}">
              <a16:creationId xmlns:a16="http://schemas.microsoft.com/office/drawing/2014/main" id="{00000000-0008-0000-0100-00002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77" name="Drop Down 1" hidden="1">
          <a:extLst>
            <a:ext uri="{FF2B5EF4-FFF2-40B4-BE49-F238E27FC236}">
              <a16:creationId xmlns:a16="http://schemas.microsoft.com/office/drawing/2014/main" id="{00000000-0008-0000-0100-00002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78" name="Drop Down 1" hidden="1">
          <a:extLst>
            <a:ext uri="{FF2B5EF4-FFF2-40B4-BE49-F238E27FC236}">
              <a16:creationId xmlns:a16="http://schemas.microsoft.com/office/drawing/2014/main" id="{00000000-0008-0000-0100-00002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79" name="Drop Down 1" hidden="1">
          <a:extLst>
            <a:ext uri="{FF2B5EF4-FFF2-40B4-BE49-F238E27FC236}">
              <a16:creationId xmlns:a16="http://schemas.microsoft.com/office/drawing/2014/main" id="{00000000-0008-0000-0100-00002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80" name="Drop Down 1" hidden="1">
          <a:extLst>
            <a:ext uri="{FF2B5EF4-FFF2-40B4-BE49-F238E27FC236}">
              <a16:creationId xmlns:a16="http://schemas.microsoft.com/office/drawing/2014/main" id="{00000000-0008-0000-0100-00002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81" name="Drop Down 2" hidden="1">
          <a:extLst>
            <a:ext uri="{FF2B5EF4-FFF2-40B4-BE49-F238E27FC236}">
              <a16:creationId xmlns:a16="http://schemas.microsoft.com/office/drawing/2014/main" id="{00000000-0008-0000-0100-00002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82" name="Drop Down 1" hidden="1">
          <a:extLst>
            <a:ext uri="{FF2B5EF4-FFF2-40B4-BE49-F238E27FC236}">
              <a16:creationId xmlns:a16="http://schemas.microsoft.com/office/drawing/2014/main" id="{00000000-0008-0000-0100-00002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583" name="Drop Down -1022" hidden="1">
          <a:extLst>
            <a:ext uri="{FF2B5EF4-FFF2-40B4-BE49-F238E27FC236}">
              <a16:creationId xmlns:a16="http://schemas.microsoft.com/office/drawing/2014/main" id="{00000000-0008-0000-0100-00002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84" name="Drop Down 1" hidden="1">
          <a:extLst>
            <a:ext uri="{FF2B5EF4-FFF2-40B4-BE49-F238E27FC236}">
              <a16:creationId xmlns:a16="http://schemas.microsoft.com/office/drawing/2014/main" id="{00000000-0008-0000-0100-000030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85" name="Drop Down 1" hidden="1">
          <a:extLst>
            <a:ext uri="{FF2B5EF4-FFF2-40B4-BE49-F238E27FC236}">
              <a16:creationId xmlns:a16="http://schemas.microsoft.com/office/drawing/2014/main" id="{00000000-0008-0000-0100-000031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86" name="Drop Down 1" hidden="1">
          <a:extLst>
            <a:ext uri="{FF2B5EF4-FFF2-40B4-BE49-F238E27FC236}">
              <a16:creationId xmlns:a16="http://schemas.microsoft.com/office/drawing/2014/main" id="{00000000-0008-0000-0100-000032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87" name="Drop Down 1" hidden="1">
          <a:extLst>
            <a:ext uri="{FF2B5EF4-FFF2-40B4-BE49-F238E27FC236}">
              <a16:creationId xmlns:a16="http://schemas.microsoft.com/office/drawing/2014/main" id="{00000000-0008-0000-0100-000033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88" name="Drop Down 2" hidden="1">
          <a:extLst>
            <a:ext uri="{FF2B5EF4-FFF2-40B4-BE49-F238E27FC236}">
              <a16:creationId xmlns:a16="http://schemas.microsoft.com/office/drawing/2014/main" id="{00000000-0008-0000-0100-000034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89" name="Drop Down 1" hidden="1">
          <a:extLst>
            <a:ext uri="{FF2B5EF4-FFF2-40B4-BE49-F238E27FC236}">
              <a16:creationId xmlns:a16="http://schemas.microsoft.com/office/drawing/2014/main" id="{00000000-0008-0000-0100-000035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90" name="Drop Down -1022" hidden="1">
          <a:extLst>
            <a:ext uri="{FF2B5EF4-FFF2-40B4-BE49-F238E27FC236}">
              <a16:creationId xmlns:a16="http://schemas.microsoft.com/office/drawing/2014/main" id="{00000000-0008-0000-0100-000036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91" name="Drop Down 1" hidden="1">
          <a:extLst>
            <a:ext uri="{FF2B5EF4-FFF2-40B4-BE49-F238E27FC236}">
              <a16:creationId xmlns:a16="http://schemas.microsoft.com/office/drawing/2014/main" id="{00000000-0008-0000-0100-000037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92" name="Drop Down 1" hidden="1">
          <a:extLst>
            <a:ext uri="{FF2B5EF4-FFF2-40B4-BE49-F238E27FC236}">
              <a16:creationId xmlns:a16="http://schemas.microsoft.com/office/drawing/2014/main" id="{00000000-0008-0000-0100-000038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93" name="Drop Down 1" hidden="1">
          <a:extLst>
            <a:ext uri="{FF2B5EF4-FFF2-40B4-BE49-F238E27FC236}">
              <a16:creationId xmlns:a16="http://schemas.microsoft.com/office/drawing/2014/main" id="{00000000-0008-0000-0100-000039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94" name="Drop Down 1" hidden="1">
          <a:extLst>
            <a:ext uri="{FF2B5EF4-FFF2-40B4-BE49-F238E27FC236}">
              <a16:creationId xmlns:a16="http://schemas.microsoft.com/office/drawing/2014/main" id="{00000000-0008-0000-0100-00003A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95" name="Drop Down 2" hidden="1">
          <a:extLst>
            <a:ext uri="{FF2B5EF4-FFF2-40B4-BE49-F238E27FC236}">
              <a16:creationId xmlns:a16="http://schemas.microsoft.com/office/drawing/2014/main" id="{00000000-0008-0000-0100-00003B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96" name="Drop Down 1" hidden="1">
          <a:extLst>
            <a:ext uri="{FF2B5EF4-FFF2-40B4-BE49-F238E27FC236}">
              <a16:creationId xmlns:a16="http://schemas.microsoft.com/office/drawing/2014/main" id="{00000000-0008-0000-0100-00003C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597" name="Drop Down -1022" hidden="1">
          <a:extLst>
            <a:ext uri="{FF2B5EF4-FFF2-40B4-BE49-F238E27FC236}">
              <a16:creationId xmlns:a16="http://schemas.microsoft.com/office/drawing/2014/main" id="{00000000-0008-0000-0100-00003D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98" name="Drop Down 1" hidden="1">
          <a:extLst>
            <a:ext uri="{FF2B5EF4-FFF2-40B4-BE49-F238E27FC236}">
              <a16:creationId xmlns:a16="http://schemas.microsoft.com/office/drawing/2014/main" id="{00000000-0008-0000-0100-00003E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599" name="Drop Down 1" hidden="1">
          <a:extLst>
            <a:ext uri="{FF2B5EF4-FFF2-40B4-BE49-F238E27FC236}">
              <a16:creationId xmlns:a16="http://schemas.microsoft.com/office/drawing/2014/main" id="{00000000-0008-0000-0100-00003F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600" name="Drop Down 1" hidden="1">
          <a:extLst>
            <a:ext uri="{FF2B5EF4-FFF2-40B4-BE49-F238E27FC236}">
              <a16:creationId xmlns:a16="http://schemas.microsoft.com/office/drawing/2014/main" id="{00000000-0008-0000-0100-000040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601" name="Drop Down 1" hidden="1">
          <a:extLst>
            <a:ext uri="{FF2B5EF4-FFF2-40B4-BE49-F238E27FC236}">
              <a16:creationId xmlns:a16="http://schemas.microsoft.com/office/drawing/2014/main" id="{00000000-0008-0000-0100-000041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602" name="Drop Down 2" hidden="1">
          <a:extLst>
            <a:ext uri="{FF2B5EF4-FFF2-40B4-BE49-F238E27FC236}">
              <a16:creationId xmlns:a16="http://schemas.microsoft.com/office/drawing/2014/main" id="{00000000-0008-0000-0100-000042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603" name="Drop Down 1" hidden="1">
          <a:extLst>
            <a:ext uri="{FF2B5EF4-FFF2-40B4-BE49-F238E27FC236}">
              <a16:creationId xmlns:a16="http://schemas.microsoft.com/office/drawing/2014/main" id="{00000000-0008-0000-0100-000043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7644"/>
    <xdr:sp macro="" textlink="">
      <xdr:nvSpPr>
        <xdr:cNvPr id="1604" name="Drop Down -1022" hidden="1">
          <a:extLst>
            <a:ext uri="{FF2B5EF4-FFF2-40B4-BE49-F238E27FC236}">
              <a16:creationId xmlns:a16="http://schemas.microsoft.com/office/drawing/2014/main" id="{00000000-0008-0000-0100-000044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605" name="Drop Down 1" hidden="1">
          <a:extLst>
            <a:ext uri="{FF2B5EF4-FFF2-40B4-BE49-F238E27FC236}">
              <a16:creationId xmlns:a16="http://schemas.microsoft.com/office/drawing/2014/main" id="{00000000-0008-0000-0100-000045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606" name="Drop Down 1" hidden="1">
          <a:extLst>
            <a:ext uri="{FF2B5EF4-FFF2-40B4-BE49-F238E27FC236}">
              <a16:creationId xmlns:a16="http://schemas.microsoft.com/office/drawing/2014/main" id="{00000000-0008-0000-0100-000046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607" name="Drop Down 1" hidden="1">
          <a:extLst>
            <a:ext uri="{FF2B5EF4-FFF2-40B4-BE49-F238E27FC236}">
              <a16:creationId xmlns:a16="http://schemas.microsoft.com/office/drawing/2014/main" id="{00000000-0008-0000-0100-000047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608" name="Drop Down 1" hidden="1">
          <a:extLst>
            <a:ext uri="{FF2B5EF4-FFF2-40B4-BE49-F238E27FC236}">
              <a16:creationId xmlns:a16="http://schemas.microsoft.com/office/drawing/2014/main" id="{00000000-0008-0000-0100-000048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609" name="Drop Down 2" hidden="1">
          <a:extLst>
            <a:ext uri="{FF2B5EF4-FFF2-40B4-BE49-F238E27FC236}">
              <a16:creationId xmlns:a16="http://schemas.microsoft.com/office/drawing/2014/main" id="{00000000-0008-0000-0100-000049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610" name="Drop Down 1" hidden="1">
          <a:extLst>
            <a:ext uri="{FF2B5EF4-FFF2-40B4-BE49-F238E27FC236}">
              <a16:creationId xmlns:a16="http://schemas.microsoft.com/office/drawing/2014/main" id="{00000000-0008-0000-0100-00004A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901065" cy="205885"/>
    <xdr:sp macro="" textlink="">
      <xdr:nvSpPr>
        <xdr:cNvPr id="1611" name="Drop Down -1022" hidden="1">
          <a:extLst>
            <a:ext uri="{FF2B5EF4-FFF2-40B4-BE49-F238E27FC236}">
              <a16:creationId xmlns:a16="http://schemas.microsoft.com/office/drawing/2014/main" id="{00000000-0008-0000-0100-00004B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12" name="Drop Down 1" hidden="1">
          <a:extLst>
            <a:ext uri="{FF2B5EF4-FFF2-40B4-BE49-F238E27FC236}">
              <a16:creationId xmlns:a16="http://schemas.microsoft.com/office/drawing/2014/main" id="{00000000-0008-0000-0100-00004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13" name="Drop Down 1" hidden="1">
          <a:extLst>
            <a:ext uri="{FF2B5EF4-FFF2-40B4-BE49-F238E27FC236}">
              <a16:creationId xmlns:a16="http://schemas.microsoft.com/office/drawing/2014/main" id="{00000000-0008-0000-0100-00004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14" name="Drop Down 1" hidden="1">
          <a:extLst>
            <a:ext uri="{FF2B5EF4-FFF2-40B4-BE49-F238E27FC236}">
              <a16:creationId xmlns:a16="http://schemas.microsoft.com/office/drawing/2014/main" id="{00000000-0008-0000-0100-00004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15" name="Drop Down 1" hidden="1">
          <a:extLst>
            <a:ext uri="{FF2B5EF4-FFF2-40B4-BE49-F238E27FC236}">
              <a16:creationId xmlns:a16="http://schemas.microsoft.com/office/drawing/2014/main" id="{00000000-0008-0000-0100-00004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16" name="Drop Down 2" hidden="1">
          <a:extLst>
            <a:ext uri="{FF2B5EF4-FFF2-40B4-BE49-F238E27FC236}">
              <a16:creationId xmlns:a16="http://schemas.microsoft.com/office/drawing/2014/main" id="{00000000-0008-0000-0100-00005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17" name="Drop Down 1" hidden="1">
          <a:extLst>
            <a:ext uri="{FF2B5EF4-FFF2-40B4-BE49-F238E27FC236}">
              <a16:creationId xmlns:a16="http://schemas.microsoft.com/office/drawing/2014/main" id="{00000000-0008-0000-0100-00005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18" name="Drop Down -1022" hidden="1">
          <a:extLst>
            <a:ext uri="{FF2B5EF4-FFF2-40B4-BE49-F238E27FC236}">
              <a16:creationId xmlns:a16="http://schemas.microsoft.com/office/drawing/2014/main" id="{00000000-0008-0000-0100-00005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619" name="Drop Down 1" hidden="1">
          <a:extLst>
            <a:ext uri="{FF2B5EF4-FFF2-40B4-BE49-F238E27FC236}">
              <a16:creationId xmlns:a16="http://schemas.microsoft.com/office/drawing/2014/main" id="{00000000-0008-0000-0100-00005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620" name="Drop Down 1" hidden="1">
          <a:extLst>
            <a:ext uri="{FF2B5EF4-FFF2-40B4-BE49-F238E27FC236}">
              <a16:creationId xmlns:a16="http://schemas.microsoft.com/office/drawing/2014/main" id="{00000000-0008-0000-0100-00005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621" name="Drop Down 1" hidden="1">
          <a:extLst>
            <a:ext uri="{FF2B5EF4-FFF2-40B4-BE49-F238E27FC236}">
              <a16:creationId xmlns:a16="http://schemas.microsoft.com/office/drawing/2014/main" id="{00000000-0008-0000-0100-00005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622" name="Drop Down 1" hidden="1">
          <a:extLst>
            <a:ext uri="{FF2B5EF4-FFF2-40B4-BE49-F238E27FC236}">
              <a16:creationId xmlns:a16="http://schemas.microsoft.com/office/drawing/2014/main" id="{00000000-0008-0000-0100-00005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623" name="Drop Down 2" hidden="1">
          <a:extLst>
            <a:ext uri="{FF2B5EF4-FFF2-40B4-BE49-F238E27FC236}">
              <a16:creationId xmlns:a16="http://schemas.microsoft.com/office/drawing/2014/main" id="{00000000-0008-0000-0100-00005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624" name="Drop Down 1" hidden="1">
          <a:extLst>
            <a:ext uri="{FF2B5EF4-FFF2-40B4-BE49-F238E27FC236}">
              <a16:creationId xmlns:a16="http://schemas.microsoft.com/office/drawing/2014/main" id="{00000000-0008-0000-0100-00005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625" name="Drop Down -1022" hidden="1">
          <a:extLst>
            <a:ext uri="{FF2B5EF4-FFF2-40B4-BE49-F238E27FC236}">
              <a16:creationId xmlns:a16="http://schemas.microsoft.com/office/drawing/2014/main" id="{00000000-0008-0000-0100-00005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26" name="Drop Down 1" hidden="1">
          <a:extLst>
            <a:ext uri="{FF2B5EF4-FFF2-40B4-BE49-F238E27FC236}">
              <a16:creationId xmlns:a16="http://schemas.microsoft.com/office/drawing/2014/main" id="{00000000-0008-0000-0100-00005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27" name="Drop Down 1" hidden="1">
          <a:extLst>
            <a:ext uri="{FF2B5EF4-FFF2-40B4-BE49-F238E27FC236}">
              <a16:creationId xmlns:a16="http://schemas.microsoft.com/office/drawing/2014/main" id="{00000000-0008-0000-0100-00005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28" name="Drop Down 1" hidden="1">
          <a:extLst>
            <a:ext uri="{FF2B5EF4-FFF2-40B4-BE49-F238E27FC236}">
              <a16:creationId xmlns:a16="http://schemas.microsoft.com/office/drawing/2014/main" id="{00000000-0008-0000-0100-00005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29" name="Drop Down 1" hidden="1">
          <a:extLst>
            <a:ext uri="{FF2B5EF4-FFF2-40B4-BE49-F238E27FC236}">
              <a16:creationId xmlns:a16="http://schemas.microsoft.com/office/drawing/2014/main" id="{00000000-0008-0000-0100-00005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30" name="Drop Down 2" hidden="1">
          <a:extLst>
            <a:ext uri="{FF2B5EF4-FFF2-40B4-BE49-F238E27FC236}">
              <a16:creationId xmlns:a16="http://schemas.microsoft.com/office/drawing/2014/main" id="{00000000-0008-0000-0100-00005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31" name="Drop Down 1" hidden="1">
          <a:extLst>
            <a:ext uri="{FF2B5EF4-FFF2-40B4-BE49-F238E27FC236}">
              <a16:creationId xmlns:a16="http://schemas.microsoft.com/office/drawing/2014/main" id="{00000000-0008-0000-0100-00005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32" name="Drop Down -1022" hidden="1">
          <a:extLst>
            <a:ext uri="{FF2B5EF4-FFF2-40B4-BE49-F238E27FC236}">
              <a16:creationId xmlns:a16="http://schemas.microsoft.com/office/drawing/2014/main" id="{00000000-0008-0000-0100-00006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33" name="Drop Down 1" hidden="1">
          <a:extLst>
            <a:ext uri="{FF2B5EF4-FFF2-40B4-BE49-F238E27FC236}">
              <a16:creationId xmlns:a16="http://schemas.microsoft.com/office/drawing/2014/main" id="{00000000-0008-0000-0100-00006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34" name="Drop Down 1" hidden="1">
          <a:extLst>
            <a:ext uri="{FF2B5EF4-FFF2-40B4-BE49-F238E27FC236}">
              <a16:creationId xmlns:a16="http://schemas.microsoft.com/office/drawing/2014/main" id="{00000000-0008-0000-0100-00006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35" name="Drop Down 1" hidden="1">
          <a:extLst>
            <a:ext uri="{FF2B5EF4-FFF2-40B4-BE49-F238E27FC236}">
              <a16:creationId xmlns:a16="http://schemas.microsoft.com/office/drawing/2014/main" id="{00000000-0008-0000-0100-00006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36" name="Drop Down 1" hidden="1">
          <a:extLst>
            <a:ext uri="{FF2B5EF4-FFF2-40B4-BE49-F238E27FC236}">
              <a16:creationId xmlns:a16="http://schemas.microsoft.com/office/drawing/2014/main" id="{00000000-0008-0000-0100-00006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37" name="Drop Down 2" hidden="1">
          <a:extLst>
            <a:ext uri="{FF2B5EF4-FFF2-40B4-BE49-F238E27FC236}">
              <a16:creationId xmlns:a16="http://schemas.microsoft.com/office/drawing/2014/main" id="{00000000-0008-0000-0100-00006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38" name="Drop Down 1" hidden="1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39" name="Drop Down -1022" hidden="1">
          <a:extLst>
            <a:ext uri="{FF2B5EF4-FFF2-40B4-BE49-F238E27FC236}">
              <a16:creationId xmlns:a16="http://schemas.microsoft.com/office/drawing/2014/main" id="{00000000-0008-0000-0100-00006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40" name="Drop Down 1" hidden="1">
          <a:extLst>
            <a:ext uri="{FF2B5EF4-FFF2-40B4-BE49-F238E27FC236}">
              <a16:creationId xmlns:a16="http://schemas.microsoft.com/office/drawing/2014/main" id="{00000000-0008-0000-0100-00006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41" name="Drop Down 1" hidden="1">
          <a:extLst>
            <a:ext uri="{FF2B5EF4-FFF2-40B4-BE49-F238E27FC236}">
              <a16:creationId xmlns:a16="http://schemas.microsoft.com/office/drawing/2014/main" id="{00000000-0008-0000-0100-00006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42" name="Drop Down 1" hidden="1">
          <a:extLst>
            <a:ext uri="{FF2B5EF4-FFF2-40B4-BE49-F238E27FC236}">
              <a16:creationId xmlns:a16="http://schemas.microsoft.com/office/drawing/2014/main" id="{00000000-0008-0000-0100-00006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43" name="Drop Down 1" hidden="1">
          <a:extLst>
            <a:ext uri="{FF2B5EF4-FFF2-40B4-BE49-F238E27FC236}">
              <a16:creationId xmlns:a16="http://schemas.microsoft.com/office/drawing/2014/main" id="{00000000-0008-0000-0100-00006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44" name="Drop Down 2" hidden="1">
          <a:extLst>
            <a:ext uri="{FF2B5EF4-FFF2-40B4-BE49-F238E27FC236}">
              <a16:creationId xmlns:a16="http://schemas.microsoft.com/office/drawing/2014/main" id="{00000000-0008-0000-0100-00006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45" name="Drop Down 1" hidden="1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46" name="Drop Down -1022" hidden="1">
          <a:extLst>
            <a:ext uri="{FF2B5EF4-FFF2-40B4-BE49-F238E27FC236}">
              <a16:creationId xmlns:a16="http://schemas.microsoft.com/office/drawing/2014/main" id="{00000000-0008-0000-0100-00006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47" name="Drop Down 1" hidden="1">
          <a:extLst>
            <a:ext uri="{FF2B5EF4-FFF2-40B4-BE49-F238E27FC236}">
              <a16:creationId xmlns:a16="http://schemas.microsoft.com/office/drawing/2014/main" id="{00000000-0008-0000-0100-00006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48" name="Drop Down 1" hidden="1">
          <a:extLst>
            <a:ext uri="{FF2B5EF4-FFF2-40B4-BE49-F238E27FC236}">
              <a16:creationId xmlns:a16="http://schemas.microsoft.com/office/drawing/2014/main" id="{00000000-0008-0000-0100-00007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49" name="Drop Down 1" hidden="1">
          <a:extLst>
            <a:ext uri="{FF2B5EF4-FFF2-40B4-BE49-F238E27FC236}">
              <a16:creationId xmlns:a16="http://schemas.microsoft.com/office/drawing/2014/main" id="{00000000-0008-0000-0100-00007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50" name="Drop Down 1" hidden="1">
          <a:extLst>
            <a:ext uri="{FF2B5EF4-FFF2-40B4-BE49-F238E27FC236}">
              <a16:creationId xmlns:a16="http://schemas.microsoft.com/office/drawing/2014/main" id="{00000000-0008-0000-0100-00007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51" name="Drop Down 2" hidden="1">
          <a:extLst>
            <a:ext uri="{FF2B5EF4-FFF2-40B4-BE49-F238E27FC236}">
              <a16:creationId xmlns:a16="http://schemas.microsoft.com/office/drawing/2014/main" id="{00000000-0008-0000-0100-00007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52" name="Drop Down 1" hidden="1">
          <a:extLst>
            <a:ext uri="{FF2B5EF4-FFF2-40B4-BE49-F238E27FC236}">
              <a16:creationId xmlns:a16="http://schemas.microsoft.com/office/drawing/2014/main" id="{00000000-0008-0000-0100-00007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53" name="Drop Down -1022" hidden="1">
          <a:extLst>
            <a:ext uri="{FF2B5EF4-FFF2-40B4-BE49-F238E27FC236}">
              <a16:creationId xmlns:a16="http://schemas.microsoft.com/office/drawing/2014/main" id="{00000000-0008-0000-0100-00007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54" name="Drop Down 1" hidden="1">
          <a:extLst>
            <a:ext uri="{FF2B5EF4-FFF2-40B4-BE49-F238E27FC236}">
              <a16:creationId xmlns:a16="http://schemas.microsoft.com/office/drawing/2014/main" id="{00000000-0008-0000-0100-00007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55" name="Drop Down 1" hidden="1">
          <a:extLst>
            <a:ext uri="{FF2B5EF4-FFF2-40B4-BE49-F238E27FC236}">
              <a16:creationId xmlns:a16="http://schemas.microsoft.com/office/drawing/2014/main" id="{00000000-0008-0000-0100-00007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56" name="Drop Down 1" hidden="1">
          <a:extLst>
            <a:ext uri="{FF2B5EF4-FFF2-40B4-BE49-F238E27FC236}">
              <a16:creationId xmlns:a16="http://schemas.microsoft.com/office/drawing/2014/main" id="{00000000-0008-0000-0100-00007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57" name="Drop Down 1" hidden="1">
          <a:extLst>
            <a:ext uri="{FF2B5EF4-FFF2-40B4-BE49-F238E27FC236}">
              <a16:creationId xmlns:a16="http://schemas.microsoft.com/office/drawing/2014/main" id="{00000000-0008-0000-0100-00007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58" name="Drop Down 2" hidden="1">
          <a:extLst>
            <a:ext uri="{FF2B5EF4-FFF2-40B4-BE49-F238E27FC236}">
              <a16:creationId xmlns:a16="http://schemas.microsoft.com/office/drawing/2014/main" id="{00000000-0008-0000-0100-00007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59" name="Drop Down 1" hidden="1">
          <a:extLst>
            <a:ext uri="{FF2B5EF4-FFF2-40B4-BE49-F238E27FC236}">
              <a16:creationId xmlns:a16="http://schemas.microsoft.com/office/drawing/2014/main" id="{00000000-0008-0000-0100-00007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60" name="Drop Down -1022" hidden="1">
          <a:extLst>
            <a:ext uri="{FF2B5EF4-FFF2-40B4-BE49-F238E27FC236}">
              <a16:creationId xmlns:a16="http://schemas.microsoft.com/office/drawing/2014/main" id="{00000000-0008-0000-0100-00007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61" name="Drop Down 1" hidden="1">
          <a:extLst>
            <a:ext uri="{FF2B5EF4-FFF2-40B4-BE49-F238E27FC236}">
              <a16:creationId xmlns:a16="http://schemas.microsoft.com/office/drawing/2014/main" id="{00000000-0008-0000-0100-00007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62" name="Drop Down 1" hidden="1">
          <a:extLst>
            <a:ext uri="{FF2B5EF4-FFF2-40B4-BE49-F238E27FC236}">
              <a16:creationId xmlns:a16="http://schemas.microsoft.com/office/drawing/2014/main" id="{00000000-0008-0000-0100-00007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63" name="Drop Down 1" hidden="1">
          <a:extLst>
            <a:ext uri="{FF2B5EF4-FFF2-40B4-BE49-F238E27FC236}">
              <a16:creationId xmlns:a16="http://schemas.microsoft.com/office/drawing/2014/main" id="{00000000-0008-0000-0100-00007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64" name="Drop Down 1" hidden="1">
          <a:extLst>
            <a:ext uri="{FF2B5EF4-FFF2-40B4-BE49-F238E27FC236}">
              <a16:creationId xmlns:a16="http://schemas.microsoft.com/office/drawing/2014/main" id="{00000000-0008-0000-0100-00008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65" name="Drop Down 2" hidden="1">
          <a:extLst>
            <a:ext uri="{FF2B5EF4-FFF2-40B4-BE49-F238E27FC236}">
              <a16:creationId xmlns:a16="http://schemas.microsoft.com/office/drawing/2014/main" id="{00000000-0008-0000-0100-00008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66" name="Drop Down 1" hidden="1">
          <a:extLst>
            <a:ext uri="{FF2B5EF4-FFF2-40B4-BE49-F238E27FC236}">
              <a16:creationId xmlns:a16="http://schemas.microsoft.com/office/drawing/2014/main" id="{00000000-0008-0000-0100-00008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67" name="Drop Down -1022" hidden="1">
          <a:extLst>
            <a:ext uri="{FF2B5EF4-FFF2-40B4-BE49-F238E27FC236}">
              <a16:creationId xmlns:a16="http://schemas.microsoft.com/office/drawing/2014/main" id="{00000000-0008-0000-0100-00008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68" name="Drop Down 1" hidden="1">
          <a:extLst>
            <a:ext uri="{FF2B5EF4-FFF2-40B4-BE49-F238E27FC236}">
              <a16:creationId xmlns:a16="http://schemas.microsoft.com/office/drawing/2014/main" id="{00000000-0008-0000-0100-00008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69" name="Drop Down 1" hidden="1">
          <a:extLst>
            <a:ext uri="{FF2B5EF4-FFF2-40B4-BE49-F238E27FC236}">
              <a16:creationId xmlns:a16="http://schemas.microsoft.com/office/drawing/2014/main" id="{00000000-0008-0000-0100-00008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70" name="Drop Down 1" hidden="1">
          <a:extLst>
            <a:ext uri="{FF2B5EF4-FFF2-40B4-BE49-F238E27FC236}">
              <a16:creationId xmlns:a16="http://schemas.microsoft.com/office/drawing/2014/main" id="{00000000-0008-0000-0100-00008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71" name="Drop Down 1" hidden="1">
          <a:extLst>
            <a:ext uri="{FF2B5EF4-FFF2-40B4-BE49-F238E27FC236}">
              <a16:creationId xmlns:a16="http://schemas.microsoft.com/office/drawing/2014/main" id="{00000000-0008-0000-0100-00008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72" name="Drop Down 2" hidden="1">
          <a:extLst>
            <a:ext uri="{FF2B5EF4-FFF2-40B4-BE49-F238E27FC236}">
              <a16:creationId xmlns:a16="http://schemas.microsoft.com/office/drawing/2014/main" id="{00000000-0008-0000-0100-00008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73" name="Drop Down 1" hidden="1">
          <a:extLst>
            <a:ext uri="{FF2B5EF4-FFF2-40B4-BE49-F238E27FC236}">
              <a16:creationId xmlns:a16="http://schemas.microsoft.com/office/drawing/2014/main" id="{00000000-0008-0000-0100-00008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74" name="Drop Down -1022" hidden="1">
          <a:extLst>
            <a:ext uri="{FF2B5EF4-FFF2-40B4-BE49-F238E27FC236}">
              <a16:creationId xmlns:a16="http://schemas.microsoft.com/office/drawing/2014/main" id="{00000000-0008-0000-0100-00008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75" name="Drop Down 1" hidden="1">
          <a:extLst>
            <a:ext uri="{FF2B5EF4-FFF2-40B4-BE49-F238E27FC236}">
              <a16:creationId xmlns:a16="http://schemas.microsoft.com/office/drawing/2014/main" id="{00000000-0008-0000-0100-00008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76" name="Drop Down 1" hidden="1">
          <a:extLst>
            <a:ext uri="{FF2B5EF4-FFF2-40B4-BE49-F238E27FC236}">
              <a16:creationId xmlns:a16="http://schemas.microsoft.com/office/drawing/2014/main" id="{00000000-0008-0000-0100-00008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77" name="Drop Down 1" hidden="1">
          <a:extLst>
            <a:ext uri="{FF2B5EF4-FFF2-40B4-BE49-F238E27FC236}">
              <a16:creationId xmlns:a16="http://schemas.microsoft.com/office/drawing/2014/main" id="{00000000-0008-0000-0100-00008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78" name="Drop Down 1" hidden="1">
          <a:extLst>
            <a:ext uri="{FF2B5EF4-FFF2-40B4-BE49-F238E27FC236}">
              <a16:creationId xmlns:a16="http://schemas.microsoft.com/office/drawing/2014/main" id="{00000000-0008-0000-0100-00008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79" name="Drop Down 2" hidden="1">
          <a:extLst>
            <a:ext uri="{FF2B5EF4-FFF2-40B4-BE49-F238E27FC236}">
              <a16:creationId xmlns:a16="http://schemas.microsoft.com/office/drawing/2014/main" id="{00000000-0008-0000-0100-00008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80" name="Drop Down 1" hidden="1">
          <a:extLst>
            <a:ext uri="{FF2B5EF4-FFF2-40B4-BE49-F238E27FC236}">
              <a16:creationId xmlns:a16="http://schemas.microsoft.com/office/drawing/2014/main" id="{00000000-0008-0000-0100-00009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81" name="Drop Down -1022" hidden="1">
          <a:extLst>
            <a:ext uri="{FF2B5EF4-FFF2-40B4-BE49-F238E27FC236}">
              <a16:creationId xmlns:a16="http://schemas.microsoft.com/office/drawing/2014/main" id="{00000000-0008-0000-0100-00009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82" name="Drop Down 1" hidden="1">
          <a:extLst>
            <a:ext uri="{FF2B5EF4-FFF2-40B4-BE49-F238E27FC236}">
              <a16:creationId xmlns:a16="http://schemas.microsoft.com/office/drawing/2014/main" id="{00000000-0008-0000-0100-00009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83" name="Drop Down 1" hidden="1">
          <a:extLst>
            <a:ext uri="{FF2B5EF4-FFF2-40B4-BE49-F238E27FC236}">
              <a16:creationId xmlns:a16="http://schemas.microsoft.com/office/drawing/2014/main" id="{00000000-0008-0000-0100-00009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84" name="Drop Down 1" hidden="1">
          <a:extLst>
            <a:ext uri="{FF2B5EF4-FFF2-40B4-BE49-F238E27FC236}">
              <a16:creationId xmlns:a16="http://schemas.microsoft.com/office/drawing/2014/main" id="{00000000-0008-0000-0100-00009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85" name="Drop Down 1" hidden="1">
          <a:extLst>
            <a:ext uri="{FF2B5EF4-FFF2-40B4-BE49-F238E27FC236}">
              <a16:creationId xmlns:a16="http://schemas.microsoft.com/office/drawing/2014/main" id="{00000000-0008-0000-0100-00009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86" name="Drop Down 2" hidden="1">
          <a:extLst>
            <a:ext uri="{FF2B5EF4-FFF2-40B4-BE49-F238E27FC236}">
              <a16:creationId xmlns:a16="http://schemas.microsoft.com/office/drawing/2014/main" id="{00000000-0008-0000-0100-00009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87" name="Drop Down 1" hidden="1">
          <a:extLst>
            <a:ext uri="{FF2B5EF4-FFF2-40B4-BE49-F238E27FC236}">
              <a16:creationId xmlns:a16="http://schemas.microsoft.com/office/drawing/2014/main" id="{00000000-0008-0000-0100-00009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688" name="Drop Down -1022" hidden="1">
          <a:extLst>
            <a:ext uri="{FF2B5EF4-FFF2-40B4-BE49-F238E27FC236}">
              <a16:creationId xmlns:a16="http://schemas.microsoft.com/office/drawing/2014/main" id="{00000000-0008-0000-0100-00009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89" name="Drop Down 1" hidden="1">
          <a:extLst>
            <a:ext uri="{FF2B5EF4-FFF2-40B4-BE49-F238E27FC236}">
              <a16:creationId xmlns:a16="http://schemas.microsoft.com/office/drawing/2014/main" id="{00000000-0008-0000-0100-00009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90" name="Drop Down 1" hidden="1">
          <a:extLst>
            <a:ext uri="{FF2B5EF4-FFF2-40B4-BE49-F238E27FC236}">
              <a16:creationId xmlns:a16="http://schemas.microsoft.com/office/drawing/2014/main" id="{00000000-0008-0000-0100-00009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91" name="Drop Down 1" hidden="1">
          <a:extLst>
            <a:ext uri="{FF2B5EF4-FFF2-40B4-BE49-F238E27FC236}">
              <a16:creationId xmlns:a16="http://schemas.microsoft.com/office/drawing/2014/main" id="{00000000-0008-0000-0100-00009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92" name="Drop Down 1" hidden="1">
          <a:extLst>
            <a:ext uri="{FF2B5EF4-FFF2-40B4-BE49-F238E27FC236}">
              <a16:creationId xmlns:a16="http://schemas.microsoft.com/office/drawing/2014/main" id="{00000000-0008-0000-0100-00009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93" name="Drop Down 2" hidden="1">
          <a:extLst>
            <a:ext uri="{FF2B5EF4-FFF2-40B4-BE49-F238E27FC236}">
              <a16:creationId xmlns:a16="http://schemas.microsoft.com/office/drawing/2014/main" id="{00000000-0008-0000-0100-00009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94" name="Drop Down 1" hidden="1">
          <a:extLst>
            <a:ext uri="{FF2B5EF4-FFF2-40B4-BE49-F238E27FC236}">
              <a16:creationId xmlns:a16="http://schemas.microsoft.com/office/drawing/2014/main" id="{00000000-0008-0000-0100-00009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695" name="Drop Down -1022" hidden="1">
          <a:extLst>
            <a:ext uri="{FF2B5EF4-FFF2-40B4-BE49-F238E27FC236}">
              <a16:creationId xmlns:a16="http://schemas.microsoft.com/office/drawing/2014/main" id="{00000000-0008-0000-0100-00009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96" name="Drop Down 1" hidden="1">
          <a:extLst>
            <a:ext uri="{FF2B5EF4-FFF2-40B4-BE49-F238E27FC236}">
              <a16:creationId xmlns:a16="http://schemas.microsoft.com/office/drawing/2014/main" id="{00000000-0008-0000-0100-0000A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97" name="Drop Down 1" hidden="1">
          <a:extLst>
            <a:ext uri="{FF2B5EF4-FFF2-40B4-BE49-F238E27FC236}">
              <a16:creationId xmlns:a16="http://schemas.microsoft.com/office/drawing/2014/main" id="{00000000-0008-0000-0100-0000A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98" name="Drop Down 1" hidden="1">
          <a:extLst>
            <a:ext uri="{FF2B5EF4-FFF2-40B4-BE49-F238E27FC236}">
              <a16:creationId xmlns:a16="http://schemas.microsoft.com/office/drawing/2014/main" id="{00000000-0008-0000-0100-0000A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699" name="Drop Down 1" hidden="1">
          <a:extLst>
            <a:ext uri="{FF2B5EF4-FFF2-40B4-BE49-F238E27FC236}">
              <a16:creationId xmlns:a16="http://schemas.microsoft.com/office/drawing/2014/main" id="{00000000-0008-0000-0100-0000A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00" name="Drop Down 2" hidden="1">
          <a:extLst>
            <a:ext uri="{FF2B5EF4-FFF2-40B4-BE49-F238E27FC236}">
              <a16:creationId xmlns:a16="http://schemas.microsoft.com/office/drawing/2014/main" id="{00000000-0008-0000-0100-0000A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01" name="Drop Down 1" hidden="1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02" name="Drop Down -1022" hidden="1">
          <a:extLst>
            <a:ext uri="{FF2B5EF4-FFF2-40B4-BE49-F238E27FC236}">
              <a16:creationId xmlns:a16="http://schemas.microsoft.com/office/drawing/2014/main" id="{00000000-0008-0000-0100-0000A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03" name="Drop Down 1" hidden="1">
          <a:extLst>
            <a:ext uri="{FF2B5EF4-FFF2-40B4-BE49-F238E27FC236}">
              <a16:creationId xmlns:a16="http://schemas.microsoft.com/office/drawing/2014/main" id="{00000000-0008-0000-0100-0000A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04" name="Drop Down 1" hidden="1">
          <a:extLst>
            <a:ext uri="{FF2B5EF4-FFF2-40B4-BE49-F238E27FC236}">
              <a16:creationId xmlns:a16="http://schemas.microsoft.com/office/drawing/2014/main" id="{00000000-0008-0000-0100-0000A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05" name="Drop Down 1" hidden="1">
          <a:extLst>
            <a:ext uri="{FF2B5EF4-FFF2-40B4-BE49-F238E27FC236}">
              <a16:creationId xmlns:a16="http://schemas.microsoft.com/office/drawing/2014/main" id="{00000000-0008-0000-0100-0000A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06" name="Drop Down 1" hidden="1">
          <a:extLst>
            <a:ext uri="{FF2B5EF4-FFF2-40B4-BE49-F238E27FC236}">
              <a16:creationId xmlns:a16="http://schemas.microsoft.com/office/drawing/2014/main" id="{00000000-0008-0000-0100-0000A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07" name="Drop Down 2" hidden="1">
          <a:extLst>
            <a:ext uri="{FF2B5EF4-FFF2-40B4-BE49-F238E27FC236}">
              <a16:creationId xmlns:a16="http://schemas.microsoft.com/office/drawing/2014/main" id="{00000000-0008-0000-0100-0000A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08" name="Drop Down 1" hidden="1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09" name="Drop Down -1022" hidden="1">
          <a:extLst>
            <a:ext uri="{FF2B5EF4-FFF2-40B4-BE49-F238E27FC236}">
              <a16:creationId xmlns:a16="http://schemas.microsoft.com/office/drawing/2014/main" id="{00000000-0008-0000-0100-0000A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10" name="Drop Down 1" hidden="1">
          <a:extLst>
            <a:ext uri="{FF2B5EF4-FFF2-40B4-BE49-F238E27FC236}">
              <a16:creationId xmlns:a16="http://schemas.microsoft.com/office/drawing/2014/main" id="{00000000-0008-0000-0100-0000A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11" name="Drop Down 1" hidden="1">
          <a:extLst>
            <a:ext uri="{FF2B5EF4-FFF2-40B4-BE49-F238E27FC236}">
              <a16:creationId xmlns:a16="http://schemas.microsoft.com/office/drawing/2014/main" id="{00000000-0008-0000-0100-0000A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12" name="Drop Down 1" hidden="1">
          <a:extLst>
            <a:ext uri="{FF2B5EF4-FFF2-40B4-BE49-F238E27FC236}">
              <a16:creationId xmlns:a16="http://schemas.microsoft.com/office/drawing/2014/main" id="{00000000-0008-0000-0100-0000B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13" name="Drop Down 1" hidden="1">
          <a:extLst>
            <a:ext uri="{FF2B5EF4-FFF2-40B4-BE49-F238E27FC236}">
              <a16:creationId xmlns:a16="http://schemas.microsoft.com/office/drawing/2014/main" id="{00000000-0008-0000-0100-0000B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14" name="Drop Down 2" hidden="1">
          <a:extLst>
            <a:ext uri="{FF2B5EF4-FFF2-40B4-BE49-F238E27FC236}">
              <a16:creationId xmlns:a16="http://schemas.microsoft.com/office/drawing/2014/main" id="{00000000-0008-0000-0100-0000B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15" name="Drop Down 1" hidden="1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16" name="Drop Down -1022" hidden="1">
          <a:extLst>
            <a:ext uri="{FF2B5EF4-FFF2-40B4-BE49-F238E27FC236}">
              <a16:creationId xmlns:a16="http://schemas.microsoft.com/office/drawing/2014/main" id="{00000000-0008-0000-0100-0000B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17" name="Drop Down 1" hidden="1">
          <a:extLst>
            <a:ext uri="{FF2B5EF4-FFF2-40B4-BE49-F238E27FC236}">
              <a16:creationId xmlns:a16="http://schemas.microsoft.com/office/drawing/2014/main" id="{00000000-0008-0000-0100-0000B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18" name="Drop Down 1" hidden="1">
          <a:extLst>
            <a:ext uri="{FF2B5EF4-FFF2-40B4-BE49-F238E27FC236}">
              <a16:creationId xmlns:a16="http://schemas.microsoft.com/office/drawing/2014/main" id="{00000000-0008-0000-0100-0000B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19" name="Drop Down 1" hidden="1">
          <a:extLst>
            <a:ext uri="{FF2B5EF4-FFF2-40B4-BE49-F238E27FC236}">
              <a16:creationId xmlns:a16="http://schemas.microsoft.com/office/drawing/2014/main" id="{00000000-0008-0000-0100-0000B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20" name="Drop Down 1" hidden="1">
          <a:extLst>
            <a:ext uri="{FF2B5EF4-FFF2-40B4-BE49-F238E27FC236}">
              <a16:creationId xmlns:a16="http://schemas.microsoft.com/office/drawing/2014/main" id="{00000000-0008-0000-0100-0000B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21" name="Drop Down 2" hidden="1">
          <a:extLst>
            <a:ext uri="{FF2B5EF4-FFF2-40B4-BE49-F238E27FC236}">
              <a16:creationId xmlns:a16="http://schemas.microsoft.com/office/drawing/2014/main" id="{00000000-0008-0000-0100-0000B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22" name="Drop Down 1" hidden="1">
          <a:extLst>
            <a:ext uri="{FF2B5EF4-FFF2-40B4-BE49-F238E27FC236}">
              <a16:creationId xmlns:a16="http://schemas.microsoft.com/office/drawing/2014/main" id="{00000000-0008-0000-0100-0000B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23" name="Drop Down -1022" hidden="1">
          <a:extLst>
            <a:ext uri="{FF2B5EF4-FFF2-40B4-BE49-F238E27FC236}">
              <a16:creationId xmlns:a16="http://schemas.microsoft.com/office/drawing/2014/main" id="{00000000-0008-0000-0100-0000B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24" name="Drop Down 1" hidden="1">
          <a:extLst>
            <a:ext uri="{FF2B5EF4-FFF2-40B4-BE49-F238E27FC236}">
              <a16:creationId xmlns:a16="http://schemas.microsoft.com/office/drawing/2014/main" id="{00000000-0008-0000-0100-0000B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25" name="Drop Down 1" hidden="1">
          <a:extLst>
            <a:ext uri="{FF2B5EF4-FFF2-40B4-BE49-F238E27FC236}">
              <a16:creationId xmlns:a16="http://schemas.microsoft.com/office/drawing/2014/main" id="{00000000-0008-0000-0100-0000B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26" name="Drop Down 1" hidden="1">
          <a:extLst>
            <a:ext uri="{FF2B5EF4-FFF2-40B4-BE49-F238E27FC236}">
              <a16:creationId xmlns:a16="http://schemas.microsoft.com/office/drawing/2014/main" id="{00000000-0008-0000-0100-0000B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27" name="Drop Down 1" hidden="1">
          <a:extLst>
            <a:ext uri="{FF2B5EF4-FFF2-40B4-BE49-F238E27FC236}">
              <a16:creationId xmlns:a16="http://schemas.microsoft.com/office/drawing/2014/main" id="{00000000-0008-0000-0100-0000B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28" name="Drop Down 2" hidden="1">
          <a:extLst>
            <a:ext uri="{FF2B5EF4-FFF2-40B4-BE49-F238E27FC236}">
              <a16:creationId xmlns:a16="http://schemas.microsoft.com/office/drawing/2014/main" id="{00000000-0008-0000-0100-0000C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29" name="Drop Down 1" hidden="1">
          <a:extLst>
            <a:ext uri="{FF2B5EF4-FFF2-40B4-BE49-F238E27FC236}">
              <a16:creationId xmlns:a16="http://schemas.microsoft.com/office/drawing/2014/main" id="{00000000-0008-0000-0100-0000C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30" name="Drop Down -1022" hidden="1">
          <a:extLst>
            <a:ext uri="{FF2B5EF4-FFF2-40B4-BE49-F238E27FC236}">
              <a16:creationId xmlns:a16="http://schemas.microsoft.com/office/drawing/2014/main" id="{00000000-0008-0000-0100-0000C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31" name="Drop Down 1" hidden="1">
          <a:extLst>
            <a:ext uri="{FF2B5EF4-FFF2-40B4-BE49-F238E27FC236}">
              <a16:creationId xmlns:a16="http://schemas.microsoft.com/office/drawing/2014/main" id="{00000000-0008-0000-0100-0000C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32" name="Drop Down 1" hidden="1">
          <a:extLst>
            <a:ext uri="{FF2B5EF4-FFF2-40B4-BE49-F238E27FC236}">
              <a16:creationId xmlns:a16="http://schemas.microsoft.com/office/drawing/2014/main" id="{00000000-0008-0000-0100-0000C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33" name="Drop Down 1" hidden="1">
          <a:extLst>
            <a:ext uri="{FF2B5EF4-FFF2-40B4-BE49-F238E27FC236}">
              <a16:creationId xmlns:a16="http://schemas.microsoft.com/office/drawing/2014/main" id="{00000000-0008-0000-0100-0000C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34" name="Drop Down 1" hidden="1">
          <a:extLst>
            <a:ext uri="{FF2B5EF4-FFF2-40B4-BE49-F238E27FC236}">
              <a16:creationId xmlns:a16="http://schemas.microsoft.com/office/drawing/2014/main" id="{00000000-0008-0000-0100-0000C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35" name="Drop Down 2" hidden="1">
          <a:extLst>
            <a:ext uri="{FF2B5EF4-FFF2-40B4-BE49-F238E27FC236}">
              <a16:creationId xmlns:a16="http://schemas.microsoft.com/office/drawing/2014/main" id="{00000000-0008-0000-0100-0000C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36" name="Drop Down 1" hidden="1">
          <a:extLst>
            <a:ext uri="{FF2B5EF4-FFF2-40B4-BE49-F238E27FC236}">
              <a16:creationId xmlns:a16="http://schemas.microsoft.com/office/drawing/2014/main" id="{00000000-0008-0000-0100-0000C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37" name="Drop Down -1022" hidden="1">
          <a:extLst>
            <a:ext uri="{FF2B5EF4-FFF2-40B4-BE49-F238E27FC236}">
              <a16:creationId xmlns:a16="http://schemas.microsoft.com/office/drawing/2014/main" id="{00000000-0008-0000-0100-0000C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38" name="Drop Down 1" hidden="1">
          <a:extLst>
            <a:ext uri="{FF2B5EF4-FFF2-40B4-BE49-F238E27FC236}">
              <a16:creationId xmlns:a16="http://schemas.microsoft.com/office/drawing/2014/main" id="{00000000-0008-0000-0100-0000C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39" name="Drop Down 1" hidden="1">
          <a:extLst>
            <a:ext uri="{FF2B5EF4-FFF2-40B4-BE49-F238E27FC236}">
              <a16:creationId xmlns:a16="http://schemas.microsoft.com/office/drawing/2014/main" id="{00000000-0008-0000-0100-0000C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40" name="Drop Down 1" hidden="1">
          <a:extLst>
            <a:ext uri="{FF2B5EF4-FFF2-40B4-BE49-F238E27FC236}">
              <a16:creationId xmlns:a16="http://schemas.microsoft.com/office/drawing/2014/main" id="{00000000-0008-0000-0100-0000C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41" name="Drop Down 1" hidden="1">
          <a:extLst>
            <a:ext uri="{FF2B5EF4-FFF2-40B4-BE49-F238E27FC236}">
              <a16:creationId xmlns:a16="http://schemas.microsoft.com/office/drawing/2014/main" id="{00000000-0008-0000-0100-0000C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42" name="Drop Down 2" hidden="1">
          <a:extLst>
            <a:ext uri="{FF2B5EF4-FFF2-40B4-BE49-F238E27FC236}">
              <a16:creationId xmlns:a16="http://schemas.microsoft.com/office/drawing/2014/main" id="{00000000-0008-0000-0100-0000C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43" name="Drop Down 1" hidden="1">
          <a:extLst>
            <a:ext uri="{FF2B5EF4-FFF2-40B4-BE49-F238E27FC236}">
              <a16:creationId xmlns:a16="http://schemas.microsoft.com/office/drawing/2014/main" id="{00000000-0008-0000-0100-0000C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44" name="Drop Down -1022" hidden="1">
          <a:extLst>
            <a:ext uri="{FF2B5EF4-FFF2-40B4-BE49-F238E27FC236}">
              <a16:creationId xmlns:a16="http://schemas.microsoft.com/office/drawing/2014/main" id="{00000000-0008-0000-0100-0000D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45" name="Drop Down 1" hidden="1">
          <a:extLst>
            <a:ext uri="{FF2B5EF4-FFF2-40B4-BE49-F238E27FC236}">
              <a16:creationId xmlns:a16="http://schemas.microsoft.com/office/drawing/2014/main" id="{00000000-0008-0000-0100-0000D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46" name="Drop Down 1" hidden="1">
          <a:extLst>
            <a:ext uri="{FF2B5EF4-FFF2-40B4-BE49-F238E27FC236}">
              <a16:creationId xmlns:a16="http://schemas.microsoft.com/office/drawing/2014/main" id="{00000000-0008-0000-0100-0000D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47" name="Drop Down 1" hidden="1">
          <a:extLst>
            <a:ext uri="{FF2B5EF4-FFF2-40B4-BE49-F238E27FC236}">
              <a16:creationId xmlns:a16="http://schemas.microsoft.com/office/drawing/2014/main" id="{00000000-0008-0000-0100-0000D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48" name="Drop Down 1" hidden="1">
          <a:extLst>
            <a:ext uri="{FF2B5EF4-FFF2-40B4-BE49-F238E27FC236}">
              <a16:creationId xmlns:a16="http://schemas.microsoft.com/office/drawing/2014/main" id="{00000000-0008-0000-0100-0000D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49" name="Drop Down 2" hidden="1">
          <a:extLst>
            <a:ext uri="{FF2B5EF4-FFF2-40B4-BE49-F238E27FC236}">
              <a16:creationId xmlns:a16="http://schemas.microsoft.com/office/drawing/2014/main" id="{00000000-0008-0000-0100-0000D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50" name="Drop Down 1" hidden="1">
          <a:extLst>
            <a:ext uri="{FF2B5EF4-FFF2-40B4-BE49-F238E27FC236}">
              <a16:creationId xmlns:a16="http://schemas.microsoft.com/office/drawing/2014/main" id="{00000000-0008-0000-0100-0000D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51" name="Drop Down -1022" hidden="1">
          <a:extLst>
            <a:ext uri="{FF2B5EF4-FFF2-40B4-BE49-F238E27FC236}">
              <a16:creationId xmlns:a16="http://schemas.microsoft.com/office/drawing/2014/main" id="{00000000-0008-0000-0100-0000D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52" name="Drop Down 1" hidden="1">
          <a:extLst>
            <a:ext uri="{FF2B5EF4-FFF2-40B4-BE49-F238E27FC236}">
              <a16:creationId xmlns:a16="http://schemas.microsoft.com/office/drawing/2014/main" id="{00000000-0008-0000-0100-0000D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53" name="Drop Down 1" hidden="1">
          <a:extLst>
            <a:ext uri="{FF2B5EF4-FFF2-40B4-BE49-F238E27FC236}">
              <a16:creationId xmlns:a16="http://schemas.microsoft.com/office/drawing/2014/main" id="{00000000-0008-0000-0100-0000D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54" name="Drop Down 1" hidden="1">
          <a:extLst>
            <a:ext uri="{FF2B5EF4-FFF2-40B4-BE49-F238E27FC236}">
              <a16:creationId xmlns:a16="http://schemas.microsoft.com/office/drawing/2014/main" id="{00000000-0008-0000-0100-0000D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55" name="Drop Down 1" hidden="1">
          <a:extLst>
            <a:ext uri="{FF2B5EF4-FFF2-40B4-BE49-F238E27FC236}">
              <a16:creationId xmlns:a16="http://schemas.microsoft.com/office/drawing/2014/main" id="{00000000-0008-0000-0100-0000D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56" name="Drop Down 2" hidden="1">
          <a:extLst>
            <a:ext uri="{FF2B5EF4-FFF2-40B4-BE49-F238E27FC236}">
              <a16:creationId xmlns:a16="http://schemas.microsoft.com/office/drawing/2014/main" id="{00000000-0008-0000-0100-0000D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57" name="Drop Down 1" hidden="1">
          <a:extLst>
            <a:ext uri="{FF2B5EF4-FFF2-40B4-BE49-F238E27FC236}">
              <a16:creationId xmlns:a16="http://schemas.microsoft.com/office/drawing/2014/main" id="{00000000-0008-0000-0100-0000D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58" name="Drop Down -1022" hidden="1">
          <a:extLst>
            <a:ext uri="{FF2B5EF4-FFF2-40B4-BE49-F238E27FC236}">
              <a16:creationId xmlns:a16="http://schemas.microsoft.com/office/drawing/2014/main" id="{00000000-0008-0000-0100-0000D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59" name="Drop Down 1" hidden="1">
          <a:extLst>
            <a:ext uri="{FF2B5EF4-FFF2-40B4-BE49-F238E27FC236}">
              <a16:creationId xmlns:a16="http://schemas.microsoft.com/office/drawing/2014/main" id="{00000000-0008-0000-0100-0000D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60" name="Drop Down 1" hidden="1">
          <a:extLst>
            <a:ext uri="{FF2B5EF4-FFF2-40B4-BE49-F238E27FC236}">
              <a16:creationId xmlns:a16="http://schemas.microsoft.com/office/drawing/2014/main" id="{00000000-0008-0000-0100-0000E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61" name="Drop Down 1" hidden="1">
          <a:extLst>
            <a:ext uri="{FF2B5EF4-FFF2-40B4-BE49-F238E27FC236}">
              <a16:creationId xmlns:a16="http://schemas.microsoft.com/office/drawing/2014/main" id="{00000000-0008-0000-0100-0000E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62" name="Drop Down 1" hidden="1">
          <a:extLst>
            <a:ext uri="{FF2B5EF4-FFF2-40B4-BE49-F238E27FC236}">
              <a16:creationId xmlns:a16="http://schemas.microsoft.com/office/drawing/2014/main" id="{00000000-0008-0000-0100-0000E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63" name="Drop Down 2" hidden="1">
          <a:extLst>
            <a:ext uri="{FF2B5EF4-FFF2-40B4-BE49-F238E27FC236}">
              <a16:creationId xmlns:a16="http://schemas.microsoft.com/office/drawing/2014/main" id="{00000000-0008-0000-0100-0000E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64" name="Drop Down 1" hidden="1">
          <a:extLst>
            <a:ext uri="{FF2B5EF4-FFF2-40B4-BE49-F238E27FC236}">
              <a16:creationId xmlns:a16="http://schemas.microsoft.com/office/drawing/2014/main" id="{00000000-0008-0000-0100-0000E4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65" name="Drop Down -1022" hidden="1">
          <a:extLst>
            <a:ext uri="{FF2B5EF4-FFF2-40B4-BE49-F238E27FC236}">
              <a16:creationId xmlns:a16="http://schemas.microsoft.com/office/drawing/2014/main" id="{00000000-0008-0000-0100-0000E5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66" name="Drop Down 1" hidden="1">
          <a:extLst>
            <a:ext uri="{FF2B5EF4-FFF2-40B4-BE49-F238E27FC236}">
              <a16:creationId xmlns:a16="http://schemas.microsoft.com/office/drawing/2014/main" id="{00000000-0008-0000-0100-0000E6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67" name="Drop Down 1" hidden="1">
          <a:extLst>
            <a:ext uri="{FF2B5EF4-FFF2-40B4-BE49-F238E27FC236}">
              <a16:creationId xmlns:a16="http://schemas.microsoft.com/office/drawing/2014/main" id="{00000000-0008-0000-0100-0000E7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68" name="Drop Down 1" hidden="1">
          <a:extLst>
            <a:ext uri="{FF2B5EF4-FFF2-40B4-BE49-F238E27FC236}">
              <a16:creationId xmlns:a16="http://schemas.microsoft.com/office/drawing/2014/main" id="{00000000-0008-0000-0100-0000E8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69" name="Drop Down 1" hidden="1">
          <a:extLst>
            <a:ext uri="{FF2B5EF4-FFF2-40B4-BE49-F238E27FC236}">
              <a16:creationId xmlns:a16="http://schemas.microsoft.com/office/drawing/2014/main" id="{00000000-0008-0000-0100-0000E9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70" name="Drop Down 2" hidden="1">
          <a:extLst>
            <a:ext uri="{FF2B5EF4-FFF2-40B4-BE49-F238E27FC236}">
              <a16:creationId xmlns:a16="http://schemas.microsoft.com/office/drawing/2014/main" id="{00000000-0008-0000-0100-0000EA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71" name="Drop Down 1" hidden="1">
          <a:extLst>
            <a:ext uri="{FF2B5EF4-FFF2-40B4-BE49-F238E27FC236}">
              <a16:creationId xmlns:a16="http://schemas.microsoft.com/office/drawing/2014/main" id="{00000000-0008-0000-0100-0000EB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72" name="Drop Down -1022" hidden="1">
          <a:extLst>
            <a:ext uri="{FF2B5EF4-FFF2-40B4-BE49-F238E27FC236}">
              <a16:creationId xmlns:a16="http://schemas.microsoft.com/office/drawing/2014/main" id="{00000000-0008-0000-0100-0000EC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73" name="Drop Down 1" hidden="1">
          <a:extLst>
            <a:ext uri="{FF2B5EF4-FFF2-40B4-BE49-F238E27FC236}">
              <a16:creationId xmlns:a16="http://schemas.microsoft.com/office/drawing/2014/main" id="{00000000-0008-0000-0100-0000ED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74" name="Drop Down 1" hidden="1">
          <a:extLst>
            <a:ext uri="{FF2B5EF4-FFF2-40B4-BE49-F238E27FC236}">
              <a16:creationId xmlns:a16="http://schemas.microsoft.com/office/drawing/2014/main" id="{00000000-0008-0000-0100-0000EE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75" name="Drop Down 1" hidden="1">
          <a:extLst>
            <a:ext uri="{FF2B5EF4-FFF2-40B4-BE49-F238E27FC236}">
              <a16:creationId xmlns:a16="http://schemas.microsoft.com/office/drawing/2014/main" id="{00000000-0008-0000-0100-0000EF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76" name="Drop Down 1" hidden="1">
          <a:extLst>
            <a:ext uri="{FF2B5EF4-FFF2-40B4-BE49-F238E27FC236}">
              <a16:creationId xmlns:a16="http://schemas.microsoft.com/office/drawing/2014/main" id="{00000000-0008-0000-0100-0000F0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77" name="Drop Down 2" hidden="1">
          <a:extLst>
            <a:ext uri="{FF2B5EF4-FFF2-40B4-BE49-F238E27FC236}">
              <a16:creationId xmlns:a16="http://schemas.microsoft.com/office/drawing/2014/main" id="{00000000-0008-0000-0100-0000F1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78" name="Drop Down 1" hidden="1">
          <a:extLst>
            <a:ext uri="{FF2B5EF4-FFF2-40B4-BE49-F238E27FC236}">
              <a16:creationId xmlns:a16="http://schemas.microsoft.com/office/drawing/2014/main" id="{00000000-0008-0000-0100-0000F2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779" name="Drop Down -1022" hidden="1">
          <a:extLst>
            <a:ext uri="{FF2B5EF4-FFF2-40B4-BE49-F238E27FC236}">
              <a16:creationId xmlns:a16="http://schemas.microsoft.com/office/drawing/2014/main" id="{00000000-0008-0000-0100-0000F306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80" name="Drop Down 1" hidden="1">
          <a:extLst>
            <a:ext uri="{FF2B5EF4-FFF2-40B4-BE49-F238E27FC236}">
              <a16:creationId xmlns:a16="http://schemas.microsoft.com/office/drawing/2014/main" id="{00000000-0008-0000-0100-0000F4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81" name="Drop Down 1" hidden="1">
          <a:extLst>
            <a:ext uri="{FF2B5EF4-FFF2-40B4-BE49-F238E27FC236}">
              <a16:creationId xmlns:a16="http://schemas.microsoft.com/office/drawing/2014/main" id="{00000000-0008-0000-0100-0000F5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82" name="Drop Down 1" hidden="1">
          <a:extLst>
            <a:ext uri="{FF2B5EF4-FFF2-40B4-BE49-F238E27FC236}">
              <a16:creationId xmlns:a16="http://schemas.microsoft.com/office/drawing/2014/main" id="{00000000-0008-0000-0100-0000F6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83" name="Drop Down 1" hidden="1">
          <a:extLst>
            <a:ext uri="{FF2B5EF4-FFF2-40B4-BE49-F238E27FC236}">
              <a16:creationId xmlns:a16="http://schemas.microsoft.com/office/drawing/2014/main" id="{00000000-0008-0000-0100-0000F7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84" name="Drop Down 2" hidden="1">
          <a:extLst>
            <a:ext uri="{FF2B5EF4-FFF2-40B4-BE49-F238E27FC236}">
              <a16:creationId xmlns:a16="http://schemas.microsoft.com/office/drawing/2014/main" id="{00000000-0008-0000-0100-0000F8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85" name="Drop Down 1" hidden="1">
          <a:extLst>
            <a:ext uri="{FF2B5EF4-FFF2-40B4-BE49-F238E27FC236}">
              <a16:creationId xmlns:a16="http://schemas.microsoft.com/office/drawing/2014/main" id="{00000000-0008-0000-0100-0000F9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786" name="Drop Down -1022" hidden="1">
          <a:extLst>
            <a:ext uri="{FF2B5EF4-FFF2-40B4-BE49-F238E27FC236}">
              <a16:creationId xmlns:a16="http://schemas.microsoft.com/office/drawing/2014/main" id="{00000000-0008-0000-0100-0000FA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87" name="Drop Down 1" hidden="1">
          <a:extLst>
            <a:ext uri="{FF2B5EF4-FFF2-40B4-BE49-F238E27FC236}">
              <a16:creationId xmlns:a16="http://schemas.microsoft.com/office/drawing/2014/main" id="{00000000-0008-0000-0100-0000FB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88" name="Drop Down 1" hidden="1">
          <a:extLst>
            <a:ext uri="{FF2B5EF4-FFF2-40B4-BE49-F238E27FC236}">
              <a16:creationId xmlns:a16="http://schemas.microsoft.com/office/drawing/2014/main" id="{00000000-0008-0000-0100-0000FC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89" name="Drop Down 1" hidden="1">
          <a:extLst>
            <a:ext uri="{FF2B5EF4-FFF2-40B4-BE49-F238E27FC236}">
              <a16:creationId xmlns:a16="http://schemas.microsoft.com/office/drawing/2014/main" id="{00000000-0008-0000-0100-0000FD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90" name="Drop Down 1" hidden="1">
          <a:extLst>
            <a:ext uri="{FF2B5EF4-FFF2-40B4-BE49-F238E27FC236}">
              <a16:creationId xmlns:a16="http://schemas.microsoft.com/office/drawing/2014/main" id="{00000000-0008-0000-0100-0000FE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91" name="Drop Down 2" hidden="1">
          <a:extLst>
            <a:ext uri="{FF2B5EF4-FFF2-40B4-BE49-F238E27FC236}">
              <a16:creationId xmlns:a16="http://schemas.microsoft.com/office/drawing/2014/main" id="{00000000-0008-0000-0100-0000FF06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92" name="Drop Down 1" hidden="1">
          <a:extLst>
            <a:ext uri="{FF2B5EF4-FFF2-40B4-BE49-F238E27FC236}">
              <a16:creationId xmlns:a16="http://schemas.microsoft.com/office/drawing/2014/main" id="{00000000-0008-0000-0100-000000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793" name="Drop Down -1022" hidden="1">
          <a:extLst>
            <a:ext uri="{FF2B5EF4-FFF2-40B4-BE49-F238E27FC236}">
              <a16:creationId xmlns:a16="http://schemas.microsoft.com/office/drawing/2014/main" id="{00000000-0008-0000-0100-000001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94" name="Drop Down 1" hidden="1">
          <a:extLst>
            <a:ext uri="{FF2B5EF4-FFF2-40B4-BE49-F238E27FC236}">
              <a16:creationId xmlns:a16="http://schemas.microsoft.com/office/drawing/2014/main" id="{00000000-0008-0000-0100-000002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95" name="Drop Down 1" hidden="1">
          <a:extLst>
            <a:ext uri="{FF2B5EF4-FFF2-40B4-BE49-F238E27FC236}">
              <a16:creationId xmlns:a16="http://schemas.microsoft.com/office/drawing/2014/main" id="{00000000-0008-0000-0100-000003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96" name="Drop Down 1" hidden="1">
          <a:extLst>
            <a:ext uri="{FF2B5EF4-FFF2-40B4-BE49-F238E27FC236}">
              <a16:creationId xmlns:a16="http://schemas.microsoft.com/office/drawing/2014/main" id="{00000000-0008-0000-0100-000004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97" name="Drop Down 1" hidden="1">
          <a:extLst>
            <a:ext uri="{FF2B5EF4-FFF2-40B4-BE49-F238E27FC236}">
              <a16:creationId xmlns:a16="http://schemas.microsoft.com/office/drawing/2014/main" id="{00000000-0008-0000-0100-000005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98" name="Drop Down 2" hidden="1">
          <a:extLst>
            <a:ext uri="{FF2B5EF4-FFF2-40B4-BE49-F238E27FC236}">
              <a16:creationId xmlns:a16="http://schemas.microsoft.com/office/drawing/2014/main" id="{00000000-0008-0000-0100-000006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799" name="Drop Down 1" hidden="1">
          <a:extLst>
            <a:ext uri="{FF2B5EF4-FFF2-40B4-BE49-F238E27FC236}">
              <a16:creationId xmlns:a16="http://schemas.microsoft.com/office/drawing/2014/main" id="{00000000-0008-0000-0100-000007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00" name="Drop Down -1022" hidden="1">
          <a:extLst>
            <a:ext uri="{FF2B5EF4-FFF2-40B4-BE49-F238E27FC236}">
              <a16:creationId xmlns:a16="http://schemas.microsoft.com/office/drawing/2014/main" id="{00000000-0008-0000-0100-000008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01" name="Drop Down 1" hidden="1">
          <a:extLst>
            <a:ext uri="{FF2B5EF4-FFF2-40B4-BE49-F238E27FC236}">
              <a16:creationId xmlns:a16="http://schemas.microsoft.com/office/drawing/2014/main" id="{00000000-0008-0000-0100-000009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02" name="Drop Down 1" hidden="1">
          <a:extLst>
            <a:ext uri="{FF2B5EF4-FFF2-40B4-BE49-F238E27FC236}">
              <a16:creationId xmlns:a16="http://schemas.microsoft.com/office/drawing/2014/main" id="{00000000-0008-0000-0100-00000A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03" name="Drop Down 1" hidden="1">
          <a:extLst>
            <a:ext uri="{FF2B5EF4-FFF2-40B4-BE49-F238E27FC236}">
              <a16:creationId xmlns:a16="http://schemas.microsoft.com/office/drawing/2014/main" id="{00000000-0008-0000-0100-00000B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04" name="Drop Down 1" hidden="1">
          <a:extLst>
            <a:ext uri="{FF2B5EF4-FFF2-40B4-BE49-F238E27FC236}">
              <a16:creationId xmlns:a16="http://schemas.microsoft.com/office/drawing/2014/main" id="{00000000-0008-0000-0100-00000C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05" name="Drop Down 2" hidden="1">
          <a:extLst>
            <a:ext uri="{FF2B5EF4-FFF2-40B4-BE49-F238E27FC236}">
              <a16:creationId xmlns:a16="http://schemas.microsoft.com/office/drawing/2014/main" id="{00000000-0008-0000-0100-00000D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06" name="Drop Down 1" hidden="1">
          <a:extLst>
            <a:ext uri="{FF2B5EF4-FFF2-40B4-BE49-F238E27FC236}">
              <a16:creationId xmlns:a16="http://schemas.microsoft.com/office/drawing/2014/main" id="{00000000-0008-0000-0100-00000E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07" name="Drop Down -1022" hidden="1">
          <a:extLst>
            <a:ext uri="{FF2B5EF4-FFF2-40B4-BE49-F238E27FC236}">
              <a16:creationId xmlns:a16="http://schemas.microsoft.com/office/drawing/2014/main" id="{00000000-0008-0000-0100-00000F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08" name="Drop Down 1" hidden="1">
          <a:extLst>
            <a:ext uri="{FF2B5EF4-FFF2-40B4-BE49-F238E27FC236}">
              <a16:creationId xmlns:a16="http://schemas.microsoft.com/office/drawing/2014/main" id="{00000000-0008-0000-0100-000010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09" name="Drop Down 1" hidden="1">
          <a:extLst>
            <a:ext uri="{FF2B5EF4-FFF2-40B4-BE49-F238E27FC236}">
              <a16:creationId xmlns:a16="http://schemas.microsoft.com/office/drawing/2014/main" id="{00000000-0008-0000-0100-000011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10" name="Drop Down 1" hidden="1">
          <a:extLst>
            <a:ext uri="{FF2B5EF4-FFF2-40B4-BE49-F238E27FC236}">
              <a16:creationId xmlns:a16="http://schemas.microsoft.com/office/drawing/2014/main" id="{00000000-0008-0000-0100-000012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11" name="Drop Down 1" hidden="1">
          <a:extLst>
            <a:ext uri="{FF2B5EF4-FFF2-40B4-BE49-F238E27FC236}">
              <a16:creationId xmlns:a16="http://schemas.microsoft.com/office/drawing/2014/main" id="{00000000-0008-0000-0100-000013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12" name="Drop Down 2" hidden="1">
          <a:extLst>
            <a:ext uri="{FF2B5EF4-FFF2-40B4-BE49-F238E27FC236}">
              <a16:creationId xmlns:a16="http://schemas.microsoft.com/office/drawing/2014/main" id="{00000000-0008-0000-0100-00001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13" name="Drop Down 1" hidden="1">
          <a:extLst>
            <a:ext uri="{FF2B5EF4-FFF2-40B4-BE49-F238E27FC236}">
              <a16:creationId xmlns:a16="http://schemas.microsoft.com/office/drawing/2014/main" id="{00000000-0008-0000-0100-00001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14" name="Drop Down -1022" hidden="1">
          <a:extLst>
            <a:ext uri="{FF2B5EF4-FFF2-40B4-BE49-F238E27FC236}">
              <a16:creationId xmlns:a16="http://schemas.microsoft.com/office/drawing/2014/main" id="{00000000-0008-0000-0100-00001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15" name="Drop Down 1" hidden="1">
          <a:extLst>
            <a:ext uri="{FF2B5EF4-FFF2-40B4-BE49-F238E27FC236}">
              <a16:creationId xmlns:a16="http://schemas.microsoft.com/office/drawing/2014/main" id="{00000000-0008-0000-0100-00001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16" name="Drop Down 1" hidden="1">
          <a:extLst>
            <a:ext uri="{FF2B5EF4-FFF2-40B4-BE49-F238E27FC236}">
              <a16:creationId xmlns:a16="http://schemas.microsoft.com/office/drawing/2014/main" id="{00000000-0008-0000-0100-00001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17" name="Drop Down 1" hidden="1">
          <a:extLst>
            <a:ext uri="{FF2B5EF4-FFF2-40B4-BE49-F238E27FC236}">
              <a16:creationId xmlns:a16="http://schemas.microsoft.com/office/drawing/2014/main" id="{00000000-0008-0000-0100-00001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18" name="Drop Down 1" hidden="1">
          <a:extLst>
            <a:ext uri="{FF2B5EF4-FFF2-40B4-BE49-F238E27FC236}">
              <a16:creationId xmlns:a16="http://schemas.microsoft.com/office/drawing/2014/main" id="{00000000-0008-0000-0100-00001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19" name="Drop Down 2" hidden="1">
          <a:extLst>
            <a:ext uri="{FF2B5EF4-FFF2-40B4-BE49-F238E27FC236}">
              <a16:creationId xmlns:a16="http://schemas.microsoft.com/office/drawing/2014/main" id="{00000000-0008-0000-0100-00001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20" name="Drop Down 1" hidden="1">
          <a:extLst>
            <a:ext uri="{FF2B5EF4-FFF2-40B4-BE49-F238E27FC236}">
              <a16:creationId xmlns:a16="http://schemas.microsoft.com/office/drawing/2014/main" id="{00000000-0008-0000-0100-00001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21" name="Drop Down -1022" hidden="1">
          <a:extLst>
            <a:ext uri="{FF2B5EF4-FFF2-40B4-BE49-F238E27FC236}">
              <a16:creationId xmlns:a16="http://schemas.microsoft.com/office/drawing/2014/main" id="{00000000-0008-0000-0100-00001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22" name="Drop Down 1" hidden="1">
          <a:extLst>
            <a:ext uri="{FF2B5EF4-FFF2-40B4-BE49-F238E27FC236}">
              <a16:creationId xmlns:a16="http://schemas.microsoft.com/office/drawing/2014/main" id="{00000000-0008-0000-0100-00001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23" name="Drop Down 1" hidden="1">
          <a:extLst>
            <a:ext uri="{FF2B5EF4-FFF2-40B4-BE49-F238E27FC236}">
              <a16:creationId xmlns:a16="http://schemas.microsoft.com/office/drawing/2014/main" id="{00000000-0008-0000-0100-00001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24" name="Drop Down 1" hidden="1">
          <a:extLst>
            <a:ext uri="{FF2B5EF4-FFF2-40B4-BE49-F238E27FC236}">
              <a16:creationId xmlns:a16="http://schemas.microsoft.com/office/drawing/2014/main" id="{00000000-0008-0000-0100-000020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25" name="Drop Down 1" hidden="1">
          <a:extLst>
            <a:ext uri="{FF2B5EF4-FFF2-40B4-BE49-F238E27FC236}">
              <a16:creationId xmlns:a16="http://schemas.microsoft.com/office/drawing/2014/main" id="{00000000-0008-0000-0100-000021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26" name="Drop Down 2" hidden="1">
          <a:extLst>
            <a:ext uri="{FF2B5EF4-FFF2-40B4-BE49-F238E27FC236}">
              <a16:creationId xmlns:a16="http://schemas.microsoft.com/office/drawing/2014/main" id="{00000000-0008-0000-0100-000022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27" name="Drop Down 1" hidden="1">
          <a:extLst>
            <a:ext uri="{FF2B5EF4-FFF2-40B4-BE49-F238E27FC236}">
              <a16:creationId xmlns:a16="http://schemas.microsoft.com/office/drawing/2014/main" id="{00000000-0008-0000-0100-000023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28" name="Drop Down -1022" hidden="1">
          <a:extLst>
            <a:ext uri="{FF2B5EF4-FFF2-40B4-BE49-F238E27FC236}">
              <a16:creationId xmlns:a16="http://schemas.microsoft.com/office/drawing/2014/main" id="{00000000-0008-0000-0100-00002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29" name="Drop Down 1" hidden="1">
          <a:extLst>
            <a:ext uri="{FF2B5EF4-FFF2-40B4-BE49-F238E27FC236}">
              <a16:creationId xmlns:a16="http://schemas.microsoft.com/office/drawing/2014/main" id="{00000000-0008-0000-0100-00002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30" name="Drop Down 1" hidden="1">
          <a:extLst>
            <a:ext uri="{FF2B5EF4-FFF2-40B4-BE49-F238E27FC236}">
              <a16:creationId xmlns:a16="http://schemas.microsoft.com/office/drawing/2014/main" id="{00000000-0008-0000-0100-00002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31" name="Drop Down 1" hidden="1">
          <a:extLst>
            <a:ext uri="{FF2B5EF4-FFF2-40B4-BE49-F238E27FC236}">
              <a16:creationId xmlns:a16="http://schemas.microsoft.com/office/drawing/2014/main" id="{00000000-0008-0000-0100-00002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32" name="Drop Down 1" hidden="1">
          <a:extLst>
            <a:ext uri="{FF2B5EF4-FFF2-40B4-BE49-F238E27FC236}">
              <a16:creationId xmlns:a16="http://schemas.microsoft.com/office/drawing/2014/main" id="{00000000-0008-0000-0100-00002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33" name="Drop Down 2" hidden="1">
          <a:extLst>
            <a:ext uri="{FF2B5EF4-FFF2-40B4-BE49-F238E27FC236}">
              <a16:creationId xmlns:a16="http://schemas.microsoft.com/office/drawing/2014/main" id="{00000000-0008-0000-0100-00002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34" name="Drop Down 1" hidden="1">
          <a:extLst>
            <a:ext uri="{FF2B5EF4-FFF2-40B4-BE49-F238E27FC236}">
              <a16:creationId xmlns:a16="http://schemas.microsoft.com/office/drawing/2014/main" id="{00000000-0008-0000-0100-00002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35" name="Drop Down -1022" hidden="1">
          <a:extLst>
            <a:ext uri="{FF2B5EF4-FFF2-40B4-BE49-F238E27FC236}">
              <a16:creationId xmlns:a16="http://schemas.microsoft.com/office/drawing/2014/main" id="{00000000-0008-0000-0100-00002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36" name="Drop Down 1" hidden="1">
          <a:extLst>
            <a:ext uri="{FF2B5EF4-FFF2-40B4-BE49-F238E27FC236}">
              <a16:creationId xmlns:a16="http://schemas.microsoft.com/office/drawing/2014/main" id="{00000000-0008-0000-0100-00002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37" name="Drop Down 1" hidden="1">
          <a:extLst>
            <a:ext uri="{FF2B5EF4-FFF2-40B4-BE49-F238E27FC236}">
              <a16:creationId xmlns:a16="http://schemas.microsoft.com/office/drawing/2014/main" id="{00000000-0008-0000-0100-00002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38" name="Drop Down 1" hidden="1">
          <a:extLst>
            <a:ext uri="{FF2B5EF4-FFF2-40B4-BE49-F238E27FC236}">
              <a16:creationId xmlns:a16="http://schemas.microsoft.com/office/drawing/2014/main" id="{00000000-0008-0000-0100-00002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39" name="Drop Down 1" hidden="1">
          <a:extLst>
            <a:ext uri="{FF2B5EF4-FFF2-40B4-BE49-F238E27FC236}">
              <a16:creationId xmlns:a16="http://schemas.microsoft.com/office/drawing/2014/main" id="{00000000-0008-0000-0100-00002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40" name="Drop Down 2" hidden="1">
          <a:extLst>
            <a:ext uri="{FF2B5EF4-FFF2-40B4-BE49-F238E27FC236}">
              <a16:creationId xmlns:a16="http://schemas.microsoft.com/office/drawing/2014/main" id="{00000000-0008-0000-0100-000030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41" name="Drop Down 1" hidden="1">
          <a:extLst>
            <a:ext uri="{FF2B5EF4-FFF2-40B4-BE49-F238E27FC236}">
              <a16:creationId xmlns:a16="http://schemas.microsoft.com/office/drawing/2014/main" id="{00000000-0008-0000-0100-000031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42" name="Drop Down -1022" hidden="1">
          <a:extLst>
            <a:ext uri="{FF2B5EF4-FFF2-40B4-BE49-F238E27FC236}">
              <a16:creationId xmlns:a16="http://schemas.microsoft.com/office/drawing/2014/main" id="{00000000-0008-0000-0100-000032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43" name="Drop Down 1" hidden="1">
          <a:extLst>
            <a:ext uri="{FF2B5EF4-FFF2-40B4-BE49-F238E27FC236}">
              <a16:creationId xmlns:a16="http://schemas.microsoft.com/office/drawing/2014/main" id="{00000000-0008-0000-0100-000033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44" name="Drop Down 1" hidden="1">
          <a:extLst>
            <a:ext uri="{FF2B5EF4-FFF2-40B4-BE49-F238E27FC236}">
              <a16:creationId xmlns:a16="http://schemas.microsoft.com/office/drawing/2014/main" id="{00000000-0008-0000-0100-00003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45" name="Drop Down 1" hidden="1">
          <a:extLst>
            <a:ext uri="{FF2B5EF4-FFF2-40B4-BE49-F238E27FC236}">
              <a16:creationId xmlns:a16="http://schemas.microsoft.com/office/drawing/2014/main" id="{00000000-0008-0000-0100-00003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46" name="Drop Down 1" hidden="1">
          <a:extLst>
            <a:ext uri="{FF2B5EF4-FFF2-40B4-BE49-F238E27FC236}">
              <a16:creationId xmlns:a16="http://schemas.microsoft.com/office/drawing/2014/main" id="{00000000-0008-0000-0100-00003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47" name="Drop Down 2" hidden="1">
          <a:extLst>
            <a:ext uri="{FF2B5EF4-FFF2-40B4-BE49-F238E27FC236}">
              <a16:creationId xmlns:a16="http://schemas.microsoft.com/office/drawing/2014/main" id="{00000000-0008-0000-0100-00003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48" name="Drop Down 1" hidden="1">
          <a:extLst>
            <a:ext uri="{FF2B5EF4-FFF2-40B4-BE49-F238E27FC236}">
              <a16:creationId xmlns:a16="http://schemas.microsoft.com/office/drawing/2014/main" id="{00000000-0008-0000-0100-00003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49" name="Drop Down -1022" hidden="1">
          <a:extLst>
            <a:ext uri="{FF2B5EF4-FFF2-40B4-BE49-F238E27FC236}">
              <a16:creationId xmlns:a16="http://schemas.microsoft.com/office/drawing/2014/main" id="{00000000-0008-0000-0100-00003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50" name="Drop Down 1" hidden="1">
          <a:extLst>
            <a:ext uri="{FF2B5EF4-FFF2-40B4-BE49-F238E27FC236}">
              <a16:creationId xmlns:a16="http://schemas.microsoft.com/office/drawing/2014/main" id="{00000000-0008-0000-0100-00003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51" name="Drop Down 1" hidden="1">
          <a:extLst>
            <a:ext uri="{FF2B5EF4-FFF2-40B4-BE49-F238E27FC236}">
              <a16:creationId xmlns:a16="http://schemas.microsoft.com/office/drawing/2014/main" id="{00000000-0008-0000-0100-00003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52" name="Drop Down 1" hidden="1">
          <a:extLst>
            <a:ext uri="{FF2B5EF4-FFF2-40B4-BE49-F238E27FC236}">
              <a16:creationId xmlns:a16="http://schemas.microsoft.com/office/drawing/2014/main" id="{00000000-0008-0000-0100-00003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53" name="Drop Down 1" hidden="1">
          <a:extLst>
            <a:ext uri="{FF2B5EF4-FFF2-40B4-BE49-F238E27FC236}">
              <a16:creationId xmlns:a16="http://schemas.microsoft.com/office/drawing/2014/main" id="{00000000-0008-0000-0100-00003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54" name="Drop Down 2" hidden="1">
          <a:extLst>
            <a:ext uri="{FF2B5EF4-FFF2-40B4-BE49-F238E27FC236}">
              <a16:creationId xmlns:a16="http://schemas.microsoft.com/office/drawing/2014/main" id="{00000000-0008-0000-0100-00003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55" name="Drop Down 1" hidden="1">
          <a:extLst>
            <a:ext uri="{FF2B5EF4-FFF2-40B4-BE49-F238E27FC236}">
              <a16:creationId xmlns:a16="http://schemas.microsoft.com/office/drawing/2014/main" id="{00000000-0008-0000-0100-00003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56" name="Drop Down -1022" hidden="1">
          <a:extLst>
            <a:ext uri="{FF2B5EF4-FFF2-40B4-BE49-F238E27FC236}">
              <a16:creationId xmlns:a16="http://schemas.microsoft.com/office/drawing/2014/main" id="{00000000-0008-0000-0100-000040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57" name="Drop Down 1" hidden="1">
          <a:extLst>
            <a:ext uri="{FF2B5EF4-FFF2-40B4-BE49-F238E27FC236}">
              <a16:creationId xmlns:a16="http://schemas.microsoft.com/office/drawing/2014/main" id="{00000000-0008-0000-0100-000041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58" name="Drop Down 1" hidden="1">
          <a:extLst>
            <a:ext uri="{FF2B5EF4-FFF2-40B4-BE49-F238E27FC236}">
              <a16:creationId xmlns:a16="http://schemas.microsoft.com/office/drawing/2014/main" id="{00000000-0008-0000-0100-000042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59" name="Drop Down 1" hidden="1">
          <a:extLst>
            <a:ext uri="{FF2B5EF4-FFF2-40B4-BE49-F238E27FC236}">
              <a16:creationId xmlns:a16="http://schemas.microsoft.com/office/drawing/2014/main" id="{00000000-0008-0000-0100-000043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60" name="Drop Down 1" hidden="1">
          <a:extLst>
            <a:ext uri="{FF2B5EF4-FFF2-40B4-BE49-F238E27FC236}">
              <a16:creationId xmlns:a16="http://schemas.microsoft.com/office/drawing/2014/main" id="{00000000-0008-0000-0100-00004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61" name="Drop Down 2" hidden="1">
          <a:extLst>
            <a:ext uri="{FF2B5EF4-FFF2-40B4-BE49-F238E27FC236}">
              <a16:creationId xmlns:a16="http://schemas.microsoft.com/office/drawing/2014/main" id="{00000000-0008-0000-0100-00004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62" name="Drop Down 1" hidden="1">
          <a:extLst>
            <a:ext uri="{FF2B5EF4-FFF2-40B4-BE49-F238E27FC236}">
              <a16:creationId xmlns:a16="http://schemas.microsoft.com/office/drawing/2014/main" id="{00000000-0008-0000-0100-00004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63" name="Drop Down -1022" hidden="1">
          <a:extLst>
            <a:ext uri="{FF2B5EF4-FFF2-40B4-BE49-F238E27FC236}">
              <a16:creationId xmlns:a16="http://schemas.microsoft.com/office/drawing/2014/main" id="{00000000-0008-0000-0100-00004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64" name="Drop Down 1" hidden="1">
          <a:extLst>
            <a:ext uri="{FF2B5EF4-FFF2-40B4-BE49-F238E27FC236}">
              <a16:creationId xmlns:a16="http://schemas.microsoft.com/office/drawing/2014/main" id="{00000000-0008-0000-0100-000048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65" name="Drop Down 1" hidden="1">
          <a:extLst>
            <a:ext uri="{FF2B5EF4-FFF2-40B4-BE49-F238E27FC236}">
              <a16:creationId xmlns:a16="http://schemas.microsoft.com/office/drawing/2014/main" id="{00000000-0008-0000-0100-000049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66" name="Drop Down 1" hidden="1">
          <a:extLst>
            <a:ext uri="{FF2B5EF4-FFF2-40B4-BE49-F238E27FC236}">
              <a16:creationId xmlns:a16="http://schemas.microsoft.com/office/drawing/2014/main" id="{00000000-0008-0000-0100-00004A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67" name="Drop Down 1" hidden="1">
          <a:extLst>
            <a:ext uri="{FF2B5EF4-FFF2-40B4-BE49-F238E27FC236}">
              <a16:creationId xmlns:a16="http://schemas.microsoft.com/office/drawing/2014/main" id="{00000000-0008-0000-0100-00004B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68" name="Drop Down 2" hidden="1">
          <a:extLst>
            <a:ext uri="{FF2B5EF4-FFF2-40B4-BE49-F238E27FC236}">
              <a16:creationId xmlns:a16="http://schemas.microsoft.com/office/drawing/2014/main" id="{00000000-0008-0000-0100-00004C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69" name="Drop Down 1" hidden="1">
          <a:extLst>
            <a:ext uri="{FF2B5EF4-FFF2-40B4-BE49-F238E27FC236}">
              <a16:creationId xmlns:a16="http://schemas.microsoft.com/office/drawing/2014/main" id="{00000000-0008-0000-0100-00004D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70" name="Drop Down -1022" hidden="1">
          <a:extLst>
            <a:ext uri="{FF2B5EF4-FFF2-40B4-BE49-F238E27FC236}">
              <a16:creationId xmlns:a16="http://schemas.microsoft.com/office/drawing/2014/main" id="{00000000-0008-0000-0100-00004E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71" name="Drop Down 1" hidden="1">
          <a:extLst>
            <a:ext uri="{FF2B5EF4-FFF2-40B4-BE49-F238E27FC236}">
              <a16:creationId xmlns:a16="http://schemas.microsoft.com/office/drawing/2014/main" id="{00000000-0008-0000-0100-00004F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72" name="Drop Down 1" hidden="1">
          <a:extLst>
            <a:ext uri="{FF2B5EF4-FFF2-40B4-BE49-F238E27FC236}">
              <a16:creationId xmlns:a16="http://schemas.microsoft.com/office/drawing/2014/main" id="{00000000-0008-0000-0100-000050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73" name="Drop Down 1" hidden="1">
          <a:extLst>
            <a:ext uri="{FF2B5EF4-FFF2-40B4-BE49-F238E27FC236}">
              <a16:creationId xmlns:a16="http://schemas.microsoft.com/office/drawing/2014/main" id="{00000000-0008-0000-0100-000051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74" name="Drop Down 1" hidden="1">
          <a:extLst>
            <a:ext uri="{FF2B5EF4-FFF2-40B4-BE49-F238E27FC236}">
              <a16:creationId xmlns:a16="http://schemas.microsoft.com/office/drawing/2014/main" id="{00000000-0008-0000-0100-000052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75" name="Drop Down 2" hidden="1">
          <a:extLst>
            <a:ext uri="{FF2B5EF4-FFF2-40B4-BE49-F238E27FC236}">
              <a16:creationId xmlns:a16="http://schemas.microsoft.com/office/drawing/2014/main" id="{00000000-0008-0000-0100-000053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76" name="Drop Down 1" hidden="1">
          <a:extLst>
            <a:ext uri="{FF2B5EF4-FFF2-40B4-BE49-F238E27FC236}">
              <a16:creationId xmlns:a16="http://schemas.microsoft.com/office/drawing/2014/main" id="{00000000-0008-0000-0100-000054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77" name="Drop Down -1022" hidden="1">
          <a:extLst>
            <a:ext uri="{FF2B5EF4-FFF2-40B4-BE49-F238E27FC236}">
              <a16:creationId xmlns:a16="http://schemas.microsoft.com/office/drawing/2014/main" id="{00000000-0008-0000-0100-000055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78" name="Drop Down 1" hidden="1">
          <a:extLst>
            <a:ext uri="{FF2B5EF4-FFF2-40B4-BE49-F238E27FC236}">
              <a16:creationId xmlns:a16="http://schemas.microsoft.com/office/drawing/2014/main" id="{00000000-0008-0000-0100-000056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79" name="Drop Down 1" hidden="1">
          <a:extLst>
            <a:ext uri="{FF2B5EF4-FFF2-40B4-BE49-F238E27FC236}">
              <a16:creationId xmlns:a16="http://schemas.microsoft.com/office/drawing/2014/main" id="{00000000-0008-0000-0100-000057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80" name="Drop Down 1" hidden="1">
          <a:extLst>
            <a:ext uri="{FF2B5EF4-FFF2-40B4-BE49-F238E27FC236}">
              <a16:creationId xmlns:a16="http://schemas.microsoft.com/office/drawing/2014/main" id="{00000000-0008-0000-0100-000058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81" name="Drop Down 1" hidden="1">
          <a:extLst>
            <a:ext uri="{FF2B5EF4-FFF2-40B4-BE49-F238E27FC236}">
              <a16:creationId xmlns:a16="http://schemas.microsoft.com/office/drawing/2014/main" id="{00000000-0008-0000-0100-000059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82" name="Drop Down 2" hidden="1">
          <a:extLst>
            <a:ext uri="{FF2B5EF4-FFF2-40B4-BE49-F238E27FC236}">
              <a16:creationId xmlns:a16="http://schemas.microsoft.com/office/drawing/2014/main" id="{00000000-0008-0000-0100-00005A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83" name="Drop Down 1" hidden="1">
          <a:extLst>
            <a:ext uri="{FF2B5EF4-FFF2-40B4-BE49-F238E27FC236}">
              <a16:creationId xmlns:a16="http://schemas.microsoft.com/office/drawing/2014/main" id="{00000000-0008-0000-0100-00005B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884" name="Drop Down -1022" hidden="1">
          <a:extLst>
            <a:ext uri="{FF2B5EF4-FFF2-40B4-BE49-F238E27FC236}">
              <a16:creationId xmlns:a16="http://schemas.microsoft.com/office/drawing/2014/main" id="{00000000-0008-0000-0100-00005C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85" name="Drop Down 1" hidden="1">
          <a:extLst>
            <a:ext uri="{FF2B5EF4-FFF2-40B4-BE49-F238E27FC236}">
              <a16:creationId xmlns:a16="http://schemas.microsoft.com/office/drawing/2014/main" id="{00000000-0008-0000-0100-00005D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86" name="Drop Down 1" hidden="1">
          <a:extLst>
            <a:ext uri="{FF2B5EF4-FFF2-40B4-BE49-F238E27FC236}">
              <a16:creationId xmlns:a16="http://schemas.microsoft.com/office/drawing/2014/main" id="{00000000-0008-0000-0100-00005E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87" name="Drop Down 1" hidden="1">
          <a:extLst>
            <a:ext uri="{FF2B5EF4-FFF2-40B4-BE49-F238E27FC236}">
              <a16:creationId xmlns:a16="http://schemas.microsoft.com/office/drawing/2014/main" id="{00000000-0008-0000-0100-00005F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88" name="Drop Down 1" hidden="1">
          <a:extLst>
            <a:ext uri="{FF2B5EF4-FFF2-40B4-BE49-F238E27FC236}">
              <a16:creationId xmlns:a16="http://schemas.microsoft.com/office/drawing/2014/main" id="{00000000-0008-0000-0100-000060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89" name="Drop Down 2" hidden="1">
          <a:extLst>
            <a:ext uri="{FF2B5EF4-FFF2-40B4-BE49-F238E27FC236}">
              <a16:creationId xmlns:a16="http://schemas.microsoft.com/office/drawing/2014/main" id="{00000000-0008-0000-0100-000061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90" name="Drop Down 1" hidden="1">
          <a:extLst>
            <a:ext uri="{FF2B5EF4-FFF2-40B4-BE49-F238E27FC236}">
              <a16:creationId xmlns:a16="http://schemas.microsoft.com/office/drawing/2014/main" id="{00000000-0008-0000-0100-000062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891" name="Drop Down -1022" hidden="1">
          <a:extLst>
            <a:ext uri="{FF2B5EF4-FFF2-40B4-BE49-F238E27FC236}">
              <a16:creationId xmlns:a16="http://schemas.microsoft.com/office/drawing/2014/main" id="{00000000-0008-0000-0100-000063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92" name="Drop Down 1" hidden="1">
          <a:extLst>
            <a:ext uri="{FF2B5EF4-FFF2-40B4-BE49-F238E27FC236}">
              <a16:creationId xmlns:a16="http://schemas.microsoft.com/office/drawing/2014/main" id="{00000000-0008-0000-0100-00006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93" name="Drop Down 1" hidden="1">
          <a:extLst>
            <a:ext uri="{FF2B5EF4-FFF2-40B4-BE49-F238E27FC236}">
              <a16:creationId xmlns:a16="http://schemas.microsoft.com/office/drawing/2014/main" id="{00000000-0008-0000-0100-00006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94" name="Drop Down 1" hidden="1">
          <a:extLst>
            <a:ext uri="{FF2B5EF4-FFF2-40B4-BE49-F238E27FC236}">
              <a16:creationId xmlns:a16="http://schemas.microsoft.com/office/drawing/2014/main" id="{00000000-0008-0000-0100-00006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95" name="Drop Down 1" hidden="1">
          <a:extLst>
            <a:ext uri="{FF2B5EF4-FFF2-40B4-BE49-F238E27FC236}">
              <a16:creationId xmlns:a16="http://schemas.microsoft.com/office/drawing/2014/main" id="{00000000-0008-0000-0100-00006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96" name="Drop Down 2" hidden="1">
          <a:extLst>
            <a:ext uri="{FF2B5EF4-FFF2-40B4-BE49-F238E27FC236}">
              <a16:creationId xmlns:a16="http://schemas.microsoft.com/office/drawing/2014/main" id="{00000000-0008-0000-0100-00006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97" name="Drop Down 1" hidden="1">
          <a:extLst>
            <a:ext uri="{FF2B5EF4-FFF2-40B4-BE49-F238E27FC236}">
              <a16:creationId xmlns:a16="http://schemas.microsoft.com/office/drawing/2014/main" id="{00000000-0008-0000-0100-00006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898" name="Drop Down -1022" hidden="1">
          <a:extLst>
            <a:ext uri="{FF2B5EF4-FFF2-40B4-BE49-F238E27FC236}">
              <a16:creationId xmlns:a16="http://schemas.microsoft.com/office/drawing/2014/main" id="{00000000-0008-0000-0100-00006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899" name="Drop Down 1" hidden="1">
          <a:extLst>
            <a:ext uri="{FF2B5EF4-FFF2-40B4-BE49-F238E27FC236}">
              <a16:creationId xmlns:a16="http://schemas.microsoft.com/office/drawing/2014/main" id="{00000000-0008-0000-0100-00006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00" name="Drop Down 1" hidden="1">
          <a:extLst>
            <a:ext uri="{FF2B5EF4-FFF2-40B4-BE49-F238E27FC236}">
              <a16:creationId xmlns:a16="http://schemas.microsoft.com/office/drawing/2014/main" id="{00000000-0008-0000-0100-00006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01" name="Drop Down 1" hidden="1">
          <a:extLst>
            <a:ext uri="{FF2B5EF4-FFF2-40B4-BE49-F238E27FC236}">
              <a16:creationId xmlns:a16="http://schemas.microsoft.com/office/drawing/2014/main" id="{00000000-0008-0000-0100-00006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02" name="Drop Down 1" hidden="1">
          <a:extLst>
            <a:ext uri="{FF2B5EF4-FFF2-40B4-BE49-F238E27FC236}">
              <a16:creationId xmlns:a16="http://schemas.microsoft.com/office/drawing/2014/main" id="{00000000-0008-0000-0100-00006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03" name="Drop Down 2" hidden="1">
          <a:extLst>
            <a:ext uri="{FF2B5EF4-FFF2-40B4-BE49-F238E27FC236}">
              <a16:creationId xmlns:a16="http://schemas.microsoft.com/office/drawing/2014/main" id="{00000000-0008-0000-0100-00006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04" name="Drop Down 1" hidden="1">
          <a:extLst>
            <a:ext uri="{FF2B5EF4-FFF2-40B4-BE49-F238E27FC236}">
              <a16:creationId xmlns:a16="http://schemas.microsoft.com/office/drawing/2014/main" id="{00000000-0008-0000-0100-000070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05" name="Drop Down -1022" hidden="1">
          <a:extLst>
            <a:ext uri="{FF2B5EF4-FFF2-40B4-BE49-F238E27FC236}">
              <a16:creationId xmlns:a16="http://schemas.microsoft.com/office/drawing/2014/main" id="{00000000-0008-0000-0100-000071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06" name="Drop Down 1" hidden="1">
          <a:extLst>
            <a:ext uri="{FF2B5EF4-FFF2-40B4-BE49-F238E27FC236}">
              <a16:creationId xmlns:a16="http://schemas.microsoft.com/office/drawing/2014/main" id="{00000000-0008-0000-0100-000072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07" name="Drop Down 1" hidden="1">
          <a:extLst>
            <a:ext uri="{FF2B5EF4-FFF2-40B4-BE49-F238E27FC236}">
              <a16:creationId xmlns:a16="http://schemas.microsoft.com/office/drawing/2014/main" id="{00000000-0008-0000-0100-000073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08" name="Drop Down 1" hidden="1">
          <a:extLst>
            <a:ext uri="{FF2B5EF4-FFF2-40B4-BE49-F238E27FC236}">
              <a16:creationId xmlns:a16="http://schemas.microsoft.com/office/drawing/2014/main" id="{00000000-0008-0000-0100-00007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09" name="Drop Down 1" hidden="1">
          <a:extLst>
            <a:ext uri="{FF2B5EF4-FFF2-40B4-BE49-F238E27FC236}">
              <a16:creationId xmlns:a16="http://schemas.microsoft.com/office/drawing/2014/main" id="{00000000-0008-0000-0100-00007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10" name="Drop Down 2" hidden="1">
          <a:extLst>
            <a:ext uri="{FF2B5EF4-FFF2-40B4-BE49-F238E27FC236}">
              <a16:creationId xmlns:a16="http://schemas.microsoft.com/office/drawing/2014/main" id="{00000000-0008-0000-0100-00007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11" name="Drop Down 1" hidden="1">
          <a:extLst>
            <a:ext uri="{FF2B5EF4-FFF2-40B4-BE49-F238E27FC236}">
              <a16:creationId xmlns:a16="http://schemas.microsoft.com/office/drawing/2014/main" id="{00000000-0008-0000-0100-00007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12" name="Drop Down -1022" hidden="1">
          <a:extLst>
            <a:ext uri="{FF2B5EF4-FFF2-40B4-BE49-F238E27FC236}">
              <a16:creationId xmlns:a16="http://schemas.microsoft.com/office/drawing/2014/main" id="{00000000-0008-0000-0100-00007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13" name="Drop Down 1" hidden="1">
          <a:extLst>
            <a:ext uri="{FF2B5EF4-FFF2-40B4-BE49-F238E27FC236}">
              <a16:creationId xmlns:a16="http://schemas.microsoft.com/office/drawing/2014/main" id="{00000000-0008-0000-0100-00007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14" name="Drop Down 1" hidden="1">
          <a:extLst>
            <a:ext uri="{FF2B5EF4-FFF2-40B4-BE49-F238E27FC236}">
              <a16:creationId xmlns:a16="http://schemas.microsoft.com/office/drawing/2014/main" id="{00000000-0008-0000-0100-00007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15" name="Drop Down 1" hidden="1">
          <a:extLst>
            <a:ext uri="{FF2B5EF4-FFF2-40B4-BE49-F238E27FC236}">
              <a16:creationId xmlns:a16="http://schemas.microsoft.com/office/drawing/2014/main" id="{00000000-0008-0000-0100-00007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16" name="Drop Down 1" hidden="1">
          <a:extLst>
            <a:ext uri="{FF2B5EF4-FFF2-40B4-BE49-F238E27FC236}">
              <a16:creationId xmlns:a16="http://schemas.microsoft.com/office/drawing/2014/main" id="{00000000-0008-0000-0100-00007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17" name="Drop Down 2" hidden="1">
          <a:extLst>
            <a:ext uri="{FF2B5EF4-FFF2-40B4-BE49-F238E27FC236}">
              <a16:creationId xmlns:a16="http://schemas.microsoft.com/office/drawing/2014/main" id="{00000000-0008-0000-0100-00007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18" name="Drop Down 1" hidden="1">
          <a:extLst>
            <a:ext uri="{FF2B5EF4-FFF2-40B4-BE49-F238E27FC236}">
              <a16:creationId xmlns:a16="http://schemas.microsoft.com/office/drawing/2014/main" id="{00000000-0008-0000-0100-00007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19" name="Drop Down -1022" hidden="1">
          <a:extLst>
            <a:ext uri="{FF2B5EF4-FFF2-40B4-BE49-F238E27FC236}">
              <a16:creationId xmlns:a16="http://schemas.microsoft.com/office/drawing/2014/main" id="{00000000-0008-0000-0100-00007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20" name="Drop Down 1" hidden="1">
          <a:extLst>
            <a:ext uri="{FF2B5EF4-FFF2-40B4-BE49-F238E27FC236}">
              <a16:creationId xmlns:a16="http://schemas.microsoft.com/office/drawing/2014/main" id="{00000000-0008-0000-0100-000080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21" name="Drop Down 1" hidden="1">
          <a:extLst>
            <a:ext uri="{FF2B5EF4-FFF2-40B4-BE49-F238E27FC236}">
              <a16:creationId xmlns:a16="http://schemas.microsoft.com/office/drawing/2014/main" id="{00000000-0008-0000-0100-000081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22" name="Drop Down 1" hidden="1">
          <a:extLst>
            <a:ext uri="{FF2B5EF4-FFF2-40B4-BE49-F238E27FC236}">
              <a16:creationId xmlns:a16="http://schemas.microsoft.com/office/drawing/2014/main" id="{00000000-0008-0000-0100-000082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23" name="Drop Down 1" hidden="1">
          <a:extLst>
            <a:ext uri="{FF2B5EF4-FFF2-40B4-BE49-F238E27FC236}">
              <a16:creationId xmlns:a16="http://schemas.microsoft.com/office/drawing/2014/main" id="{00000000-0008-0000-0100-000083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24" name="Drop Down 2" hidden="1">
          <a:extLst>
            <a:ext uri="{FF2B5EF4-FFF2-40B4-BE49-F238E27FC236}">
              <a16:creationId xmlns:a16="http://schemas.microsoft.com/office/drawing/2014/main" id="{00000000-0008-0000-0100-000084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25" name="Drop Down 1" hidden="1">
          <a:extLst>
            <a:ext uri="{FF2B5EF4-FFF2-40B4-BE49-F238E27FC236}">
              <a16:creationId xmlns:a16="http://schemas.microsoft.com/office/drawing/2014/main" id="{00000000-0008-0000-0100-000085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26" name="Drop Down -1022" hidden="1">
          <a:extLst>
            <a:ext uri="{FF2B5EF4-FFF2-40B4-BE49-F238E27FC236}">
              <a16:creationId xmlns:a16="http://schemas.microsoft.com/office/drawing/2014/main" id="{00000000-0008-0000-0100-000086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27" name="Drop Down 1" hidden="1">
          <a:extLst>
            <a:ext uri="{FF2B5EF4-FFF2-40B4-BE49-F238E27FC236}">
              <a16:creationId xmlns:a16="http://schemas.microsoft.com/office/drawing/2014/main" id="{00000000-0008-0000-0100-000087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28" name="Drop Down 1" hidden="1">
          <a:extLst>
            <a:ext uri="{FF2B5EF4-FFF2-40B4-BE49-F238E27FC236}">
              <a16:creationId xmlns:a16="http://schemas.microsoft.com/office/drawing/2014/main" id="{00000000-0008-0000-0100-000088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29" name="Drop Down 1" hidden="1">
          <a:extLst>
            <a:ext uri="{FF2B5EF4-FFF2-40B4-BE49-F238E27FC236}">
              <a16:creationId xmlns:a16="http://schemas.microsoft.com/office/drawing/2014/main" id="{00000000-0008-0000-0100-000089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30" name="Drop Down 1" hidden="1">
          <a:extLst>
            <a:ext uri="{FF2B5EF4-FFF2-40B4-BE49-F238E27FC236}">
              <a16:creationId xmlns:a16="http://schemas.microsoft.com/office/drawing/2014/main" id="{00000000-0008-0000-0100-00008A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31" name="Drop Down 2" hidden="1">
          <a:extLst>
            <a:ext uri="{FF2B5EF4-FFF2-40B4-BE49-F238E27FC236}">
              <a16:creationId xmlns:a16="http://schemas.microsoft.com/office/drawing/2014/main" id="{00000000-0008-0000-0100-00008B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32" name="Drop Down 1" hidden="1">
          <a:extLst>
            <a:ext uri="{FF2B5EF4-FFF2-40B4-BE49-F238E27FC236}">
              <a16:creationId xmlns:a16="http://schemas.microsoft.com/office/drawing/2014/main" id="{00000000-0008-0000-0100-00008C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33" name="Drop Down -1022" hidden="1">
          <a:extLst>
            <a:ext uri="{FF2B5EF4-FFF2-40B4-BE49-F238E27FC236}">
              <a16:creationId xmlns:a16="http://schemas.microsoft.com/office/drawing/2014/main" id="{00000000-0008-0000-0100-00008D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34" name="Drop Down 1" hidden="1">
          <a:extLst>
            <a:ext uri="{FF2B5EF4-FFF2-40B4-BE49-F238E27FC236}">
              <a16:creationId xmlns:a16="http://schemas.microsoft.com/office/drawing/2014/main" id="{00000000-0008-0000-0100-00008E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35" name="Drop Down 1" hidden="1">
          <a:extLst>
            <a:ext uri="{FF2B5EF4-FFF2-40B4-BE49-F238E27FC236}">
              <a16:creationId xmlns:a16="http://schemas.microsoft.com/office/drawing/2014/main" id="{00000000-0008-0000-0100-00008F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36" name="Drop Down 1" hidden="1">
          <a:extLst>
            <a:ext uri="{FF2B5EF4-FFF2-40B4-BE49-F238E27FC236}">
              <a16:creationId xmlns:a16="http://schemas.microsoft.com/office/drawing/2014/main" id="{00000000-0008-0000-0100-000090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37" name="Drop Down 1" hidden="1">
          <a:extLst>
            <a:ext uri="{FF2B5EF4-FFF2-40B4-BE49-F238E27FC236}">
              <a16:creationId xmlns:a16="http://schemas.microsoft.com/office/drawing/2014/main" id="{00000000-0008-0000-0100-000091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38" name="Drop Down 2" hidden="1">
          <a:extLst>
            <a:ext uri="{FF2B5EF4-FFF2-40B4-BE49-F238E27FC236}">
              <a16:creationId xmlns:a16="http://schemas.microsoft.com/office/drawing/2014/main" id="{00000000-0008-0000-0100-000092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39" name="Drop Down 1" hidden="1">
          <a:extLst>
            <a:ext uri="{FF2B5EF4-FFF2-40B4-BE49-F238E27FC236}">
              <a16:creationId xmlns:a16="http://schemas.microsoft.com/office/drawing/2014/main" id="{00000000-0008-0000-0100-000093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40" name="Drop Down -1022" hidden="1">
          <a:extLst>
            <a:ext uri="{FF2B5EF4-FFF2-40B4-BE49-F238E27FC236}">
              <a16:creationId xmlns:a16="http://schemas.microsoft.com/office/drawing/2014/main" id="{00000000-0008-0000-0100-000094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41" name="Drop Down 1" hidden="1">
          <a:extLst>
            <a:ext uri="{FF2B5EF4-FFF2-40B4-BE49-F238E27FC236}">
              <a16:creationId xmlns:a16="http://schemas.microsoft.com/office/drawing/2014/main" id="{00000000-0008-0000-0100-000095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42" name="Drop Down 1" hidden="1">
          <a:extLst>
            <a:ext uri="{FF2B5EF4-FFF2-40B4-BE49-F238E27FC236}">
              <a16:creationId xmlns:a16="http://schemas.microsoft.com/office/drawing/2014/main" id="{00000000-0008-0000-0100-000096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43" name="Drop Down 1" hidden="1">
          <a:extLst>
            <a:ext uri="{FF2B5EF4-FFF2-40B4-BE49-F238E27FC236}">
              <a16:creationId xmlns:a16="http://schemas.microsoft.com/office/drawing/2014/main" id="{00000000-0008-0000-0100-000097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44" name="Drop Down 1" hidden="1">
          <a:extLst>
            <a:ext uri="{FF2B5EF4-FFF2-40B4-BE49-F238E27FC236}">
              <a16:creationId xmlns:a16="http://schemas.microsoft.com/office/drawing/2014/main" id="{00000000-0008-0000-0100-000098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45" name="Drop Down 2" hidden="1">
          <a:extLst>
            <a:ext uri="{FF2B5EF4-FFF2-40B4-BE49-F238E27FC236}">
              <a16:creationId xmlns:a16="http://schemas.microsoft.com/office/drawing/2014/main" id="{00000000-0008-0000-0100-000099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46" name="Drop Down 1" hidden="1">
          <a:extLst>
            <a:ext uri="{FF2B5EF4-FFF2-40B4-BE49-F238E27FC236}">
              <a16:creationId xmlns:a16="http://schemas.microsoft.com/office/drawing/2014/main" id="{00000000-0008-0000-0100-00009A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47" name="Drop Down -1022" hidden="1">
          <a:extLst>
            <a:ext uri="{FF2B5EF4-FFF2-40B4-BE49-F238E27FC236}">
              <a16:creationId xmlns:a16="http://schemas.microsoft.com/office/drawing/2014/main" id="{00000000-0008-0000-0100-00009B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948" name="Drop Down 1" hidden="1">
          <a:extLst>
            <a:ext uri="{FF2B5EF4-FFF2-40B4-BE49-F238E27FC236}">
              <a16:creationId xmlns:a16="http://schemas.microsoft.com/office/drawing/2014/main" id="{00000000-0008-0000-0100-00009C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949" name="Drop Down 1" hidden="1">
          <a:extLst>
            <a:ext uri="{FF2B5EF4-FFF2-40B4-BE49-F238E27FC236}">
              <a16:creationId xmlns:a16="http://schemas.microsoft.com/office/drawing/2014/main" id="{00000000-0008-0000-0100-00009D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950" name="Drop Down 1" hidden="1">
          <a:extLst>
            <a:ext uri="{FF2B5EF4-FFF2-40B4-BE49-F238E27FC236}">
              <a16:creationId xmlns:a16="http://schemas.microsoft.com/office/drawing/2014/main" id="{00000000-0008-0000-0100-00009E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951" name="Drop Down 1" hidden="1">
          <a:extLst>
            <a:ext uri="{FF2B5EF4-FFF2-40B4-BE49-F238E27FC236}">
              <a16:creationId xmlns:a16="http://schemas.microsoft.com/office/drawing/2014/main" id="{00000000-0008-0000-0100-00009F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952" name="Drop Down 2" hidden="1">
          <a:extLst>
            <a:ext uri="{FF2B5EF4-FFF2-40B4-BE49-F238E27FC236}">
              <a16:creationId xmlns:a16="http://schemas.microsoft.com/office/drawing/2014/main" id="{00000000-0008-0000-0100-0000A0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953" name="Drop Down 1" hidden="1">
          <a:extLst>
            <a:ext uri="{FF2B5EF4-FFF2-40B4-BE49-F238E27FC236}">
              <a16:creationId xmlns:a16="http://schemas.microsoft.com/office/drawing/2014/main" id="{00000000-0008-0000-0100-0000A1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1954" name="Drop Down -1022" hidden="1">
          <a:extLst>
            <a:ext uri="{FF2B5EF4-FFF2-40B4-BE49-F238E27FC236}">
              <a16:creationId xmlns:a16="http://schemas.microsoft.com/office/drawing/2014/main" id="{00000000-0008-0000-0100-0000A2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955" name="Drop Down 1" hidden="1">
          <a:extLst>
            <a:ext uri="{FF2B5EF4-FFF2-40B4-BE49-F238E27FC236}">
              <a16:creationId xmlns:a16="http://schemas.microsoft.com/office/drawing/2014/main" id="{00000000-0008-0000-0100-0000A3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956" name="Drop Down 1" hidden="1">
          <a:extLst>
            <a:ext uri="{FF2B5EF4-FFF2-40B4-BE49-F238E27FC236}">
              <a16:creationId xmlns:a16="http://schemas.microsoft.com/office/drawing/2014/main" id="{00000000-0008-0000-0100-0000A4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957" name="Drop Down 1" hidden="1">
          <a:extLst>
            <a:ext uri="{FF2B5EF4-FFF2-40B4-BE49-F238E27FC236}">
              <a16:creationId xmlns:a16="http://schemas.microsoft.com/office/drawing/2014/main" id="{00000000-0008-0000-0100-0000A5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958" name="Drop Down 1" hidden="1">
          <a:extLst>
            <a:ext uri="{FF2B5EF4-FFF2-40B4-BE49-F238E27FC236}">
              <a16:creationId xmlns:a16="http://schemas.microsoft.com/office/drawing/2014/main" id="{00000000-0008-0000-0100-0000A6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959" name="Drop Down 2" hidden="1">
          <a:extLst>
            <a:ext uri="{FF2B5EF4-FFF2-40B4-BE49-F238E27FC236}">
              <a16:creationId xmlns:a16="http://schemas.microsoft.com/office/drawing/2014/main" id="{00000000-0008-0000-0100-0000A7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960" name="Drop Down 1" hidden="1">
          <a:extLst>
            <a:ext uri="{FF2B5EF4-FFF2-40B4-BE49-F238E27FC236}">
              <a16:creationId xmlns:a16="http://schemas.microsoft.com/office/drawing/2014/main" id="{00000000-0008-0000-0100-0000A8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1961" name="Drop Down -1022" hidden="1">
          <a:extLst>
            <a:ext uri="{FF2B5EF4-FFF2-40B4-BE49-F238E27FC236}">
              <a16:creationId xmlns:a16="http://schemas.microsoft.com/office/drawing/2014/main" id="{00000000-0008-0000-0100-0000A9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62" name="Drop Down 1" hidden="1">
          <a:extLst>
            <a:ext uri="{FF2B5EF4-FFF2-40B4-BE49-F238E27FC236}">
              <a16:creationId xmlns:a16="http://schemas.microsoft.com/office/drawing/2014/main" id="{00000000-0008-0000-0100-0000AA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63" name="Drop Down 1" hidden="1">
          <a:extLst>
            <a:ext uri="{FF2B5EF4-FFF2-40B4-BE49-F238E27FC236}">
              <a16:creationId xmlns:a16="http://schemas.microsoft.com/office/drawing/2014/main" id="{00000000-0008-0000-0100-0000AB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64" name="Drop Down 1" hidden="1">
          <a:extLst>
            <a:ext uri="{FF2B5EF4-FFF2-40B4-BE49-F238E27FC236}">
              <a16:creationId xmlns:a16="http://schemas.microsoft.com/office/drawing/2014/main" id="{00000000-0008-0000-0100-0000AC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65" name="Drop Down 1" hidden="1">
          <a:extLst>
            <a:ext uri="{FF2B5EF4-FFF2-40B4-BE49-F238E27FC236}">
              <a16:creationId xmlns:a16="http://schemas.microsoft.com/office/drawing/2014/main" id="{00000000-0008-0000-0100-0000AD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66" name="Drop Down 2" hidden="1">
          <a:extLst>
            <a:ext uri="{FF2B5EF4-FFF2-40B4-BE49-F238E27FC236}">
              <a16:creationId xmlns:a16="http://schemas.microsoft.com/office/drawing/2014/main" id="{00000000-0008-0000-0100-0000AE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67" name="Drop Down 1" hidden="1">
          <a:extLst>
            <a:ext uri="{FF2B5EF4-FFF2-40B4-BE49-F238E27FC236}">
              <a16:creationId xmlns:a16="http://schemas.microsoft.com/office/drawing/2014/main" id="{00000000-0008-0000-0100-0000AF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1968" name="Drop Down -1022" hidden="1">
          <a:extLst>
            <a:ext uri="{FF2B5EF4-FFF2-40B4-BE49-F238E27FC236}">
              <a16:creationId xmlns:a16="http://schemas.microsoft.com/office/drawing/2014/main" id="{00000000-0008-0000-0100-0000B0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69" name="Drop Down 1" hidden="1">
          <a:extLst>
            <a:ext uri="{FF2B5EF4-FFF2-40B4-BE49-F238E27FC236}">
              <a16:creationId xmlns:a16="http://schemas.microsoft.com/office/drawing/2014/main" id="{00000000-0008-0000-0100-0000B1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70" name="Drop Down 1" hidden="1">
          <a:extLst>
            <a:ext uri="{FF2B5EF4-FFF2-40B4-BE49-F238E27FC236}">
              <a16:creationId xmlns:a16="http://schemas.microsoft.com/office/drawing/2014/main" id="{00000000-0008-0000-0100-0000B2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71" name="Drop Down 1" hidden="1">
          <a:extLst>
            <a:ext uri="{FF2B5EF4-FFF2-40B4-BE49-F238E27FC236}">
              <a16:creationId xmlns:a16="http://schemas.microsoft.com/office/drawing/2014/main" id="{00000000-0008-0000-0100-0000B3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72" name="Drop Down 1" hidden="1">
          <a:extLst>
            <a:ext uri="{FF2B5EF4-FFF2-40B4-BE49-F238E27FC236}">
              <a16:creationId xmlns:a16="http://schemas.microsoft.com/office/drawing/2014/main" id="{00000000-0008-0000-0100-0000B4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73" name="Drop Down 2" hidden="1">
          <a:extLst>
            <a:ext uri="{FF2B5EF4-FFF2-40B4-BE49-F238E27FC236}">
              <a16:creationId xmlns:a16="http://schemas.microsoft.com/office/drawing/2014/main" id="{00000000-0008-0000-0100-0000B5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74" name="Drop Down 1" hidden="1">
          <a:extLst>
            <a:ext uri="{FF2B5EF4-FFF2-40B4-BE49-F238E27FC236}">
              <a16:creationId xmlns:a16="http://schemas.microsoft.com/office/drawing/2014/main" id="{00000000-0008-0000-0100-0000B6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1975" name="Drop Down -1022" hidden="1">
          <a:extLst>
            <a:ext uri="{FF2B5EF4-FFF2-40B4-BE49-F238E27FC236}">
              <a16:creationId xmlns:a16="http://schemas.microsoft.com/office/drawing/2014/main" id="{00000000-0008-0000-0100-0000B7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76" name="Drop Down 1" hidden="1">
          <a:extLst>
            <a:ext uri="{FF2B5EF4-FFF2-40B4-BE49-F238E27FC236}">
              <a16:creationId xmlns:a16="http://schemas.microsoft.com/office/drawing/2014/main" id="{00000000-0008-0000-0100-0000B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77" name="Drop Down 1" hidden="1">
          <a:extLst>
            <a:ext uri="{FF2B5EF4-FFF2-40B4-BE49-F238E27FC236}">
              <a16:creationId xmlns:a16="http://schemas.microsoft.com/office/drawing/2014/main" id="{00000000-0008-0000-0100-0000B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78" name="Drop Down 1" hidden="1">
          <a:extLst>
            <a:ext uri="{FF2B5EF4-FFF2-40B4-BE49-F238E27FC236}">
              <a16:creationId xmlns:a16="http://schemas.microsoft.com/office/drawing/2014/main" id="{00000000-0008-0000-0100-0000B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79" name="Drop Down 1" hidden="1">
          <a:extLst>
            <a:ext uri="{FF2B5EF4-FFF2-40B4-BE49-F238E27FC236}">
              <a16:creationId xmlns:a16="http://schemas.microsoft.com/office/drawing/2014/main" id="{00000000-0008-0000-0100-0000B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80" name="Drop Down 2" hidden="1">
          <a:extLst>
            <a:ext uri="{FF2B5EF4-FFF2-40B4-BE49-F238E27FC236}">
              <a16:creationId xmlns:a16="http://schemas.microsoft.com/office/drawing/2014/main" id="{00000000-0008-0000-0100-0000B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81" name="Drop Down 1" hidden="1">
          <a:extLst>
            <a:ext uri="{FF2B5EF4-FFF2-40B4-BE49-F238E27FC236}">
              <a16:creationId xmlns:a16="http://schemas.microsoft.com/office/drawing/2014/main" id="{00000000-0008-0000-0100-0000B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82" name="Drop Down -1022" hidden="1">
          <a:extLst>
            <a:ext uri="{FF2B5EF4-FFF2-40B4-BE49-F238E27FC236}">
              <a16:creationId xmlns:a16="http://schemas.microsoft.com/office/drawing/2014/main" id="{00000000-0008-0000-0100-0000B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83" name="Drop Down 1" hidden="1">
          <a:extLst>
            <a:ext uri="{FF2B5EF4-FFF2-40B4-BE49-F238E27FC236}">
              <a16:creationId xmlns:a16="http://schemas.microsoft.com/office/drawing/2014/main" id="{00000000-0008-0000-0100-0000B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84" name="Drop Down 1" hidden="1">
          <a:extLst>
            <a:ext uri="{FF2B5EF4-FFF2-40B4-BE49-F238E27FC236}">
              <a16:creationId xmlns:a16="http://schemas.microsoft.com/office/drawing/2014/main" id="{00000000-0008-0000-0100-0000C0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85" name="Drop Down 1" hidden="1">
          <a:extLst>
            <a:ext uri="{FF2B5EF4-FFF2-40B4-BE49-F238E27FC236}">
              <a16:creationId xmlns:a16="http://schemas.microsoft.com/office/drawing/2014/main" id="{00000000-0008-0000-0100-0000C1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86" name="Drop Down 1" hidden="1">
          <a:extLst>
            <a:ext uri="{FF2B5EF4-FFF2-40B4-BE49-F238E27FC236}">
              <a16:creationId xmlns:a16="http://schemas.microsoft.com/office/drawing/2014/main" id="{00000000-0008-0000-0100-0000C2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87" name="Drop Down 2" hidden="1">
          <a:extLst>
            <a:ext uri="{FF2B5EF4-FFF2-40B4-BE49-F238E27FC236}">
              <a16:creationId xmlns:a16="http://schemas.microsoft.com/office/drawing/2014/main" id="{00000000-0008-0000-0100-0000C3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88" name="Drop Down 1" hidden="1">
          <a:extLst>
            <a:ext uri="{FF2B5EF4-FFF2-40B4-BE49-F238E27FC236}">
              <a16:creationId xmlns:a16="http://schemas.microsoft.com/office/drawing/2014/main" id="{00000000-0008-0000-0100-0000C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89" name="Drop Down -1022" hidden="1">
          <a:extLst>
            <a:ext uri="{FF2B5EF4-FFF2-40B4-BE49-F238E27FC236}">
              <a16:creationId xmlns:a16="http://schemas.microsoft.com/office/drawing/2014/main" id="{00000000-0008-0000-0100-0000C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90" name="Drop Down 1" hidden="1">
          <a:extLst>
            <a:ext uri="{FF2B5EF4-FFF2-40B4-BE49-F238E27FC236}">
              <a16:creationId xmlns:a16="http://schemas.microsoft.com/office/drawing/2014/main" id="{00000000-0008-0000-0100-0000C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91" name="Drop Down 1" hidden="1">
          <a:extLst>
            <a:ext uri="{FF2B5EF4-FFF2-40B4-BE49-F238E27FC236}">
              <a16:creationId xmlns:a16="http://schemas.microsoft.com/office/drawing/2014/main" id="{00000000-0008-0000-0100-0000C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92" name="Drop Down 1" hidden="1">
          <a:extLst>
            <a:ext uri="{FF2B5EF4-FFF2-40B4-BE49-F238E27FC236}">
              <a16:creationId xmlns:a16="http://schemas.microsoft.com/office/drawing/2014/main" id="{00000000-0008-0000-0100-0000C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93" name="Drop Down 1" hidden="1">
          <a:extLst>
            <a:ext uri="{FF2B5EF4-FFF2-40B4-BE49-F238E27FC236}">
              <a16:creationId xmlns:a16="http://schemas.microsoft.com/office/drawing/2014/main" id="{00000000-0008-0000-0100-0000C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94" name="Drop Down 2" hidden="1">
          <a:extLst>
            <a:ext uri="{FF2B5EF4-FFF2-40B4-BE49-F238E27FC236}">
              <a16:creationId xmlns:a16="http://schemas.microsoft.com/office/drawing/2014/main" id="{00000000-0008-0000-0100-0000C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95" name="Drop Down 1" hidden="1">
          <a:extLst>
            <a:ext uri="{FF2B5EF4-FFF2-40B4-BE49-F238E27FC236}">
              <a16:creationId xmlns:a16="http://schemas.microsoft.com/office/drawing/2014/main" id="{00000000-0008-0000-0100-0000C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1996" name="Drop Down -1022" hidden="1">
          <a:extLst>
            <a:ext uri="{FF2B5EF4-FFF2-40B4-BE49-F238E27FC236}">
              <a16:creationId xmlns:a16="http://schemas.microsoft.com/office/drawing/2014/main" id="{00000000-0008-0000-0100-0000C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97" name="Drop Down 1" hidden="1">
          <a:extLst>
            <a:ext uri="{FF2B5EF4-FFF2-40B4-BE49-F238E27FC236}">
              <a16:creationId xmlns:a16="http://schemas.microsoft.com/office/drawing/2014/main" id="{00000000-0008-0000-0100-0000C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98" name="Drop Down 1" hidden="1">
          <a:extLst>
            <a:ext uri="{FF2B5EF4-FFF2-40B4-BE49-F238E27FC236}">
              <a16:creationId xmlns:a16="http://schemas.microsoft.com/office/drawing/2014/main" id="{00000000-0008-0000-0100-0000C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1999" name="Drop Down 1" hidden="1">
          <a:extLst>
            <a:ext uri="{FF2B5EF4-FFF2-40B4-BE49-F238E27FC236}">
              <a16:creationId xmlns:a16="http://schemas.microsoft.com/office/drawing/2014/main" id="{00000000-0008-0000-0100-0000C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00" name="Drop Down 1" hidden="1">
          <a:extLst>
            <a:ext uri="{FF2B5EF4-FFF2-40B4-BE49-F238E27FC236}">
              <a16:creationId xmlns:a16="http://schemas.microsoft.com/office/drawing/2014/main" id="{00000000-0008-0000-0100-0000D0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01" name="Drop Down 2" hidden="1">
          <a:extLst>
            <a:ext uri="{FF2B5EF4-FFF2-40B4-BE49-F238E27FC236}">
              <a16:creationId xmlns:a16="http://schemas.microsoft.com/office/drawing/2014/main" id="{00000000-0008-0000-0100-0000D1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02" name="Drop Down 1" hidden="1">
          <a:extLst>
            <a:ext uri="{FF2B5EF4-FFF2-40B4-BE49-F238E27FC236}">
              <a16:creationId xmlns:a16="http://schemas.microsoft.com/office/drawing/2014/main" id="{00000000-0008-0000-0100-0000D2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03" name="Drop Down -1022" hidden="1">
          <a:extLst>
            <a:ext uri="{FF2B5EF4-FFF2-40B4-BE49-F238E27FC236}">
              <a16:creationId xmlns:a16="http://schemas.microsoft.com/office/drawing/2014/main" id="{00000000-0008-0000-0100-0000D3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04" name="Drop Down 1" hidden="1">
          <a:extLst>
            <a:ext uri="{FF2B5EF4-FFF2-40B4-BE49-F238E27FC236}">
              <a16:creationId xmlns:a16="http://schemas.microsoft.com/office/drawing/2014/main" id="{00000000-0008-0000-0100-0000D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05" name="Drop Down 1" hidden="1">
          <a:extLst>
            <a:ext uri="{FF2B5EF4-FFF2-40B4-BE49-F238E27FC236}">
              <a16:creationId xmlns:a16="http://schemas.microsoft.com/office/drawing/2014/main" id="{00000000-0008-0000-0100-0000D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06" name="Drop Down 1" hidden="1">
          <a:extLst>
            <a:ext uri="{FF2B5EF4-FFF2-40B4-BE49-F238E27FC236}">
              <a16:creationId xmlns:a16="http://schemas.microsoft.com/office/drawing/2014/main" id="{00000000-0008-0000-0100-0000D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07" name="Drop Down 1" hidden="1">
          <a:extLst>
            <a:ext uri="{FF2B5EF4-FFF2-40B4-BE49-F238E27FC236}">
              <a16:creationId xmlns:a16="http://schemas.microsoft.com/office/drawing/2014/main" id="{00000000-0008-0000-0100-0000D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08" name="Drop Down 2" hidden="1">
          <a:extLst>
            <a:ext uri="{FF2B5EF4-FFF2-40B4-BE49-F238E27FC236}">
              <a16:creationId xmlns:a16="http://schemas.microsoft.com/office/drawing/2014/main" id="{00000000-0008-0000-0100-0000D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09" name="Drop Down 1" hidden="1">
          <a:extLst>
            <a:ext uri="{FF2B5EF4-FFF2-40B4-BE49-F238E27FC236}">
              <a16:creationId xmlns:a16="http://schemas.microsoft.com/office/drawing/2014/main" id="{00000000-0008-0000-0100-0000D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10" name="Drop Down -1022" hidden="1">
          <a:extLst>
            <a:ext uri="{FF2B5EF4-FFF2-40B4-BE49-F238E27FC236}">
              <a16:creationId xmlns:a16="http://schemas.microsoft.com/office/drawing/2014/main" id="{00000000-0008-0000-0100-0000D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11" name="Drop Down 1" hidden="1">
          <a:extLst>
            <a:ext uri="{FF2B5EF4-FFF2-40B4-BE49-F238E27FC236}">
              <a16:creationId xmlns:a16="http://schemas.microsoft.com/office/drawing/2014/main" id="{00000000-0008-0000-0100-0000D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12" name="Drop Down 1" hidden="1">
          <a:extLst>
            <a:ext uri="{FF2B5EF4-FFF2-40B4-BE49-F238E27FC236}">
              <a16:creationId xmlns:a16="http://schemas.microsoft.com/office/drawing/2014/main" id="{00000000-0008-0000-0100-0000D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13" name="Drop Down 1" hidden="1">
          <a:extLst>
            <a:ext uri="{FF2B5EF4-FFF2-40B4-BE49-F238E27FC236}">
              <a16:creationId xmlns:a16="http://schemas.microsoft.com/office/drawing/2014/main" id="{00000000-0008-0000-0100-0000D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14" name="Drop Down 1" hidden="1">
          <a:extLst>
            <a:ext uri="{FF2B5EF4-FFF2-40B4-BE49-F238E27FC236}">
              <a16:creationId xmlns:a16="http://schemas.microsoft.com/office/drawing/2014/main" id="{00000000-0008-0000-0100-0000D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15" name="Drop Down 2" hidden="1">
          <a:extLst>
            <a:ext uri="{FF2B5EF4-FFF2-40B4-BE49-F238E27FC236}">
              <a16:creationId xmlns:a16="http://schemas.microsoft.com/office/drawing/2014/main" id="{00000000-0008-0000-0100-0000D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16" name="Drop Down 1" hidden="1">
          <a:extLst>
            <a:ext uri="{FF2B5EF4-FFF2-40B4-BE49-F238E27FC236}">
              <a16:creationId xmlns:a16="http://schemas.microsoft.com/office/drawing/2014/main" id="{00000000-0008-0000-0100-0000E0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17" name="Drop Down -1022" hidden="1">
          <a:extLst>
            <a:ext uri="{FF2B5EF4-FFF2-40B4-BE49-F238E27FC236}">
              <a16:creationId xmlns:a16="http://schemas.microsoft.com/office/drawing/2014/main" id="{00000000-0008-0000-0100-0000E1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18" name="Drop Down 1" hidden="1">
          <a:extLst>
            <a:ext uri="{FF2B5EF4-FFF2-40B4-BE49-F238E27FC236}">
              <a16:creationId xmlns:a16="http://schemas.microsoft.com/office/drawing/2014/main" id="{00000000-0008-0000-0100-0000E2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19" name="Drop Down 1" hidden="1">
          <a:extLst>
            <a:ext uri="{FF2B5EF4-FFF2-40B4-BE49-F238E27FC236}">
              <a16:creationId xmlns:a16="http://schemas.microsoft.com/office/drawing/2014/main" id="{00000000-0008-0000-0100-0000E3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20" name="Drop Down 1" hidden="1">
          <a:extLst>
            <a:ext uri="{FF2B5EF4-FFF2-40B4-BE49-F238E27FC236}">
              <a16:creationId xmlns:a16="http://schemas.microsoft.com/office/drawing/2014/main" id="{00000000-0008-0000-0100-0000E4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21" name="Drop Down 1" hidden="1">
          <a:extLst>
            <a:ext uri="{FF2B5EF4-FFF2-40B4-BE49-F238E27FC236}">
              <a16:creationId xmlns:a16="http://schemas.microsoft.com/office/drawing/2014/main" id="{00000000-0008-0000-0100-0000E5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22" name="Drop Down 2" hidden="1">
          <a:extLst>
            <a:ext uri="{FF2B5EF4-FFF2-40B4-BE49-F238E27FC236}">
              <a16:creationId xmlns:a16="http://schemas.microsoft.com/office/drawing/2014/main" id="{00000000-0008-0000-0100-0000E6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23" name="Drop Down 1" hidden="1">
          <a:extLst>
            <a:ext uri="{FF2B5EF4-FFF2-40B4-BE49-F238E27FC236}">
              <a16:creationId xmlns:a16="http://schemas.microsoft.com/office/drawing/2014/main" id="{00000000-0008-0000-0100-0000E7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24" name="Drop Down -1022" hidden="1">
          <a:extLst>
            <a:ext uri="{FF2B5EF4-FFF2-40B4-BE49-F238E27FC236}">
              <a16:creationId xmlns:a16="http://schemas.microsoft.com/office/drawing/2014/main" id="{00000000-0008-0000-0100-0000E8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25" name="Drop Down 1" hidden="1">
          <a:extLst>
            <a:ext uri="{FF2B5EF4-FFF2-40B4-BE49-F238E27FC236}">
              <a16:creationId xmlns:a16="http://schemas.microsoft.com/office/drawing/2014/main" id="{00000000-0008-0000-0100-0000E9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26" name="Drop Down 1" hidden="1">
          <a:extLst>
            <a:ext uri="{FF2B5EF4-FFF2-40B4-BE49-F238E27FC236}">
              <a16:creationId xmlns:a16="http://schemas.microsoft.com/office/drawing/2014/main" id="{00000000-0008-0000-0100-0000EA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27" name="Drop Down 1" hidden="1">
          <a:extLst>
            <a:ext uri="{FF2B5EF4-FFF2-40B4-BE49-F238E27FC236}">
              <a16:creationId xmlns:a16="http://schemas.microsoft.com/office/drawing/2014/main" id="{00000000-0008-0000-0100-0000EB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28" name="Drop Down 1" hidden="1">
          <a:extLst>
            <a:ext uri="{FF2B5EF4-FFF2-40B4-BE49-F238E27FC236}">
              <a16:creationId xmlns:a16="http://schemas.microsoft.com/office/drawing/2014/main" id="{00000000-0008-0000-0100-0000EC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29" name="Drop Down 2" hidden="1">
          <a:extLst>
            <a:ext uri="{FF2B5EF4-FFF2-40B4-BE49-F238E27FC236}">
              <a16:creationId xmlns:a16="http://schemas.microsoft.com/office/drawing/2014/main" id="{00000000-0008-0000-0100-0000ED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30" name="Drop Down 1" hidden="1">
          <a:extLst>
            <a:ext uri="{FF2B5EF4-FFF2-40B4-BE49-F238E27FC236}">
              <a16:creationId xmlns:a16="http://schemas.microsoft.com/office/drawing/2014/main" id="{00000000-0008-0000-0100-0000EE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31" name="Drop Down -1022" hidden="1">
          <a:extLst>
            <a:ext uri="{FF2B5EF4-FFF2-40B4-BE49-F238E27FC236}">
              <a16:creationId xmlns:a16="http://schemas.microsoft.com/office/drawing/2014/main" id="{00000000-0008-0000-0100-0000EF07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32" name="Drop Down 1" hidden="1">
          <a:extLst>
            <a:ext uri="{FF2B5EF4-FFF2-40B4-BE49-F238E27FC236}">
              <a16:creationId xmlns:a16="http://schemas.microsoft.com/office/drawing/2014/main" id="{00000000-0008-0000-0100-0000F0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33" name="Drop Down 1" hidden="1">
          <a:extLst>
            <a:ext uri="{FF2B5EF4-FFF2-40B4-BE49-F238E27FC236}">
              <a16:creationId xmlns:a16="http://schemas.microsoft.com/office/drawing/2014/main" id="{00000000-0008-0000-0100-0000F1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34" name="Drop Down 1" hidden="1">
          <a:extLst>
            <a:ext uri="{FF2B5EF4-FFF2-40B4-BE49-F238E27FC236}">
              <a16:creationId xmlns:a16="http://schemas.microsoft.com/office/drawing/2014/main" id="{00000000-0008-0000-0100-0000F2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35" name="Drop Down 1" hidden="1">
          <a:extLst>
            <a:ext uri="{FF2B5EF4-FFF2-40B4-BE49-F238E27FC236}">
              <a16:creationId xmlns:a16="http://schemas.microsoft.com/office/drawing/2014/main" id="{00000000-0008-0000-0100-0000F3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36" name="Drop Down 2" hidden="1">
          <a:extLst>
            <a:ext uri="{FF2B5EF4-FFF2-40B4-BE49-F238E27FC236}">
              <a16:creationId xmlns:a16="http://schemas.microsoft.com/office/drawing/2014/main" id="{00000000-0008-0000-0100-0000F4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37" name="Drop Down 1" hidden="1">
          <a:extLst>
            <a:ext uri="{FF2B5EF4-FFF2-40B4-BE49-F238E27FC236}">
              <a16:creationId xmlns:a16="http://schemas.microsoft.com/office/drawing/2014/main" id="{00000000-0008-0000-0100-0000F5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38" name="Drop Down -1022" hidden="1">
          <a:extLst>
            <a:ext uri="{FF2B5EF4-FFF2-40B4-BE49-F238E27FC236}">
              <a16:creationId xmlns:a16="http://schemas.microsoft.com/office/drawing/2014/main" id="{00000000-0008-0000-0100-0000F6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39" name="Drop Down 1" hidden="1">
          <a:extLst>
            <a:ext uri="{FF2B5EF4-FFF2-40B4-BE49-F238E27FC236}">
              <a16:creationId xmlns:a16="http://schemas.microsoft.com/office/drawing/2014/main" id="{00000000-0008-0000-0100-0000F7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40" name="Drop Down 1" hidden="1">
          <a:extLst>
            <a:ext uri="{FF2B5EF4-FFF2-40B4-BE49-F238E27FC236}">
              <a16:creationId xmlns:a16="http://schemas.microsoft.com/office/drawing/2014/main" id="{00000000-0008-0000-0100-0000F8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41" name="Drop Down 1" hidden="1">
          <a:extLst>
            <a:ext uri="{FF2B5EF4-FFF2-40B4-BE49-F238E27FC236}">
              <a16:creationId xmlns:a16="http://schemas.microsoft.com/office/drawing/2014/main" id="{00000000-0008-0000-0100-0000F9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42" name="Drop Down 1" hidden="1">
          <a:extLst>
            <a:ext uri="{FF2B5EF4-FFF2-40B4-BE49-F238E27FC236}">
              <a16:creationId xmlns:a16="http://schemas.microsoft.com/office/drawing/2014/main" id="{00000000-0008-0000-0100-0000FA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43" name="Drop Down 2" hidden="1">
          <a:extLst>
            <a:ext uri="{FF2B5EF4-FFF2-40B4-BE49-F238E27FC236}">
              <a16:creationId xmlns:a16="http://schemas.microsoft.com/office/drawing/2014/main" id="{00000000-0008-0000-0100-0000FB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44" name="Drop Down 1" hidden="1">
          <a:extLst>
            <a:ext uri="{FF2B5EF4-FFF2-40B4-BE49-F238E27FC236}">
              <a16:creationId xmlns:a16="http://schemas.microsoft.com/office/drawing/2014/main" id="{00000000-0008-0000-0100-0000FC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45" name="Drop Down -1022" hidden="1">
          <a:extLst>
            <a:ext uri="{FF2B5EF4-FFF2-40B4-BE49-F238E27FC236}">
              <a16:creationId xmlns:a16="http://schemas.microsoft.com/office/drawing/2014/main" id="{00000000-0008-0000-0100-0000FD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46" name="Drop Down 1" hidden="1">
          <a:extLst>
            <a:ext uri="{FF2B5EF4-FFF2-40B4-BE49-F238E27FC236}">
              <a16:creationId xmlns:a16="http://schemas.microsoft.com/office/drawing/2014/main" id="{00000000-0008-0000-0100-0000FE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47" name="Drop Down 1" hidden="1">
          <a:extLst>
            <a:ext uri="{FF2B5EF4-FFF2-40B4-BE49-F238E27FC236}">
              <a16:creationId xmlns:a16="http://schemas.microsoft.com/office/drawing/2014/main" id="{00000000-0008-0000-0100-0000FF07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48" name="Drop Down 1" hidden="1">
          <a:extLst>
            <a:ext uri="{FF2B5EF4-FFF2-40B4-BE49-F238E27FC236}">
              <a16:creationId xmlns:a16="http://schemas.microsoft.com/office/drawing/2014/main" id="{00000000-0008-0000-0100-000000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49" name="Drop Down 1" hidden="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50" name="Drop Down 2" hidden="1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51" name="Drop Down 1" hidden="1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52" name="Drop Down -1022" hidden="1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53" name="Drop Down 1" hidden="1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54" name="Drop Down 1" hidden="1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55" name="Drop Down 1" hidden="1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56" name="Drop Down 1" hidden="1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57" name="Drop Down 2" hidden="1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58" name="Drop Down 1" hidden="1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59" name="Drop Down -1022" hidden="1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60" name="Drop Down 1" hidden="1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61" name="Drop Down 1" hidden="1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62" name="Drop Down 1" hidden="1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63" name="Drop Down 1" hidden="1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64" name="Drop Down 2" hidden="1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65" name="Drop Down 1" hidden="1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66" name="Drop Down -1022" hidden="1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67" name="Drop Down 1" hidden="1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68" name="Drop Down 1" hidden="1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69" name="Drop Down 1" hidden="1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70" name="Drop Down 1" hidden="1">
          <a:extLst>
            <a:ext uri="{FF2B5EF4-FFF2-40B4-BE49-F238E27FC236}">
              <a16:creationId xmlns:a16="http://schemas.microsoft.com/office/drawing/2014/main" id="{00000000-0008-0000-0100-00001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71" name="Drop Down 2" hidden="1">
          <a:extLst>
            <a:ext uri="{FF2B5EF4-FFF2-40B4-BE49-F238E27FC236}">
              <a16:creationId xmlns:a16="http://schemas.microsoft.com/office/drawing/2014/main" id="{00000000-0008-0000-0100-00001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72" name="Drop Down 1" hidden="1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73" name="Drop Down -1022" hidden="1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74" name="Drop Down 1" hidden="1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75" name="Drop Down 1" hidden="1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76" name="Drop Down 1" hidden="1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77" name="Drop Down 1" hidden="1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78" name="Drop Down 2" hidden="1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79" name="Drop Down 1" hidden="1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080" name="Drop Down -1022" hidden="1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81" name="Drop Down 1" hidden="1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82" name="Drop Down 1" hidden="1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83" name="Drop Down 1" hidden="1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84" name="Drop Down 1" hidden="1">
          <a:extLst>
            <a:ext uri="{FF2B5EF4-FFF2-40B4-BE49-F238E27FC236}">
              <a16:creationId xmlns:a16="http://schemas.microsoft.com/office/drawing/2014/main" id="{00000000-0008-0000-0100-00002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85" name="Drop Down 2" hidden="1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86" name="Drop Down 1" hidden="1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087" name="Drop Down -1022" hidden="1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88" name="Drop Down 1" hidden="1">
          <a:extLst>
            <a:ext uri="{FF2B5EF4-FFF2-40B4-BE49-F238E27FC236}">
              <a16:creationId xmlns:a16="http://schemas.microsoft.com/office/drawing/2014/main" id="{00000000-0008-0000-0100-000028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89" name="Drop Down 1" hidden="1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90" name="Drop Down 1" hidden="1">
          <a:extLst>
            <a:ext uri="{FF2B5EF4-FFF2-40B4-BE49-F238E27FC236}">
              <a16:creationId xmlns:a16="http://schemas.microsoft.com/office/drawing/2014/main" id="{00000000-0008-0000-0100-00002A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91" name="Drop Down 1" hidden="1">
          <a:extLst>
            <a:ext uri="{FF2B5EF4-FFF2-40B4-BE49-F238E27FC236}">
              <a16:creationId xmlns:a16="http://schemas.microsoft.com/office/drawing/2014/main" id="{00000000-0008-0000-0100-00002B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92" name="Drop Down 2" hidden="1">
          <a:extLst>
            <a:ext uri="{FF2B5EF4-FFF2-40B4-BE49-F238E27FC236}">
              <a16:creationId xmlns:a16="http://schemas.microsoft.com/office/drawing/2014/main" id="{00000000-0008-0000-0100-00002C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93" name="Drop Down 1" hidden="1">
          <a:extLs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094" name="Drop Down -1022" hidden="1">
          <a:extLst>
            <a:ext uri="{FF2B5EF4-FFF2-40B4-BE49-F238E27FC236}">
              <a16:creationId xmlns:a16="http://schemas.microsoft.com/office/drawing/2014/main" id="{00000000-0008-0000-0100-00002E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95" name="Drop Down 1" hidden="1">
          <a:extLst>
            <a:ext uri="{FF2B5EF4-FFF2-40B4-BE49-F238E27FC236}">
              <a16:creationId xmlns:a16="http://schemas.microsoft.com/office/drawing/2014/main" id="{00000000-0008-0000-0100-00002F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96" name="Drop Down 1" hidden="1">
          <a:extLst>
            <a:ext uri="{FF2B5EF4-FFF2-40B4-BE49-F238E27FC236}">
              <a16:creationId xmlns:a16="http://schemas.microsoft.com/office/drawing/2014/main" id="{00000000-0008-0000-0100-000030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97" name="Drop Down 1" hidden="1">
          <a:extLst>
            <a:ext uri="{FF2B5EF4-FFF2-40B4-BE49-F238E27FC236}">
              <a16:creationId xmlns:a16="http://schemas.microsoft.com/office/drawing/2014/main" id="{00000000-0008-0000-0100-000031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98" name="Drop Down 1" hidden="1">
          <a:extLst>
            <a:ext uri="{FF2B5EF4-FFF2-40B4-BE49-F238E27FC236}">
              <a16:creationId xmlns:a16="http://schemas.microsoft.com/office/drawing/2014/main" id="{00000000-0008-0000-0100-000032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099" name="Drop Down 2" hidden="1">
          <a:extLst>
            <a:ext uri="{FF2B5EF4-FFF2-40B4-BE49-F238E27FC236}">
              <a16:creationId xmlns:a16="http://schemas.microsoft.com/office/drawing/2014/main" id="{00000000-0008-0000-0100-000033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00" name="Drop Down 1" hidden="1">
          <a:extLst>
            <a:ext uri="{FF2B5EF4-FFF2-40B4-BE49-F238E27FC236}">
              <a16:creationId xmlns:a16="http://schemas.microsoft.com/office/drawing/2014/main" id="{00000000-0008-0000-0100-000034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01" name="Drop Down -1022" hidden="1">
          <a:extLst>
            <a:ext uri="{FF2B5EF4-FFF2-40B4-BE49-F238E27FC236}">
              <a16:creationId xmlns:a16="http://schemas.microsoft.com/office/drawing/2014/main" id="{00000000-0008-0000-0100-000035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02" name="Drop Down 1" hidden="1">
          <a:extLst>
            <a:ext uri="{FF2B5EF4-FFF2-40B4-BE49-F238E27FC236}">
              <a16:creationId xmlns:a16="http://schemas.microsoft.com/office/drawing/2014/main" id="{00000000-0008-0000-0100-000036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03" name="Drop Down 1" hidden="1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04" name="Drop Down 1" hidden="1">
          <a:extLst>
            <a:ext uri="{FF2B5EF4-FFF2-40B4-BE49-F238E27FC236}">
              <a16:creationId xmlns:a16="http://schemas.microsoft.com/office/drawing/2014/main" id="{00000000-0008-0000-0100-000038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05" name="Drop Down 1" hidden="1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06" name="Drop Down 2" hidden="1">
          <a:extLst>
            <a:ext uri="{FF2B5EF4-FFF2-40B4-BE49-F238E27FC236}">
              <a16:creationId xmlns:a16="http://schemas.microsoft.com/office/drawing/2014/main" id="{00000000-0008-0000-0100-00003A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07" name="Drop Down 1" hidden="1">
          <a:extLst>
            <a:ext uri="{FF2B5EF4-FFF2-40B4-BE49-F238E27FC236}">
              <a16:creationId xmlns:a16="http://schemas.microsoft.com/office/drawing/2014/main" id="{00000000-0008-0000-0100-00003B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108" name="Drop Down -1022" hidden="1">
          <a:extLst>
            <a:ext uri="{FF2B5EF4-FFF2-40B4-BE49-F238E27FC236}">
              <a16:creationId xmlns:a16="http://schemas.microsoft.com/office/drawing/2014/main" id="{00000000-0008-0000-0100-00003C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09" name="Drop Down 1" hidden="1">
          <a:extLst>
            <a:ext uri="{FF2B5EF4-FFF2-40B4-BE49-F238E27FC236}">
              <a16:creationId xmlns:a16="http://schemas.microsoft.com/office/drawing/2014/main" id="{00000000-0008-0000-0100-00003D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10" name="Drop Down 1" hidden="1">
          <a:extLst>
            <a:ext uri="{FF2B5EF4-FFF2-40B4-BE49-F238E27FC236}">
              <a16:creationId xmlns:a16="http://schemas.microsoft.com/office/drawing/2014/main" id="{00000000-0008-0000-0100-00003E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11" name="Drop Down 1" hidden="1">
          <a:extLst>
            <a:ext uri="{FF2B5EF4-FFF2-40B4-BE49-F238E27FC236}">
              <a16:creationId xmlns:a16="http://schemas.microsoft.com/office/drawing/2014/main" id="{00000000-0008-0000-0100-00003F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12" name="Drop Down 1" hidden="1">
          <a:extLst>
            <a:ext uri="{FF2B5EF4-FFF2-40B4-BE49-F238E27FC236}">
              <a16:creationId xmlns:a16="http://schemas.microsoft.com/office/drawing/2014/main" id="{00000000-0008-0000-0100-000040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13" name="Drop Down 2" hidden="1">
          <a:extLst>
            <a:ext uri="{FF2B5EF4-FFF2-40B4-BE49-F238E27FC236}">
              <a16:creationId xmlns:a16="http://schemas.microsoft.com/office/drawing/2014/main" id="{00000000-0008-0000-0100-000041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14" name="Drop Down 1" hidden="1">
          <a:extLst>
            <a:ext uri="{FF2B5EF4-FFF2-40B4-BE49-F238E27FC236}">
              <a16:creationId xmlns:a16="http://schemas.microsoft.com/office/drawing/2014/main" id="{00000000-0008-0000-0100-000042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115" name="Drop Down -1022" hidden="1">
          <a:extLst>
            <a:ext uri="{FF2B5EF4-FFF2-40B4-BE49-F238E27FC236}">
              <a16:creationId xmlns:a16="http://schemas.microsoft.com/office/drawing/2014/main" id="{00000000-0008-0000-0100-000043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116" name="Drop Down 1" hidden="1">
          <a:extLst>
            <a:ext uri="{FF2B5EF4-FFF2-40B4-BE49-F238E27FC236}">
              <a16:creationId xmlns:a16="http://schemas.microsoft.com/office/drawing/2014/main" id="{00000000-0008-0000-0100-00004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117" name="Drop Down 1" hidden="1">
          <a:extLst>
            <a:ext uri="{FF2B5EF4-FFF2-40B4-BE49-F238E27FC236}">
              <a16:creationId xmlns:a16="http://schemas.microsoft.com/office/drawing/2014/main" id="{00000000-0008-0000-0100-00004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118" name="Drop Down 1" hidden="1">
          <a:extLst>
            <a:ext uri="{FF2B5EF4-FFF2-40B4-BE49-F238E27FC236}">
              <a16:creationId xmlns:a16="http://schemas.microsoft.com/office/drawing/2014/main" id="{00000000-0008-0000-0100-00004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119" name="Drop Down 1" hidden="1">
          <a:extLst>
            <a:ext uri="{FF2B5EF4-FFF2-40B4-BE49-F238E27FC236}">
              <a16:creationId xmlns:a16="http://schemas.microsoft.com/office/drawing/2014/main" id="{00000000-0008-0000-0100-00004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120" name="Drop Down 2" hidden="1">
          <a:extLst>
            <a:ext uri="{FF2B5EF4-FFF2-40B4-BE49-F238E27FC236}">
              <a16:creationId xmlns:a16="http://schemas.microsoft.com/office/drawing/2014/main" id="{00000000-0008-0000-0100-00004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121" name="Drop Down 1" hidden="1">
          <a:extLst>
            <a:ext uri="{FF2B5EF4-FFF2-40B4-BE49-F238E27FC236}">
              <a16:creationId xmlns:a16="http://schemas.microsoft.com/office/drawing/2014/main" id="{00000000-0008-0000-0100-00004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122" name="Drop Down -1022" hidden="1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123" name="Drop Down 1" hidden="1">
          <a:extLst>
            <a:ext uri="{FF2B5EF4-FFF2-40B4-BE49-F238E27FC236}">
              <a16:creationId xmlns:a16="http://schemas.microsoft.com/office/drawing/2014/main" id="{00000000-0008-0000-0100-00004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124" name="Drop Down 1" hidden="1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125" name="Drop Down 1" hidden="1">
          <a:extLst>
            <a:ext uri="{FF2B5EF4-FFF2-40B4-BE49-F238E27FC236}">
              <a16:creationId xmlns:a16="http://schemas.microsoft.com/office/drawing/2014/main" id="{00000000-0008-0000-0100-00004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126" name="Drop Down 1" hidden="1">
          <a:extLst>
            <a:ext uri="{FF2B5EF4-FFF2-40B4-BE49-F238E27FC236}">
              <a16:creationId xmlns:a16="http://schemas.microsoft.com/office/drawing/2014/main" id="{00000000-0008-0000-0100-00004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127" name="Drop Down 2" hidden="1">
          <a:extLst>
            <a:ext uri="{FF2B5EF4-FFF2-40B4-BE49-F238E27FC236}">
              <a16:creationId xmlns:a16="http://schemas.microsoft.com/office/drawing/2014/main" id="{00000000-0008-0000-0100-00004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128" name="Drop Down 1" hidden="1">
          <a:extLst>
            <a:ext uri="{FF2B5EF4-FFF2-40B4-BE49-F238E27FC236}">
              <a16:creationId xmlns:a16="http://schemas.microsoft.com/office/drawing/2014/main" id="{00000000-0008-0000-0100-00005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129" name="Drop Down -1022" hidden="1">
          <a:extLst>
            <a:ext uri="{FF2B5EF4-FFF2-40B4-BE49-F238E27FC236}">
              <a16:creationId xmlns:a16="http://schemas.microsoft.com/office/drawing/2014/main" id="{00000000-0008-0000-0100-00005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30" name="Drop Down 1" hidden="1">
          <a:extLst>
            <a:ext uri="{FF2B5EF4-FFF2-40B4-BE49-F238E27FC236}">
              <a16:creationId xmlns:a16="http://schemas.microsoft.com/office/drawing/2014/main" id="{00000000-0008-0000-0100-00005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31" name="Drop Down 1" hidden="1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32" name="Drop Down 1" hidden="1">
          <a:extLst>
            <a:ext uri="{FF2B5EF4-FFF2-40B4-BE49-F238E27FC236}">
              <a16:creationId xmlns:a16="http://schemas.microsoft.com/office/drawing/2014/main" id="{00000000-0008-0000-0100-00005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33" name="Drop Down 1" hidden="1">
          <a:extLst>
            <a:ext uri="{FF2B5EF4-FFF2-40B4-BE49-F238E27FC236}">
              <a16:creationId xmlns:a16="http://schemas.microsoft.com/office/drawing/2014/main" id="{00000000-0008-0000-0100-00005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34" name="Drop Down 2" hidden="1">
          <a:extLst>
            <a:ext uri="{FF2B5EF4-FFF2-40B4-BE49-F238E27FC236}">
              <a16:creationId xmlns:a16="http://schemas.microsoft.com/office/drawing/2014/main" id="{00000000-0008-0000-0100-00005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35" name="Drop Down 1" hidden="1">
          <a:extLst>
            <a:ext uri="{FF2B5EF4-FFF2-40B4-BE49-F238E27FC236}">
              <a16:creationId xmlns:a16="http://schemas.microsoft.com/office/drawing/2014/main" id="{00000000-0008-0000-0100-00005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36" name="Drop Down -1022" hidden="1">
          <a:extLst>
            <a:ext uri="{FF2B5EF4-FFF2-40B4-BE49-F238E27FC236}">
              <a16:creationId xmlns:a16="http://schemas.microsoft.com/office/drawing/2014/main" id="{00000000-0008-0000-0100-00005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37" name="Drop Down 1" hidden="1">
          <a:extLst>
            <a:ext uri="{FF2B5EF4-FFF2-40B4-BE49-F238E27FC236}">
              <a16:creationId xmlns:a16="http://schemas.microsoft.com/office/drawing/2014/main" id="{00000000-0008-0000-0100-00005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38" name="Drop Down 1" hidden="1">
          <a:extLst>
            <a:ext uri="{FF2B5EF4-FFF2-40B4-BE49-F238E27FC236}">
              <a16:creationId xmlns:a16="http://schemas.microsoft.com/office/drawing/2014/main" id="{00000000-0008-0000-0100-00005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39" name="Drop Down 1" hidden="1">
          <a:extLst>
            <a:ext uri="{FF2B5EF4-FFF2-40B4-BE49-F238E27FC236}">
              <a16:creationId xmlns:a16="http://schemas.microsoft.com/office/drawing/2014/main" id="{00000000-0008-0000-0100-00005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40" name="Drop Down 1" hidden="1">
          <a:extLst>
            <a:ext uri="{FF2B5EF4-FFF2-40B4-BE49-F238E27FC236}">
              <a16:creationId xmlns:a16="http://schemas.microsoft.com/office/drawing/2014/main" id="{00000000-0008-0000-0100-00005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41" name="Drop Down 2" hidden="1">
          <a:extLst>
            <a:ext uri="{FF2B5EF4-FFF2-40B4-BE49-F238E27FC236}">
              <a16:creationId xmlns:a16="http://schemas.microsoft.com/office/drawing/2014/main" id="{00000000-0008-0000-0100-00005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42" name="Drop Down 1" hidden="1">
          <a:extLst>
            <a:ext uri="{FF2B5EF4-FFF2-40B4-BE49-F238E27FC236}">
              <a16:creationId xmlns:a16="http://schemas.microsoft.com/office/drawing/2014/main" id="{00000000-0008-0000-0100-00005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43" name="Drop Down -1022" hidden="1">
          <a:extLst>
            <a:ext uri="{FF2B5EF4-FFF2-40B4-BE49-F238E27FC236}">
              <a16:creationId xmlns:a16="http://schemas.microsoft.com/office/drawing/2014/main" id="{00000000-0008-0000-0100-00005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44" name="Drop Down 1" hidden="1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45" name="Drop Down 1" hidden="1">
          <a:extLst>
            <a:ext uri="{FF2B5EF4-FFF2-40B4-BE49-F238E27FC236}">
              <a16:creationId xmlns:a16="http://schemas.microsoft.com/office/drawing/2014/main" id="{00000000-0008-0000-0100-00006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46" name="Drop Down 1" hidden="1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47" name="Drop Down 1" hidden="1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48" name="Drop Down 2" hidden="1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49" name="Drop Down 1" hidden="1">
          <a:extLst>
            <a:ext uri="{FF2B5EF4-FFF2-40B4-BE49-F238E27FC236}">
              <a16:creationId xmlns:a16="http://schemas.microsoft.com/office/drawing/2014/main" id="{00000000-0008-0000-0100-00006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50" name="Drop Down -1022" hidden="1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51" name="Drop Down 1" hidden="1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52" name="Drop Down 1" hidden="1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53" name="Drop Down 1" hidden="1">
          <a:extLst>
            <a:ext uri="{FF2B5EF4-FFF2-40B4-BE49-F238E27FC236}">
              <a16:creationId xmlns:a16="http://schemas.microsoft.com/office/drawing/2014/main" id="{00000000-0008-0000-0100-00006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54" name="Drop Down 1" hidden="1">
          <a:extLst>
            <a:ext uri="{FF2B5EF4-FFF2-40B4-BE49-F238E27FC236}">
              <a16:creationId xmlns:a16="http://schemas.microsoft.com/office/drawing/2014/main" id="{00000000-0008-0000-0100-00006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55" name="Drop Down 2" hidden="1">
          <a:extLst>
            <a:ext uri="{FF2B5EF4-FFF2-40B4-BE49-F238E27FC236}">
              <a16:creationId xmlns:a16="http://schemas.microsoft.com/office/drawing/2014/main" id="{00000000-0008-0000-0100-00006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56" name="Drop Down 1" hidden="1">
          <a:extLst>
            <a:ext uri="{FF2B5EF4-FFF2-40B4-BE49-F238E27FC236}">
              <a16:creationId xmlns:a16="http://schemas.microsoft.com/office/drawing/2014/main" id="{00000000-0008-0000-0100-00006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57" name="Drop Down -1022" hidden="1">
          <a:extLst>
            <a:ext uri="{FF2B5EF4-FFF2-40B4-BE49-F238E27FC236}">
              <a16:creationId xmlns:a16="http://schemas.microsoft.com/office/drawing/2014/main" id="{00000000-0008-0000-0100-00006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58" name="Drop Down 1" hidden="1">
          <a:extLst>
            <a:ext uri="{FF2B5EF4-FFF2-40B4-BE49-F238E27FC236}">
              <a16:creationId xmlns:a16="http://schemas.microsoft.com/office/drawing/2014/main" id="{00000000-0008-0000-0100-00006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59" name="Drop Down 1" hidden="1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60" name="Drop Down 1" hidden="1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61" name="Drop Down 1" hidden="1">
          <a:extLst>
            <a:ext uri="{FF2B5EF4-FFF2-40B4-BE49-F238E27FC236}">
              <a16:creationId xmlns:a16="http://schemas.microsoft.com/office/drawing/2014/main" id="{00000000-0008-0000-0100-00007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62" name="Drop Down 2" hidden="1">
          <a:extLst>
            <a:ext uri="{FF2B5EF4-FFF2-40B4-BE49-F238E27FC236}">
              <a16:creationId xmlns:a16="http://schemas.microsoft.com/office/drawing/2014/main" id="{00000000-0008-0000-0100-00007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63" name="Drop Down 1" hidden="1">
          <a:extLst>
            <a:ext uri="{FF2B5EF4-FFF2-40B4-BE49-F238E27FC236}">
              <a16:creationId xmlns:a16="http://schemas.microsoft.com/office/drawing/2014/main" id="{00000000-0008-0000-0100-00007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64" name="Drop Down -1022" hidden="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65" name="Drop Down 1" hidden="1">
          <a:extLst>
            <a:ext uri="{FF2B5EF4-FFF2-40B4-BE49-F238E27FC236}">
              <a16:creationId xmlns:a16="http://schemas.microsoft.com/office/drawing/2014/main" id="{00000000-0008-0000-0100-00007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66" name="Drop Down 1" hidden="1">
          <a:extLst>
            <a:ext uri="{FF2B5EF4-FFF2-40B4-BE49-F238E27FC236}">
              <a16:creationId xmlns:a16="http://schemas.microsoft.com/office/drawing/2014/main" id="{00000000-0008-0000-0100-00007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67" name="Drop Down 1" hidden="1">
          <a:extLst>
            <a:ext uri="{FF2B5EF4-FFF2-40B4-BE49-F238E27FC236}">
              <a16:creationId xmlns:a16="http://schemas.microsoft.com/office/drawing/2014/main" id="{00000000-0008-0000-0100-00007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68" name="Drop Down 1" hidden="1">
          <a:extLst>
            <a:ext uri="{FF2B5EF4-FFF2-40B4-BE49-F238E27FC236}">
              <a16:creationId xmlns:a16="http://schemas.microsoft.com/office/drawing/2014/main" id="{00000000-0008-0000-0100-00007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69" name="Drop Down 2" hidden="1">
          <a:extLst>
            <a:ext uri="{FF2B5EF4-FFF2-40B4-BE49-F238E27FC236}">
              <a16:creationId xmlns:a16="http://schemas.microsoft.com/office/drawing/2014/main" id="{00000000-0008-0000-0100-00007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70" name="Drop Down 1" hidden="1">
          <a:extLst>
            <a:ext uri="{FF2B5EF4-FFF2-40B4-BE49-F238E27FC236}">
              <a16:creationId xmlns:a16="http://schemas.microsoft.com/office/drawing/2014/main" id="{00000000-0008-0000-0100-00007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71" name="Drop Down -1022" hidden="1">
          <a:extLst>
            <a:ext uri="{FF2B5EF4-FFF2-40B4-BE49-F238E27FC236}">
              <a16:creationId xmlns:a16="http://schemas.microsoft.com/office/drawing/2014/main" id="{00000000-0008-0000-0100-00007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72" name="Drop Down 1" hidden="1">
          <a:extLst>
            <a:ext uri="{FF2B5EF4-FFF2-40B4-BE49-F238E27FC236}">
              <a16:creationId xmlns:a16="http://schemas.microsoft.com/office/drawing/2014/main" id="{00000000-0008-0000-0100-00007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73" name="Drop Down 1" hidden="1">
          <a:extLst>
            <a:ext uri="{FF2B5EF4-FFF2-40B4-BE49-F238E27FC236}">
              <a16:creationId xmlns:a16="http://schemas.microsoft.com/office/drawing/2014/main" id="{00000000-0008-0000-0100-00007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74" name="Drop Down 1" hidden="1">
          <a:extLst>
            <a:ext uri="{FF2B5EF4-FFF2-40B4-BE49-F238E27FC236}">
              <a16:creationId xmlns:a16="http://schemas.microsoft.com/office/drawing/2014/main" id="{00000000-0008-0000-0100-00007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75" name="Drop Down 1" hidden="1">
          <a:extLst>
            <a:ext uri="{FF2B5EF4-FFF2-40B4-BE49-F238E27FC236}">
              <a16:creationId xmlns:a16="http://schemas.microsoft.com/office/drawing/2014/main" id="{00000000-0008-0000-0100-00007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76" name="Drop Down 2" hidden="1">
          <a:extLst>
            <a:ext uri="{FF2B5EF4-FFF2-40B4-BE49-F238E27FC236}">
              <a16:creationId xmlns:a16="http://schemas.microsoft.com/office/drawing/2014/main" id="{00000000-0008-0000-0100-00008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77" name="Drop Down 1" hidden="1">
          <a:extLst>
            <a:ext uri="{FF2B5EF4-FFF2-40B4-BE49-F238E27FC236}">
              <a16:creationId xmlns:a16="http://schemas.microsoft.com/office/drawing/2014/main" id="{00000000-0008-0000-0100-00008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78" name="Drop Down -1022" hidden="1">
          <a:extLst>
            <a:ext uri="{FF2B5EF4-FFF2-40B4-BE49-F238E27FC236}">
              <a16:creationId xmlns:a16="http://schemas.microsoft.com/office/drawing/2014/main" id="{00000000-0008-0000-0100-00008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79" name="Drop Down 1" hidden="1">
          <a:extLst>
            <a:ext uri="{FF2B5EF4-FFF2-40B4-BE49-F238E27FC236}">
              <a16:creationId xmlns:a16="http://schemas.microsoft.com/office/drawing/2014/main" id="{00000000-0008-0000-0100-00008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80" name="Drop Down 1" hidden="1">
          <a:extLst>
            <a:ext uri="{FF2B5EF4-FFF2-40B4-BE49-F238E27FC236}">
              <a16:creationId xmlns:a16="http://schemas.microsoft.com/office/drawing/2014/main" id="{00000000-0008-0000-0100-00008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81" name="Drop Down 1" hidden="1">
          <a:extLst>
            <a:ext uri="{FF2B5EF4-FFF2-40B4-BE49-F238E27FC236}">
              <a16:creationId xmlns:a16="http://schemas.microsoft.com/office/drawing/2014/main" id="{00000000-0008-0000-0100-00008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82" name="Drop Down 1" hidden="1">
          <a:extLst>
            <a:ext uri="{FF2B5EF4-FFF2-40B4-BE49-F238E27FC236}">
              <a16:creationId xmlns:a16="http://schemas.microsoft.com/office/drawing/2014/main" id="{00000000-0008-0000-0100-00008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83" name="Drop Down 2" hidden="1">
          <a:extLst>
            <a:ext uri="{FF2B5EF4-FFF2-40B4-BE49-F238E27FC236}">
              <a16:creationId xmlns:a16="http://schemas.microsoft.com/office/drawing/2014/main" id="{00000000-0008-0000-0100-00008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84" name="Drop Down 1" hidden="1">
          <a:extLst>
            <a:ext uri="{FF2B5EF4-FFF2-40B4-BE49-F238E27FC236}">
              <a16:creationId xmlns:a16="http://schemas.microsoft.com/office/drawing/2014/main" id="{00000000-0008-0000-0100-00008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85" name="Drop Down -1022" hidden="1">
          <a:extLst>
            <a:ext uri="{FF2B5EF4-FFF2-40B4-BE49-F238E27FC236}">
              <a16:creationId xmlns:a16="http://schemas.microsoft.com/office/drawing/2014/main" id="{00000000-0008-0000-0100-00008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86" name="Drop Down 1" hidden="1">
          <a:extLst>
            <a:ext uri="{FF2B5EF4-FFF2-40B4-BE49-F238E27FC236}">
              <a16:creationId xmlns:a16="http://schemas.microsoft.com/office/drawing/2014/main" id="{00000000-0008-0000-0100-00008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87" name="Drop Down 1" hidden="1">
          <a:extLst>
            <a:ext uri="{FF2B5EF4-FFF2-40B4-BE49-F238E27FC236}">
              <a16:creationId xmlns:a16="http://schemas.microsoft.com/office/drawing/2014/main" id="{00000000-0008-0000-0100-00008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88" name="Drop Down 1" hidden="1">
          <a:extLst>
            <a:ext uri="{FF2B5EF4-FFF2-40B4-BE49-F238E27FC236}">
              <a16:creationId xmlns:a16="http://schemas.microsoft.com/office/drawing/2014/main" id="{00000000-0008-0000-0100-00008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89" name="Drop Down 1" hidden="1">
          <a:extLst>
            <a:ext uri="{FF2B5EF4-FFF2-40B4-BE49-F238E27FC236}">
              <a16:creationId xmlns:a16="http://schemas.microsoft.com/office/drawing/2014/main" id="{00000000-0008-0000-0100-00008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90" name="Drop Down 2" hidden="1">
          <a:extLst>
            <a:ext uri="{FF2B5EF4-FFF2-40B4-BE49-F238E27FC236}">
              <a16:creationId xmlns:a16="http://schemas.microsoft.com/office/drawing/2014/main" id="{00000000-0008-0000-0100-00008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91" name="Drop Down 1" hidden="1">
          <a:extLst>
            <a:ext uri="{FF2B5EF4-FFF2-40B4-BE49-F238E27FC236}">
              <a16:creationId xmlns:a16="http://schemas.microsoft.com/office/drawing/2014/main" id="{00000000-0008-0000-0100-00008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192" name="Drop Down -1022" hidden="1">
          <a:extLst>
            <a:ext uri="{FF2B5EF4-FFF2-40B4-BE49-F238E27FC236}">
              <a16:creationId xmlns:a16="http://schemas.microsoft.com/office/drawing/2014/main" id="{00000000-0008-0000-0100-00009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93" name="Drop Down 1" hidden="1">
          <a:extLst>
            <a:ext uri="{FF2B5EF4-FFF2-40B4-BE49-F238E27FC236}">
              <a16:creationId xmlns:a16="http://schemas.microsoft.com/office/drawing/2014/main" id="{00000000-0008-0000-0100-00009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94" name="Drop Down 1" hidden="1">
          <a:extLst>
            <a:ext uri="{FF2B5EF4-FFF2-40B4-BE49-F238E27FC236}">
              <a16:creationId xmlns:a16="http://schemas.microsoft.com/office/drawing/2014/main" id="{00000000-0008-0000-0100-00009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95" name="Drop Down 1" hidden="1">
          <a:extLst>
            <a:ext uri="{FF2B5EF4-FFF2-40B4-BE49-F238E27FC236}">
              <a16:creationId xmlns:a16="http://schemas.microsoft.com/office/drawing/2014/main" id="{00000000-0008-0000-0100-00009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96" name="Drop Down 1" hidden="1">
          <a:extLst>
            <a:ext uri="{FF2B5EF4-FFF2-40B4-BE49-F238E27FC236}">
              <a16:creationId xmlns:a16="http://schemas.microsoft.com/office/drawing/2014/main" id="{00000000-0008-0000-0100-00009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97" name="Drop Down 2" hidden="1">
          <a:extLst>
            <a:ext uri="{FF2B5EF4-FFF2-40B4-BE49-F238E27FC236}">
              <a16:creationId xmlns:a16="http://schemas.microsoft.com/office/drawing/2014/main" id="{00000000-0008-0000-0100-00009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98" name="Drop Down 1" hidden="1">
          <a:extLst>
            <a:ext uri="{FF2B5EF4-FFF2-40B4-BE49-F238E27FC236}">
              <a16:creationId xmlns:a16="http://schemas.microsoft.com/office/drawing/2014/main" id="{00000000-0008-0000-0100-00009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199" name="Drop Down -1022" hidden="1">
          <a:extLst>
            <a:ext uri="{FF2B5EF4-FFF2-40B4-BE49-F238E27FC236}">
              <a16:creationId xmlns:a16="http://schemas.microsoft.com/office/drawing/2014/main" id="{00000000-0008-0000-0100-00009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200" name="Drop Down 1" hidden="1">
          <a:extLst>
            <a:ext uri="{FF2B5EF4-FFF2-40B4-BE49-F238E27FC236}">
              <a16:creationId xmlns:a16="http://schemas.microsoft.com/office/drawing/2014/main" id="{00000000-0008-0000-0100-00009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201" name="Drop Down 1" hidden="1">
          <a:extLst>
            <a:ext uri="{FF2B5EF4-FFF2-40B4-BE49-F238E27FC236}">
              <a16:creationId xmlns:a16="http://schemas.microsoft.com/office/drawing/2014/main" id="{00000000-0008-0000-0100-00009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202" name="Drop Down 1" hidden="1">
          <a:extLst>
            <a:ext uri="{FF2B5EF4-FFF2-40B4-BE49-F238E27FC236}">
              <a16:creationId xmlns:a16="http://schemas.microsoft.com/office/drawing/2014/main" id="{00000000-0008-0000-0100-00009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203" name="Drop Down 1" hidden="1">
          <a:extLst>
            <a:ext uri="{FF2B5EF4-FFF2-40B4-BE49-F238E27FC236}">
              <a16:creationId xmlns:a16="http://schemas.microsoft.com/office/drawing/2014/main" id="{00000000-0008-0000-0100-00009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204" name="Drop Down 2" hidden="1">
          <a:extLst>
            <a:ext uri="{FF2B5EF4-FFF2-40B4-BE49-F238E27FC236}">
              <a16:creationId xmlns:a16="http://schemas.microsoft.com/office/drawing/2014/main" id="{00000000-0008-0000-0100-00009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205" name="Drop Down 1" hidden="1">
          <a:extLst>
            <a:ext uri="{FF2B5EF4-FFF2-40B4-BE49-F238E27FC236}">
              <a16:creationId xmlns:a16="http://schemas.microsoft.com/office/drawing/2014/main" id="{00000000-0008-0000-0100-00009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206" name="Drop Down -1022" hidden="1">
          <a:extLst>
            <a:ext uri="{FF2B5EF4-FFF2-40B4-BE49-F238E27FC236}">
              <a16:creationId xmlns:a16="http://schemas.microsoft.com/office/drawing/2014/main" id="{00000000-0008-0000-0100-00009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207" name="Drop Down 1" hidden="1">
          <a:extLst>
            <a:ext uri="{FF2B5EF4-FFF2-40B4-BE49-F238E27FC236}">
              <a16:creationId xmlns:a16="http://schemas.microsoft.com/office/drawing/2014/main" id="{00000000-0008-0000-0100-00009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208" name="Drop Down 1" hidden="1">
          <a:extLst>
            <a:ext uri="{FF2B5EF4-FFF2-40B4-BE49-F238E27FC236}">
              <a16:creationId xmlns:a16="http://schemas.microsoft.com/office/drawing/2014/main" id="{00000000-0008-0000-0100-0000A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209" name="Drop Down 1" hidden="1">
          <a:extLst>
            <a:ext uri="{FF2B5EF4-FFF2-40B4-BE49-F238E27FC236}">
              <a16:creationId xmlns:a16="http://schemas.microsoft.com/office/drawing/2014/main" id="{00000000-0008-0000-0100-0000A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210" name="Drop Down 1" hidden="1">
          <a:extLst>
            <a:ext uri="{FF2B5EF4-FFF2-40B4-BE49-F238E27FC236}">
              <a16:creationId xmlns:a16="http://schemas.microsoft.com/office/drawing/2014/main" id="{00000000-0008-0000-0100-0000A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211" name="Drop Down 2" hidden="1">
          <a:extLst>
            <a:ext uri="{FF2B5EF4-FFF2-40B4-BE49-F238E27FC236}">
              <a16:creationId xmlns:a16="http://schemas.microsoft.com/office/drawing/2014/main" id="{00000000-0008-0000-0100-0000A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212" name="Drop Down 1" hidden="1">
          <a:extLst>
            <a:ext uri="{FF2B5EF4-FFF2-40B4-BE49-F238E27FC236}">
              <a16:creationId xmlns:a16="http://schemas.microsoft.com/office/drawing/2014/main" id="{00000000-0008-0000-0100-0000A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213" name="Drop Down -1022" hidden="1">
          <a:extLst>
            <a:ext uri="{FF2B5EF4-FFF2-40B4-BE49-F238E27FC236}">
              <a16:creationId xmlns:a16="http://schemas.microsoft.com/office/drawing/2014/main" id="{00000000-0008-0000-0100-0000A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14" name="Drop Down 1" hidden="1">
          <a:extLst>
            <a:ext uri="{FF2B5EF4-FFF2-40B4-BE49-F238E27FC236}">
              <a16:creationId xmlns:a16="http://schemas.microsoft.com/office/drawing/2014/main" id="{00000000-0008-0000-0100-0000A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15" name="Drop Down 1" hidden="1">
          <a:extLst>
            <a:ext uri="{FF2B5EF4-FFF2-40B4-BE49-F238E27FC236}">
              <a16:creationId xmlns:a16="http://schemas.microsoft.com/office/drawing/2014/main" id="{00000000-0008-0000-0100-0000A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16" name="Drop Down 1" hidden="1">
          <a:extLst>
            <a:ext uri="{FF2B5EF4-FFF2-40B4-BE49-F238E27FC236}">
              <a16:creationId xmlns:a16="http://schemas.microsoft.com/office/drawing/2014/main" id="{00000000-0008-0000-0100-0000A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17" name="Drop Down 1" hidden="1">
          <a:extLst>
            <a:ext uri="{FF2B5EF4-FFF2-40B4-BE49-F238E27FC236}">
              <a16:creationId xmlns:a16="http://schemas.microsoft.com/office/drawing/2014/main" id="{00000000-0008-0000-0100-0000A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18" name="Drop Down 2" hidden="1">
          <a:extLst>
            <a:ext uri="{FF2B5EF4-FFF2-40B4-BE49-F238E27FC236}">
              <a16:creationId xmlns:a16="http://schemas.microsoft.com/office/drawing/2014/main" id="{00000000-0008-0000-0100-0000A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19" name="Drop Down 1" hidden="1">
          <a:extLst>
            <a:ext uri="{FF2B5EF4-FFF2-40B4-BE49-F238E27FC236}">
              <a16:creationId xmlns:a16="http://schemas.microsoft.com/office/drawing/2014/main" id="{00000000-0008-0000-0100-0000A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20" name="Drop Down -1022" hidden="1">
          <a:extLst>
            <a:ext uri="{FF2B5EF4-FFF2-40B4-BE49-F238E27FC236}">
              <a16:creationId xmlns:a16="http://schemas.microsoft.com/office/drawing/2014/main" id="{00000000-0008-0000-0100-0000A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21" name="Drop Down 1" hidden="1">
          <a:extLst>
            <a:ext uri="{FF2B5EF4-FFF2-40B4-BE49-F238E27FC236}">
              <a16:creationId xmlns:a16="http://schemas.microsoft.com/office/drawing/2014/main" id="{00000000-0008-0000-0100-0000A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22" name="Drop Down 1" hidden="1">
          <a:extLst>
            <a:ext uri="{FF2B5EF4-FFF2-40B4-BE49-F238E27FC236}">
              <a16:creationId xmlns:a16="http://schemas.microsoft.com/office/drawing/2014/main" id="{00000000-0008-0000-0100-0000A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23" name="Drop Down 1" hidden="1">
          <a:extLst>
            <a:ext uri="{FF2B5EF4-FFF2-40B4-BE49-F238E27FC236}">
              <a16:creationId xmlns:a16="http://schemas.microsoft.com/office/drawing/2014/main" id="{00000000-0008-0000-0100-0000A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24" name="Drop Down 1" hidden="1">
          <a:extLst>
            <a:ext uri="{FF2B5EF4-FFF2-40B4-BE49-F238E27FC236}">
              <a16:creationId xmlns:a16="http://schemas.microsoft.com/office/drawing/2014/main" id="{00000000-0008-0000-0100-0000B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25" name="Drop Down 2" hidden="1">
          <a:extLst>
            <a:ext uri="{FF2B5EF4-FFF2-40B4-BE49-F238E27FC236}">
              <a16:creationId xmlns:a16="http://schemas.microsoft.com/office/drawing/2014/main" id="{00000000-0008-0000-0100-0000B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26" name="Drop Down 1" hidden="1">
          <a:extLst>
            <a:ext uri="{FF2B5EF4-FFF2-40B4-BE49-F238E27FC236}">
              <a16:creationId xmlns:a16="http://schemas.microsoft.com/office/drawing/2014/main" id="{00000000-0008-0000-0100-0000B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27" name="Drop Down -1022" hidden="1">
          <a:extLst>
            <a:ext uri="{FF2B5EF4-FFF2-40B4-BE49-F238E27FC236}">
              <a16:creationId xmlns:a16="http://schemas.microsoft.com/office/drawing/2014/main" id="{00000000-0008-0000-0100-0000B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28" name="Drop Down 1" hidden="1">
          <a:extLst>
            <a:ext uri="{FF2B5EF4-FFF2-40B4-BE49-F238E27FC236}">
              <a16:creationId xmlns:a16="http://schemas.microsoft.com/office/drawing/2014/main" id="{00000000-0008-0000-0100-0000B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29" name="Drop Down 1" hidden="1">
          <a:extLst>
            <a:ext uri="{FF2B5EF4-FFF2-40B4-BE49-F238E27FC236}">
              <a16:creationId xmlns:a16="http://schemas.microsoft.com/office/drawing/2014/main" id="{00000000-0008-0000-0100-0000B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30" name="Drop Down 1" hidden="1">
          <a:extLst>
            <a:ext uri="{FF2B5EF4-FFF2-40B4-BE49-F238E27FC236}">
              <a16:creationId xmlns:a16="http://schemas.microsoft.com/office/drawing/2014/main" id="{00000000-0008-0000-0100-0000B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31" name="Drop Down 1" hidden="1">
          <a:extLst>
            <a:ext uri="{FF2B5EF4-FFF2-40B4-BE49-F238E27FC236}">
              <a16:creationId xmlns:a16="http://schemas.microsoft.com/office/drawing/2014/main" id="{00000000-0008-0000-0100-0000B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32" name="Drop Down 2" hidden="1">
          <a:extLst>
            <a:ext uri="{FF2B5EF4-FFF2-40B4-BE49-F238E27FC236}">
              <a16:creationId xmlns:a16="http://schemas.microsoft.com/office/drawing/2014/main" id="{00000000-0008-0000-0100-0000B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33" name="Drop Down 1" hidden="1">
          <a:extLst>
            <a:ext uri="{FF2B5EF4-FFF2-40B4-BE49-F238E27FC236}">
              <a16:creationId xmlns:a16="http://schemas.microsoft.com/office/drawing/2014/main" id="{00000000-0008-0000-0100-0000B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34" name="Drop Down -1022" hidden="1">
          <a:extLst>
            <a:ext uri="{FF2B5EF4-FFF2-40B4-BE49-F238E27FC236}">
              <a16:creationId xmlns:a16="http://schemas.microsoft.com/office/drawing/2014/main" id="{00000000-0008-0000-0100-0000B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35" name="Drop Down 1" hidden="1">
          <a:extLst>
            <a:ext uri="{FF2B5EF4-FFF2-40B4-BE49-F238E27FC236}">
              <a16:creationId xmlns:a16="http://schemas.microsoft.com/office/drawing/2014/main" id="{00000000-0008-0000-0100-0000B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36" name="Drop Down 1" hidden="1">
          <a:extLst>
            <a:ext uri="{FF2B5EF4-FFF2-40B4-BE49-F238E27FC236}">
              <a16:creationId xmlns:a16="http://schemas.microsoft.com/office/drawing/2014/main" id="{00000000-0008-0000-0100-0000B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37" name="Drop Down 1" hidden="1">
          <a:extLst>
            <a:ext uri="{FF2B5EF4-FFF2-40B4-BE49-F238E27FC236}">
              <a16:creationId xmlns:a16="http://schemas.microsoft.com/office/drawing/2014/main" id="{00000000-0008-0000-0100-0000B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38" name="Drop Down 1" hidden="1">
          <a:extLst>
            <a:ext uri="{FF2B5EF4-FFF2-40B4-BE49-F238E27FC236}">
              <a16:creationId xmlns:a16="http://schemas.microsoft.com/office/drawing/2014/main" id="{00000000-0008-0000-0100-0000B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39" name="Drop Down 2" hidden="1">
          <a:extLst>
            <a:ext uri="{FF2B5EF4-FFF2-40B4-BE49-F238E27FC236}">
              <a16:creationId xmlns:a16="http://schemas.microsoft.com/office/drawing/2014/main" id="{00000000-0008-0000-0100-0000B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40" name="Drop Down 1" hidden="1">
          <a:extLst>
            <a:ext uri="{FF2B5EF4-FFF2-40B4-BE49-F238E27FC236}">
              <a16:creationId xmlns:a16="http://schemas.microsoft.com/office/drawing/2014/main" id="{00000000-0008-0000-0100-0000C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41" name="Drop Down -1022" hidden="1">
          <a:extLst>
            <a:ext uri="{FF2B5EF4-FFF2-40B4-BE49-F238E27FC236}">
              <a16:creationId xmlns:a16="http://schemas.microsoft.com/office/drawing/2014/main" id="{00000000-0008-0000-0100-0000C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42" name="Drop Down 1" hidden="1">
          <a:extLst>
            <a:ext uri="{FF2B5EF4-FFF2-40B4-BE49-F238E27FC236}">
              <a16:creationId xmlns:a16="http://schemas.microsoft.com/office/drawing/2014/main" id="{00000000-0008-0000-0100-0000C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43" name="Drop Down 1" hidden="1">
          <a:extLst>
            <a:ext uri="{FF2B5EF4-FFF2-40B4-BE49-F238E27FC236}">
              <a16:creationId xmlns:a16="http://schemas.microsoft.com/office/drawing/2014/main" id="{00000000-0008-0000-0100-0000C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44" name="Drop Down 1" hidden="1">
          <a:extLst>
            <a:ext uri="{FF2B5EF4-FFF2-40B4-BE49-F238E27FC236}">
              <a16:creationId xmlns:a16="http://schemas.microsoft.com/office/drawing/2014/main" id="{00000000-0008-0000-0100-0000C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45" name="Drop Down 1" hidden="1">
          <a:extLst>
            <a:ext uri="{FF2B5EF4-FFF2-40B4-BE49-F238E27FC236}">
              <a16:creationId xmlns:a16="http://schemas.microsoft.com/office/drawing/2014/main" id="{00000000-0008-0000-0100-0000C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46" name="Drop Down 2" hidden="1">
          <a:extLst>
            <a:ext uri="{FF2B5EF4-FFF2-40B4-BE49-F238E27FC236}">
              <a16:creationId xmlns:a16="http://schemas.microsoft.com/office/drawing/2014/main" id="{00000000-0008-0000-0100-0000C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47" name="Drop Down 1" hidden="1">
          <a:extLst>
            <a:ext uri="{FF2B5EF4-FFF2-40B4-BE49-F238E27FC236}">
              <a16:creationId xmlns:a16="http://schemas.microsoft.com/office/drawing/2014/main" id="{00000000-0008-0000-0100-0000C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48" name="Drop Down -1022" hidden="1">
          <a:extLst>
            <a:ext uri="{FF2B5EF4-FFF2-40B4-BE49-F238E27FC236}">
              <a16:creationId xmlns:a16="http://schemas.microsoft.com/office/drawing/2014/main" id="{00000000-0008-0000-0100-0000C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49" name="Drop Down 1" hidden="1">
          <a:extLst>
            <a:ext uri="{FF2B5EF4-FFF2-40B4-BE49-F238E27FC236}">
              <a16:creationId xmlns:a16="http://schemas.microsoft.com/office/drawing/2014/main" id="{00000000-0008-0000-0100-0000C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50" name="Drop Down 1" hidden="1">
          <a:extLst>
            <a:ext uri="{FF2B5EF4-FFF2-40B4-BE49-F238E27FC236}">
              <a16:creationId xmlns:a16="http://schemas.microsoft.com/office/drawing/2014/main" id="{00000000-0008-0000-0100-0000C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51" name="Drop Down 1" hidden="1">
          <a:extLst>
            <a:ext uri="{FF2B5EF4-FFF2-40B4-BE49-F238E27FC236}">
              <a16:creationId xmlns:a16="http://schemas.microsoft.com/office/drawing/2014/main" id="{00000000-0008-0000-0100-0000C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52" name="Drop Down 1" hidden="1">
          <a:extLst>
            <a:ext uri="{FF2B5EF4-FFF2-40B4-BE49-F238E27FC236}">
              <a16:creationId xmlns:a16="http://schemas.microsoft.com/office/drawing/2014/main" id="{00000000-0008-0000-0100-0000C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53" name="Drop Down 2" hidden="1">
          <a:extLst>
            <a:ext uri="{FF2B5EF4-FFF2-40B4-BE49-F238E27FC236}">
              <a16:creationId xmlns:a16="http://schemas.microsoft.com/office/drawing/2014/main" id="{00000000-0008-0000-0100-0000C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54" name="Drop Down 1" hidden="1">
          <a:extLst>
            <a:ext uri="{FF2B5EF4-FFF2-40B4-BE49-F238E27FC236}">
              <a16:creationId xmlns:a16="http://schemas.microsoft.com/office/drawing/2014/main" id="{00000000-0008-0000-0100-0000C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55" name="Drop Down -1022" hidden="1">
          <a:extLst>
            <a:ext uri="{FF2B5EF4-FFF2-40B4-BE49-F238E27FC236}">
              <a16:creationId xmlns:a16="http://schemas.microsoft.com/office/drawing/2014/main" id="{00000000-0008-0000-0100-0000C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56" name="Drop Down 1" hidden="1">
          <a:extLst>
            <a:ext uri="{FF2B5EF4-FFF2-40B4-BE49-F238E27FC236}">
              <a16:creationId xmlns:a16="http://schemas.microsoft.com/office/drawing/2014/main" id="{00000000-0008-0000-0100-0000D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57" name="Drop Down 1" hidden="1">
          <a:extLst>
            <a:ext uri="{FF2B5EF4-FFF2-40B4-BE49-F238E27FC236}">
              <a16:creationId xmlns:a16="http://schemas.microsoft.com/office/drawing/2014/main" id="{00000000-0008-0000-0100-0000D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58" name="Drop Down 1" hidden="1">
          <a:extLst>
            <a:ext uri="{FF2B5EF4-FFF2-40B4-BE49-F238E27FC236}">
              <a16:creationId xmlns:a16="http://schemas.microsoft.com/office/drawing/2014/main" id="{00000000-0008-0000-0100-0000D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59" name="Drop Down 1" hidden="1">
          <a:extLst>
            <a:ext uri="{FF2B5EF4-FFF2-40B4-BE49-F238E27FC236}">
              <a16:creationId xmlns:a16="http://schemas.microsoft.com/office/drawing/2014/main" id="{00000000-0008-0000-0100-0000D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60" name="Drop Down 2" hidden="1">
          <a:extLst>
            <a:ext uri="{FF2B5EF4-FFF2-40B4-BE49-F238E27FC236}">
              <a16:creationId xmlns:a16="http://schemas.microsoft.com/office/drawing/2014/main" id="{00000000-0008-0000-0100-0000D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61" name="Drop Down 1" hidden="1">
          <a:extLst>
            <a:ext uri="{FF2B5EF4-FFF2-40B4-BE49-F238E27FC236}">
              <a16:creationId xmlns:a16="http://schemas.microsoft.com/office/drawing/2014/main" id="{00000000-0008-0000-0100-0000D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62" name="Drop Down -1022" hidden="1">
          <a:extLst>
            <a:ext uri="{FF2B5EF4-FFF2-40B4-BE49-F238E27FC236}">
              <a16:creationId xmlns:a16="http://schemas.microsoft.com/office/drawing/2014/main" id="{00000000-0008-0000-0100-0000D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63" name="Drop Down 1" hidden="1">
          <a:extLst>
            <a:ext uri="{FF2B5EF4-FFF2-40B4-BE49-F238E27FC236}">
              <a16:creationId xmlns:a16="http://schemas.microsoft.com/office/drawing/2014/main" id="{00000000-0008-0000-0100-0000D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64" name="Drop Down 1" hidden="1">
          <a:extLst>
            <a:ext uri="{FF2B5EF4-FFF2-40B4-BE49-F238E27FC236}">
              <a16:creationId xmlns:a16="http://schemas.microsoft.com/office/drawing/2014/main" id="{00000000-0008-0000-0100-0000D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65" name="Drop Down 1" hidden="1">
          <a:extLst>
            <a:ext uri="{FF2B5EF4-FFF2-40B4-BE49-F238E27FC236}">
              <a16:creationId xmlns:a16="http://schemas.microsoft.com/office/drawing/2014/main" id="{00000000-0008-0000-0100-0000D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66" name="Drop Down 1" hidden="1">
          <a:extLst>
            <a:ext uri="{FF2B5EF4-FFF2-40B4-BE49-F238E27FC236}">
              <a16:creationId xmlns:a16="http://schemas.microsoft.com/office/drawing/2014/main" id="{00000000-0008-0000-0100-0000D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67" name="Drop Down 2" hidden="1">
          <a:extLst>
            <a:ext uri="{FF2B5EF4-FFF2-40B4-BE49-F238E27FC236}">
              <a16:creationId xmlns:a16="http://schemas.microsoft.com/office/drawing/2014/main" id="{00000000-0008-0000-0100-0000D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68" name="Drop Down 1" hidden="1">
          <a:extLst>
            <a:ext uri="{FF2B5EF4-FFF2-40B4-BE49-F238E27FC236}">
              <a16:creationId xmlns:a16="http://schemas.microsoft.com/office/drawing/2014/main" id="{00000000-0008-0000-0100-0000DC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69" name="Drop Down -1022" hidden="1">
          <a:extLst>
            <a:ext uri="{FF2B5EF4-FFF2-40B4-BE49-F238E27FC236}">
              <a16:creationId xmlns:a16="http://schemas.microsoft.com/office/drawing/2014/main" id="{00000000-0008-0000-0100-0000DD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70" name="Drop Down 1" hidden="1">
          <a:extLst>
            <a:ext uri="{FF2B5EF4-FFF2-40B4-BE49-F238E27FC236}">
              <a16:creationId xmlns:a16="http://schemas.microsoft.com/office/drawing/2014/main" id="{00000000-0008-0000-0100-0000DE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71" name="Drop Down 1" hidden="1">
          <a:extLst>
            <a:ext uri="{FF2B5EF4-FFF2-40B4-BE49-F238E27FC236}">
              <a16:creationId xmlns:a16="http://schemas.microsoft.com/office/drawing/2014/main" id="{00000000-0008-0000-0100-0000DF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72" name="Drop Down 1" hidden="1">
          <a:extLst>
            <a:ext uri="{FF2B5EF4-FFF2-40B4-BE49-F238E27FC236}">
              <a16:creationId xmlns:a16="http://schemas.microsoft.com/office/drawing/2014/main" id="{00000000-0008-0000-0100-0000E0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73" name="Drop Down 1" hidden="1">
          <a:extLst>
            <a:ext uri="{FF2B5EF4-FFF2-40B4-BE49-F238E27FC236}">
              <a16:creationId xmlns:a16="http://schemas.microsoft.com/office/drawing/2014/main" id="{00000000-0008-0000-0100-0000E1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74" name="Drop Down 2" hidden="1">
          <a:extLst>
            <a:ext uri="{FF2B5EF4-FFF2-40B4-BE49-F238E27FC236}">
              <a16:creationId xmlns:a16="http://schemas.microsoft.com/office/drawing/2014/main" id="{00000000-0008-0000-0100-0000E2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75" name="Drop Down 1" hidden="1">
          <a:extLst>
            <a:ext uri="{FF2B5EF4-FFF2-40B4-BE49-F238E27FC236}">
              <a16:creationId xmlns:a16="http://schemas.microsoft.com/office/drawing/2014/main" id="{00000000-0008-0000-0100-0000E3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276" name="Drop Down -1022" hidden="1">
          <a:extLst>
            <a:ext uri="{FF2B5EF4-FFF2-40B4-BE49-F238E27FC236}">
              <a16:creationId xmlns:a16="http://schemas.microsoft.com/office/drawing/2014/main" id="{00000000-0008-0000-0100-0000E4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77" name="Drop Down 1" hidden="1">
          <a:extLst>
            <a:ext uri="{FF2B5EF4-FFF2-40B4-BE49-F238E27FC236}">
              <a16:creationId xmlns:a16="http://schemas.microsoft.com/office/drawing/2014/main" id="{00000000-0008-0000-0100-0000E5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78" name="Drop Down 1" hidden="1">
          <a:extLst>
            <a:ext uri="{FF2B5EF4-FFF2-40B4-BE49-F238E27FC236}">
              <a16:creationId xmlns:a16="http://schemas.microsoft.com/office/drawing/2014/main" id="{00000000-0008-0000-0100-0000E6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79" name="Drop Down 1" hidden="1">
          <a:extLst>
            <a:ext uri="{FF2B5EF4-FFF2-40B4-BE49-F238E27FC236}">
              <a16:creationId xmlns:a16="http://schemas.microsoft.com/office/drawing/2014/main" id="{00000000-0008-0000-0100-0000E7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80" name="Drop Down 1" hidden="1">
          <a:extLst>
            <a:ext uri="{FF2B5EF4-FFF2-40B4-BE49-F238E27FC236}">
              <a16:creationId xmlns:a16="http://schemas.microsoft.com/office/drawing/2014/main" id="{00000000-0008-0000-0100-0000E8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81" name="Drop Down 2" hidden="1">
          <a:extLst>
            <a:ext uri="{FF2B5EF4-FFF2-40B4-BE49-F238E27FC236}">
              <a16:creationId xmlns:a16="http://schemas.microsoft.com/office/drawing/2014/main" id="{00000000-0008-0000-0100-0000E9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82" name="Drop Down 1" hidden="1">
          <a:extLst>
            <a:ext uri="{FF2B5EF4-FFF2-40B4-BE49-F238E27FC236}">
              <a16:creationId xmlns:a16="http://schemas.microsoft.com/office/drawing/2014/main" id="{00000000-0008-0000-0100-0000EA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283" name="Drop Down -1022" hidden="1">
          <a:extLst>
            <a:ext uri="{FF2B5EF4-FFF2-40B4-BE49-F238E27FC236}">
              <a16:creationId xmlns:a16="http://schemas.microsoft.com/office/drawing/2014/main" id="{00000000-0008-0000-0100-0000EB08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284" name="Drop Down 1" hidden="1">
          <a:extLst>
            <a:ext uri="{FF2B5EF4-FFF2-40B4-BE49-F238E27FC236}">
              <a16:creationId xmlns:a16="http://schemas.microsoft.com/office/drawing/2014/main" id="{00000000-0008-0000-0100-0000EC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285" name="Drop Down 1" hidden="1">
          <a:extLst>
            <a:ext uri="{FF2B5EF4-FFF2-40B4-BE49-F238E27FC236}">
              <a16:creationId xmlns:a16="http://schemas.microsoft.com/office/drawing/2014/main" id="{00000000-0008-0000-0100-0000ED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286" name="Drop Down 1" hidden="1">
          <a:extLst>
            <a:ext uri="{FF2B5EF4-FFF2-40B4-BE49-F238E27FC236}">
              <a16:creationId xmlns:a16="http://schemas.microsoft.com/office/drawing/2014/main" id="{00000000-0008-0000-0100-0000EE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287" name="Drop Down 1" hidden="1">
          <a:extLst>
            <a:ext uri="{FF2B5EF4-FFF2-40B4-BE49-F238E27FC236}">
              <a16:creationId xmlns:a16="http://schemas.microsoft.com/office/drawing/2014/main" id="{00000000-0008-0000-0100-0000EF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288" name="Drop Down 2" hidden="1">
          <a:extLst>
            <a:ext uri="{FF2B5EF4-FFF2-40B4-BE49-F238E27FC236}">
              <a16:creationId xmlns:a16="http://schemas.microsoft.com/office/drawing/2014/main" id="{00000000-0008-0000-0100-0000F0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289" name="Drop Down 1" hidden="1">
          <a:extLst>
            <a:ext uri="{FF2B5EF4-FFF2-40B4-BE49-F238E27FC236}">
              <a16:creationId xmlns:a16="http://schemas.microsoft.com/office/drawing/2014/main" id="{00000000-0008-0000-0100-0000F1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290" name="Drop Down -1022" hidden="1">
          <a:extLst>
            <a:ext uri="{FF2B5EF4-FFF2-40B4-BE49-F238E27FC236}">
              <a16:creationId xmlns:a16="http://schemas.microsoft.com/office/drawing/2014/main" id="{00000000-0008-0000-0100-0000F2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291" name="Drop Down 1" hidden="1">
          <a:extLst>
            <a:ext uri="{FF2B5EF4-FFF2-40B4-BE49-F238E27FC236}">
              <a16:creationId xmlns:a16="http://schemas.microsoft.com/office/drawing/2014/main" id="{00000000-0008-0000-0100-0000F3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292" name="Drop Down 1" hidden="1">
          <a:extLst>
            <a:ext uri="{FF2B5EF4-FFF2-40B4-BE49-F238E27FC236}">
              <a16:creationId xmlns:a16="http://schemas.microsoft.com/office/drawing/2014/main" id="{00000000-0008-0000-0100-0000F4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293" name="Drop Down 1" hidden="1">
          <a:extLst>
            <a:ext uri="{FF2B5EF4-FFF2-40B4-BE49-F238E27FC236}">
              <a16:creationId xmlns:a16="http://schemas.microsoft.com/office/drawing/2014/main" id="{00000000-0008-0000-0100-0000F5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294" name="Drop Down 1" hidden="1">
          <a:extLst>
            <a:ext uri="{FF2B5EF4-FFF2-40B4-BE49-F238E27FC236}">
              <a16:creationId xmlns:a16="http://schemas.microsoft.com/office/drawing/2014/main" id="{00000000-0008-0000-0100-0000F6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295" name="Drop Down 2" hidden="1">
          <a:extLst>
            <a:ext uri="{FF2B5EF4-FFF2-40B4-BE49-F238E27FC236}">
              <a16:creationId xmlns:a16="http://schemas.microsoft.com/office/drawing/2014/main" id="{00000000-0008-0000-0100-0000F7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296" name="Drop Down 1" hidden="1">
          <a:extLst>
            <a:ext uri="{FF2B5EF4-FFF2-40B4-BE49-F238E27FC236}">
              <a16:creationId xmlns:a16="http://schemas.microsoft.com/office/drawing/2014/main" id="{00000000-0008-0000-0100-0000F8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297" name="Drop Down -1022" hidden="1">
          <a:extLst>
            <a:ext uri="{FF2B5EF4-FFF2-40B4-BE49-F238E27FC236}">
              <a16:creationId xmlns:a16="http://schemas.microsoft.com/office/drawing/2014/main" id="{00000000-0008-0000-0100-0000F9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298" name="Drop Down 1" hidden="1">
          <a:extLst>
            <a:ext uri="{FF2B5EF4-FFF2-40B4-BE49-F238E27FC236}">
              <a16:creationId xmlns:a16="http://schemas.microsoft.com/office/drawing/2014/main" id="{00000000-0008-0000-0100-0000FA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299" name="Drop Down 1" hidden="1">
          <a:extLst>
            <a:ext uri="{FF2B5EF4-FFF2-40B4-BE49-F238E27FC236}">
              <a16:creationId xmlns:a16="http://schemas.microsoft.com/office/drawing/2014/main" id="{00000000-0008-0000-0100-0000FB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00" name="Drop Down 1" hidden="1">
          <a:extLst>
            <a:ext uri="{FF2B5EF4-FFF2-40B4-BE49-F238E27FC236}">
              <a16:creationId xmlns:a16="http://schemas.microsoft.com/office/drawing/2014/main" id="{00000000-0008-0000-0100-0000FC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01" name="Drop Down 1" hidden="1">
          <a:extLst>
            <a:ext uri="{FF2B5EF4-FFF2-40B4-BE49-F238E27FC236}">
              <a16:creationId xmlns:a16="http://schemas.microsoft.com/office/drawing/2014/main" id="{00000000-0008-0000-0100-0000FD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02" name="Drop Down 2" hidden="1">
          <a:extLst>
            <a:ext uri="{FF2B5EF4-FFF2-40B4-BE49-F238E27FC236}">
              <a16:creationId xmlns:a16="http://schemas.microsoft.com/office/drawing/2014/main" id="{00000000-0008-0000-0100-0000FE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03" name="Drop Down 1" hidden="1">
          <a:extLst>
            <a:ext uri="{FF2B5EF4-FFF2-40B4-BE49-F238E27FC236}">
              <a16:creationId xmlns:a16="http://schemas.microsoft.com/office/drawing/2014/main" id="{00000000-0008-0000-0100-0000FF08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04" name="Drop Down -1022" hidden="1">
          <a:extLst>
            <a:ext uri="{FF2B5EF4-FFF2-40B4-BE49-F238E27FC236}">
              <a16:creationId xmlns:a16="http://schemas.microsoft.com/office/drawing/2014/main" id="{00000000-0008-0000-0100-000000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05" name="Drop Down 1" hidden="1">
          <a:extLst>
            <a:ext uri="{FF2B5EF4-FFF2-40B4-BE49-F238E27FC236}">
              <a16:creationId xmlns:a16="http://schemas.microsoft.com/office/drawing/2014/main" id="{00000000-0008-0000-0100-000001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06" name="Drop Down 1" hidden="1">
          <a:extLst>
            <a:ext uri="{FF2B5EF4-FFF2-40B4-BE49-F238E27FC236}">
              <a16:creationId xmlns:a16="http://schemas.microsoft.com/office/drawing/2014/main" id="{00000000-0008-0000-0100-000002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07" name="Drop Down 1" hidden="1">
          <a:extLst>
            <a:ext uri="{FF2B5EF4-FFF2-40B4-BE49-F238E27FC236}">
              <a16:creationId xmlns:a16="http://schemas.microsoft.com/office/drawing/2014/main" id="{00000000-0008-0000-0100-000003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08" name="Drop Down 1" hidden="1">
          <a:extLst>
            <a:ext uri="{FF2B5EF4-FFF2-40B4-BE49-F238E27FC236}">
              <a16:creationId xmlns:a16="http://schemas.microsoft.com/office/drawing/2014/main" id="{00000000-0008-0000-0100-000004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09" name="Drop Down 2" hidden="1">
          <a:extLst>
            <a:ext uri="{FF2B5EF4-FFF2-40B4-BE49-F238E27FC236}">
              <a16:creationId xmlns:a16="http://schemas.microsoft.com/office/drawing/2014/main" id="{00000000-0008-0000-0100-000005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10" name="Drop Down 1" hidden="1">
          <a:extLst>
            <a:ext uri="{FF2B5EF4-FFF2-40B4-BE49-F238E27FC236}">
              <a16:creationId xmlns:a16="http://schemas.microsoft.com/office/drawing/2014/main" id="{00000000-0008-0000-0100-000006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11" name="Drop Down -1022" hidden="1">
          <a:extLst>
            <a:ext uri="{FF2B5EF4-FFF2-40B4-BE49-F238E27FC236}">
              <a16:creationId xmlns:a16="http://schemas.microsoft.com/office/drawing/2014/main" id="{00000000-0008-0000-0100-000007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12" name="Drop Down 1" hidden="1">
          <a:extLst>
            <a:ext uri="{FF2B5EF4-FFF2-40B4-BE49-F238E27FC236}">
              <a16:creationId xmlns:a16="http://schemas.microsoft.com/office/drawing/2014/main" id="{00000000-0008-0000-0100-000008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13" name="Drop Down 1" hidden="1">
          <a:extLst>
            <a:ext uri="{FF2B5EF4-FFF2-40B4-BE49-F238E27FC236}">
              <a16:creationId xmlns:a16="http://schemas.microsoft.com/office/drawing/2014/main" id="{00000000-0008-0000-0100-000009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14" name="Drop Down 1" hidden="1">
          <a:extLst>
            <a:ext uri="{FF2B5EF4-FFF2-40B4-BE49-F238E27FC236}">
              <a16:creationId xmlns:a16="http://schemas.microsoft.com/office/drawing/2014/main" id="{00000000-0008-0000-0100-00000A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15" name="Drop Down 1" hidden="1">
          <a:extLst>
            <a:ext uri="{FF2B5EF4-FFF2-40B4-BE49-F238E27FC236}">
              <a16:creationId xmlns:a16="http://schemas.microsoft.com/office/drawing/2014/main" id="{00000000-0008-0000-0100-00000B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16" name="Drop Down 2" hidden="1">
          <a:extLst>
            <a:ext uri="{FF2B5EF4-FFF2-40B4-BE49-F238E27FC236}">
              <a16:creationId xmlns:a16="http://schemas.microsoft.com/office/drawing/2014/main" id="{00000000-0008-0000-0100-00000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17" name="Drop Down 1" hidden="1">
          <a:extLst>
            <a:ext uri="{FF2B5EF4-FFF2-40B4-BE49-F238E27FC236}">
              <a16:creationId xmlns:a16="http://schemas.microsoft.com/office/drawing/2014/main" id="{00000000-0008-0000-0100-00000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18" name="Drop Down -1022" hidden="1">
          <a:extLst>
            <a:ext uri="{FF2B5EF4-FFF2-40B4-BE49-F238E27FC236}">
              <a16:creationId xmlns:a16="http://schemas.microsoft.com/office/drawing/2014/main" id="{00000000-0008-0000-0100-00000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19" name="Drop Down 1" hidden="1">
          <a:extLst>
            <a:ext uri="{FF2B5EF4-FFF2-40B4-BE49-F238E27FC236}">
              <a16:creationId xmlns:a16="http://schemas.microsoft.com/office/drawing/2014/main" id="{00000000-0008-0000-0100-00000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20" name="Drop Down 1" hidden="1">
          <a:extLst>
            <a:ext uri="{FF2B5EF4-FFF2-40B4-BE49-F238E27FC236}">
              <a16:creationId xmlns:a16="http://schemas.microsoft.com/office/drawing/2014/main" id="{00000000-0008-0000-0100-00001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21" name="Drop Down 1" hidden="1">
          <a:extLst>
            <a:ext uri="{FF2B5EF4-FFF2-40B4-BE49-F238E27FC236}">
              <a16:creationId xmlns:a16="http://schemas.microsoft.com/office/drawing/2014/main" id="{00000000-0008-0000-0100-00001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22" name="Drop Down 1" hidden="1">
          <a:extLst>
            <a:ext uri="{FF2B5EF4-FFF2-40B4-BE49-F238E27FC236}">
              <a16:creationId xmlns:a16="http://schemas.microsoft.com/office/drawing/2014/main" id="{00000000-0008-0000-0100-00001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23" name="Drop Down 2" hidden="1">
          <a:extLst>
            <a:ext uri="{FF2B5EF4-FFF2-40B4-BE49-F238E27FC236}">
              <a16:creationId xmlns:a16="http://schemas.microsoft.com/office/drawing/2014/main" id="{00000000-0008-0000-0100-00001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24" name="Drop Down 1" hidden="1">
          <a:extLst>
            <a:ext uri="{FF2B5EF4-FFF2-40B4-BE49-F238E27FC236}">
              <a16:creationId xmlns:a16="http://schemas.microsoft.com/office/drawing/2014/main" id="{00000000-0008-0000-0100-00001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25" name="Drop Down -1022" hidden="1">
          <a:extLst>
            <a:ext uri="{FF2B5EF4-FFF2-40B4-BE49-F238E27FC236}">
              <a16:creationId xmlns:a16="http://schemas.microsoft.com/office/drawing/2014/main" id="{00000000-0008-0000-0100-00001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26" name="Drop Down 1" hidden="1">
          <a:extLst>
            <a:ext uri="{FF2B5EF4-FFF2-40B4-BE49-F238E27FC236}">
              <a16:creationId xmlns:a16="http://schemas.microsoft.com/office/drawing/2014/main" id="{00000000-0008-0000-0100-00001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27" name="Drop Down 1" hidden="1">
          <a:extLst>
            <a:ext uri="{FF2B5EF4-FFF2-40B4-BE49-F238E27FC236}">
              <a16:creationId xmlns:a16="http://schemas.microsoft.com/office/drawing/2014/main" id="{00000000-0008-0000-0100-00001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28" name="Drop Down 1" hidden="1">
          <a:extLst>
            <a:ext uri="{FF2B5EF4-FFF2-40B4-BE49-F238E27FC236}">
              <a16:creationId xmlns:a16="http://schemas.microsoft.com/office/drawing/2014/main" id="{00000000-0008-0000-0100-000018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29" name="Drop Down 1" hidden="1">
          <a:extLst>
            <a:ext uri="{FF2B5EF4-FFF2-40B4-BE49-F238E27FC236}">
              <a16:creationId xmlns:a16="http://schemas.microsoft.com/office/drawing/2014/main" id="{00000000-0008-0000-0100-000019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30" name="Drop Down 2" hidden="1">
          <a:extLst>
            <a:ext uri="{FF2B5EF4-FFF2-40B4-BE49-F238E27FC236}">
              <a16:creationId xmlns:a16="http://schemas.microsoft.com/office/drawing/2014/main" id="{00000000-0008-0000-0100-00001A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31" name="Drop Down 1" hidden="1">
          <a:extLst>
            <a:ext uri="{FF2B5EF4-FFF2-40B4-BE49-F238E27FC236}">
              <a16:creationId xmlns:a16="http://schemas.microsoft.com/office/drawing/2014/main" id="{00000000-0008-0000-0100-00001B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32" name="Drop Down -1022" hidden="1">
          <a:extLst>
            <a:ext uri="{FF2B5EF4-FFF2-40B4-BE49-F238E27FC236}">
              <a16:creationId xmlns:a16="http://schemas.microsoft.com/office/drawing/2014/main" id="{00000000-0008-0000-0100-00001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33" name="Drop Down 1" hidden="1">
          <a:extLst>
            <a:ext uri="{FF2B5EF4-FFF2-40B4-BE49-F238E27FC236}">
              <a16:creationId xmlns:a16="http://schemas.microsoft.com/office/drawing/2014/main" id="{00000000-0008-0000-0100-00001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34" name="Drop Down 1" hidden="1">
          <a:extLst>
            <a:ext uri="{FF2B5EF4-FFF2-40B4-BE49-F238E27FC236}">
              <a16:creationId xmlns:a16="http://schemas.microsoft.com/office/drawing/2014/main" id="{00000000-0008-0000-0100-00001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35" name="Drop Down 1" hidden="1">
          <a:extLst>
            <a:ext uri="{FF2B5EF4-FFF2-40B4-BE49-F238E27FC236}">
              <a16:creationId xmlns:a16="http://schemas.microsoft.com/office/drawing/2014/main" id="{00000000-0008-0000-0100-00001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36" name="Drop Down 1" hidden="1">
          <a:extLst>
            <a:ext uri="{FF2B5EF4-FFF2-40B4-BE49-F238E27FC236}">
              <a16:creationId xmlns:a16="http://schemas.microsoft.com/office/drawing/2014/main" id="{00000000-0008-0000-0100-00002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37" name="Drop Down 2" hidden="1">
          <a:extLst>
            <a:ext uri="{FF2B5EF4-FFF2-40B4-BE49-F238E27FC236}">
              <a16:creationId xmlns:a16="http://schemas.microsoft.com/office/drawing/2014/main" id="{00000000-0008-0000-0100-00002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38" name="Drop Down 1" hidden="1">
          <a:extLst>
            <a:ext uri="{FF2B5EF4-FFF2-40B4-BE49-F238E27FC236}">
              <a16:creationId xmlns:a16="http://schemas.microsoft.com/office/drawing/2014/main" id="{00000000-0008-0000-0100-00002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39" name="Drop Down -1022" hidden="1">
          <a:extLst>
            <a:ext uri="{FF2B5EF4-FFF2-40B4-BE49-F238E27FC236}">
              <a16:creationId xmlns:a16="http://schemas.microsoft.com/office/drawing/2014/main" id="{00000000-0008-0000-0100-00002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40" name="Drop Down 1" hidden="1">
          <a:extLst>
            <a:ext uri="{FF2B5EF4-FFF2-40B4-BE49-F238E27FC236}">
              <a16:creationId xmlns:a16="http://schemas.microsoft.com/office/drawing/2014/main" id="{00000000-0008-0000-0100-00002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41" name="Drop Down 1" hidden="1">
          <a:extLst>
            <a:ext uri="{FF2B5EF4-FFF2-40B4-BE49-F238E27FC236}">
              <a16:creationId xmlns:a16="http://schemas.microsoft.com/office/drawing/2014/main" id="{00000000-0008-0000-0100-00002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42" name="Drop Down 1" hidden="1">
          <a:extLst>
            <a:ext uri="{FF2B5EF4-FFF2-40B4-BE49-F238E27FC236}">
              <a16:creationId xmlns:a16="http://schemas.microsoft.com/office/drawing/2014/main" id="{00000000-0008-0000-0100-00002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43" name="Drop Down 1" hidden="1">
          <a:extLst>
            <a:ext uri="{FF2B5EF4-FFF2-40B4-BE49-F238E27FC236}">
              <a16:creationId xmlns:a16="http://schemas.microsoft.com/office/drawing/2014/main" id="{00000000-0008-0000-0100-00002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44" name="Drop Down 2" hidden="1">
          <a:extLst>
            <a:ext uri="{FF2B5EF4-FFF2-40B4-BE49-F238E27FC236}">
              <a16:creationId xmlns:a16="http://schemas.microsoft.com/office/drawing/2014/main" id="{00000000-0008-0000-0100-000028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45" name="Drop Down 1" hidden="1">
          <a:extLst>
            <a:ext uri="{FF2B5EF4-FFF2-40B4-BE49-F238E27FC236}">
              <a16:creationId xmlns:a16="http://schemas.microsoft.com/office/drawing/2014/main" id="{00000000-0008-0000-0100-000029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46" name="Drop Down -1022" hidden="1">
          <a:extLst>
            <a:ext uri="{FF2B5EF4-FFF2-40B4-BE49-F238E27FC236}">
              <a16:creationId xmlns:a16="http://schemas.microsoft.com/office/drawing/2014/main" id="{00000000-0008-0000-0100-00002A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47" name="Drop Down 1" hidden="1">
          <a:extLst>
            <a:ext uri="{FF2B5EF4-FFF2-40B4-BE49-F238E27FC236}">
              <a16:creationId xmlns:a16="http://schemas.microsoft.com/office/drawing/2014/main" id="{00000000-0008-0000-0100-00002B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48" name="Drop Down 1" hidden="1">
          <a:extLst>
            <a:ext uri="{FF2B5EF4-FFF2-40B4-BE49-F238E27FC236}">
              <a16:creationId xmlns:a16="http://schemas.microsoft.com/office/drawing/2014/main" id="{00000000-0008-0000-0100-00002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49" name="Drop Down 1" hidden="1">
          <a:extLst>
            <a:ext uri="{FF2B5EF4-FFF2-40B4-BE49-F238E27FC236}">
              <a16:creationId xmlns:a16="http://schemas.microsoft.com/office/drawing/2014/main" id="{00000000-0008-0000-0100-00002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50" name="Drop Down 1" hidden="1">
          <a:extLst>
            <a:ext uri="{FF2B5EF4-FFF2-40B4-BE49-F238E27FC236}">
              <a16:creationId xmlns:a16="http://schemas.microsoft.com/office/drawing/2014/main" id="{00000000-0008-0000-0100-00002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51" name="Drop Down 2" hidden="1">
          <a:extLst>
            <a:ext uri="{FF2B5EF4-FFF2-40B4-BE49-F238E27FC236}">
              <a16:creationId xmlns:a16="http://schemas.microsoft.com/office/drawing/2014/main" id="{00000000-0008-0000-0100-00002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52" name="Drop Down 1" hidden="1">
          <a:extLst>
            <a:ext uri="{FF2B5EF4-FFF2-40B4-BE49-F238E27FC236}">
              <a16:creationId xmlns:a16="http://schemas.microsoft.com/office/drawing/2014/main" id="{00000000-0008-0000-0100-00003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53" name="Drop Down -1022" hidden="1">
          <a:extLst>
            <a:ext uri="{FF2B5EF4-FFF2-40B4-BE49-F238E27FC236}">
              <a16:creationId xmlns:a16="http://schemas.microsoft.com/office/drawing/2014/main" id="{00000000-0008-0000-0100-00003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54" name="Drop Down 1" hidden="1">
          <a:extLst>
            <a:ext uri="{FF2B5EF4-FFF2-40B4-BE49-F238E27FC236}">
              <a16:creationId xmlns:a16="http://schemas.microsoft.com/office/drawing/2014/main" id="{00000000-0008-0000-0100-00003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55" name="Drop Down 1" hidden="1">
          <a:extLst>
            <a:ext uri="{FF2B5EF4-FFF2-40B4-BE49-F238E27FC236}">
              <a16:creationId xmlns:a16="http://schemas.microsoft.com/office/drawing/2014/main" id="{00000000-0008-0000-0100-00003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56" name="Drop Down 1" hidden="1">
          <a:extLst>
            <a:ext uri="{FF2B5EF4-FFF2-40B4-BE49-F238E27FC236}">
              <a16:creationId xmlns:a16="http://schemas.microsoft.com/office/drawing/2014/main" id="{00000000-0008-0000-0100-00003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57" name="Drop Down 1" hidden="1">
          <a:extLst>
            <a:ext uri="{FF2B5EF4-FFF2-40B4-BE49-F238E27FC236}">
              <a16:creationId xmlns:a16="http://schemas.microsoft.com/office/drawing/2014/main" id="{00000000-0008-0000-0100-00003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58" name="Drop Down 2" hidden="1">
          <a:extLst>
            <a:ext uri="{FF2B5EF4-FFF2-40B4-BE49-F238E27FC236}">
              <a16:creationId xmlns:a16="http://schemas.microsoft.com/office/drawing/2014/main" id="{00000000-0008-0000-0100-00003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59" name="Drop Down 1" hidden="1">
          <a:extLst>
            <a:ext uri="{FF2B5EF4-FFF2-40B4-BE49-F238E27FC236}">
              <a16:creationId xmlns:a16="http://schemas.microsoft.com/office/drawing/2014/main" id="{00000000-0008-0000-0100-00003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60" name="Drop Down -1022" hidden="1">
          <a:extLst>
            <a:ext uri="{FF2B5EF4-FFF2-40B4-BE49-F238E27FC236}">
              <a16:creationId xmlns:a16="http://schemas.microsoft.com/office/drawing/2014/main" id="{00000000-0008-0000-0100-000038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61" name="Drop Down 1" hidden="1">
          <a:extLst>
            <a:ext uri="{FF2B5EF4-FFF2-40B4-BE49-F238E27FC236}">
              <a16:creationId xmlns:a16="http://schemas.microsoft.com/office/drawing/2014/main" id="{00000000-0008-0000-0100-000039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62" name="Drop Down 1" hidden="1">
          <a:extLst>
            <a:ext uri="{FF2B5EF4-FFF2-40B4-BE49-F238E27FC236}">
              <a16:creationId xmlns:a16="http://schemas.microsoft.com/office/drawing/2014/main" id="{00000000-0008-0000-0100-00003A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63" name="Drop Down 1" hidden="1">
          <a:extLst>
            <a:ext uri="{FF2B5EF4-FFF2-40B4-BE49-F238E27FC236}">
              <a16:creationId xmlns:a16="http://schemas.microsoft.com/office/drawing/2014/main" id="{00000000-0008-0000-0100-00003B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64" name="Drop Down 1" hidden="1">
          <a:extLst>
            <a:ext uri="{FF2B5EF4-FFF2-40B4-BE49-F238E27FC236}">
              <a16:creationId xmlns:a16="http://schemas.microsoft.com/office/drawing/2014/main" id="{00000000-0008-0000-0100-00003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65" name="Drop Down 2" hidden="1">
          <a:extLst>
            <a:ext uri="{FF2B5EF4-FFF2-40B4-BE49-F238E27FC236}">
              <a16:creationId xmlns:a16="http://schemas.microsoft.com/office/drawing/2014/main" id="{00000000-0008-0000-0100-00003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66" name="Drop Down 1" hidden="1">
          <a:extLst>
            <a:ext uri="{FF2B5EF4-FFF2-40B4-BE49-F238E27FC236}">
              <a16:creationId xmlns:a16="http://schemas.microsoft.com/office/drawing/2014/main" id="{00000000-0008-0000-0100-00003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367" name="Drop Down -1022" hidden="1">
          <a:extLst>
            <a:ext uri="{FF2B5EF4-FFF2-40B4-BE49-F238E27FC236}">
              <a16:creationId xmlns:a16="http://schemas.microsoft.com/office/drawing/2014/main" id="{00000000-0008-0000-0100-00003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68" name="Drop Down 1" hidden="1">
          <a:extLst>
            <a:ext uri="{FF2B5EF4-FFF2-40B4-BE49-F238E27FC236}">
              <a16:creationId xmlns:a16="http://schemas.microsoft.com/office/drawing/2014/main" id="{00000000-0008-0000-0100-000040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69" name="Drop Down 1" hidden="1">
          <a:extLst>
            <a:ext uri="{FF2B5EF4-FFF2-40B4-BE49-F238E27FC236}">
              <a16:creationId xmlns:a16="http://schemas.microsoft.com/office/drawing/2014/main" id="{00000000-0008-0000-0100-000041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70" name="Drop Down 1" hidden="1">
          <a:extLst>
            <a:ext uri="{FF2B5EF4-FFF2-40B4-BE49-F238E27FC236}">
              <a16:creationId xmlns:a16="http://schemas.microsoft.com/office/drawing/2014/main" id="{00000000-0008-0000-0100-000042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71" name="Drop Down 1" hidden="1">
          <a:extLst>
            <a:ext uri="{FF2B5EF4-FFF2-40B4-BE49-F238E27FC236}">
              <a16:creationId xmlns:a16="http://schemas.microsoft.com/office/drawing/2014/main" id="{00000000-0008-0000-0100-000043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72" name="Drop Down 2" hidden="1">
          <a:extLst>
            <a:ext uri="{FF2B5EF4-FFF2-40B4-BE49-F238E27FC236}">
              <a16:creationId xmlns:a16="http://schemas.microsoft.com/office/drawing/2014/main" id="{00000000-0008-0000-0100-000044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73" name="Drop Down 1" hidden="1">
          <a:extLst>
            <a:ext uri="{FF2B5EF4-FFF2-40B4-BE49-F238E27FC236}">
              <a16:creationId xmlns:a16="http://schemas.microsoft.com/office/drawing/2014/main" id="{00000000-0008-0000-0100-000045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74" name="Drop Down -1022" hidden="1">
          <a:extLst>
            <a:ext uri="{FF2B5EF4-FFF2-40B4-BE49-F238E27FC236}">
              <a16:creationId xmlns:a16="http://schemas.microsoft.com/office/drawing/2014/main" id="{00000000-0008-0000-0100-000046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75" name="Drop Down 1" hidden="1">
          <a:extLst>
            <a:ext uri="{FF2B5EF4-FFF2-40B4-BE49-F238E27FC236}">
              <a16:creationId xmlns:a16="http://schemas.microsoft.com/office/drawing/2014/main" id="{00000000-0008-0000-0100-000047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76" name="Drop Down 1" hidden="1">
          <a:extLst>
            <a:ext uri="{FF2B5EF4-FFF2-40B4-BE49-F238E27FC236}">
              <a16:creationId xmlns:a16="http://schemas.microsoft.com/office/drawing/2014/main" id="{00000000-0008-0000-0100-000048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77" name="Drop Down 1" hidden="1">
          <a:extLst>
            <a:ext uri="{FF2B5EF4-FFF2-40B4-BE49-F238E27FC236}">
              <a16:creationId xmlns:a16="http://schemas.microsoft.com/office/drawing/2014/main" id="{00000000-0008-0000-0100-000049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78" name="Drop Down 1" hidden="1">
          <a:extLst>
            <a:ext uri="{FF2B5EF4-FFF2-40B4-BE49-F238E27FC236}">
              <a16:creationId xmlns:a16="http://schemas.microsoft.com/office/drawing/2014/main" id="{00000000-0008-0000-0100-00004A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79" name="Drop Down 2" hidden="1">
          <a:extLst>
            <a:ext uri="{FF2B5EF4-FFF2-40B4-BE49-F238E27FC236}">
              <a16:creationId xmlns:a16="http://schemas.microsoft.com/office/drawing/2014/main" id="{00000000-0008-0000-0100-00004B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80" name="Drop Down 1" hidden="1">
          <a:extLst>
            <a:ext uri="{FF2B5EF4-FFF2-40B4-BE49-F238E27FC236}">
              <a16:creationId xmlns:a16="http://schemas.microsoft.com/office/drawing/2014/main" id="{00000000-0008-0000-0100-00004C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81" name="Drop Down -1022" hidden="1">
          <a:extLst>
            <a:ext uri="{FF2B5EF4-FFF2-40B4-BE49-F238E27FC236}">
              <a16:creationId xmlns:a16="http://schemas.microsoft.com/office/drawing/2014/main" id="{00000000-0008-0000-0100-00004D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82" name="Drop Down 1" hidden="1">
          <a:extLst>
            <a:ext uri="{FF2B5EF4-FFF2-40B4-BE49-F238E27FC236}">
              <a16:creationId xmlns:a16="http://schemas.microsoft.com/office/drawing/2014/main" id="{00000000-0008-0000-0100-00004E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83" name="Drop Down 1" hidden="1">
          <a:extLst>
            <a:ext uri="{FF2B5EF4-FFF2-40B4-BE49-F238E27FC236}">
              <a16:creationId xmlns:a16="http://schemas.microsoft.com/office/drawing/2014/main" id="{00000000-0008-0000-0100-00004F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84" name="Drop Down 1" hidden="1">
          <a:extLst>
            <a:ext uri="{FF2B5EF4-FFF2-40B4-BE49-F238E27FC236}">
              <a16:creationId xmlns:a16="http://schemas.microsoft.com/office/drawing/2014/main" id="{00000000-0008-0000-0100-000050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85" name="Drop Down 1" hidden="1">
          <a:extLst>
            <a:ext uri="{FF2B5EF4-FFF2-40B4-BE49-F238E27FC236}">
              <a16:creationId xmlns:a16="http://schemas.microsoft.com/office/drawing/2014/main" id="{00000000-0008-0000-0100-000051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86" name="Drop Down 2" hidden="1">
          <a:extLst>
            <a:ext uri="{FF2B5EF4-FFF2-40B4-BE49-F238E27FC236}">
              <a16:creationId xmlns:a16="http://schemas.microsoft.com/office/drawing/2014/main" id="{00000000-0008-0000-0100-000052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87" name="Drop Down 1" hidden="1">
          <a:extLst>
            <a:ext uri="{FF2B5EF4-FFF2-40B4-BE49-F238E27FC236}">
              <a16:creationId xmlns:a16="http://schemas.microsoft.com/office/drawing/2014/main" id="{00000000-0008-0000-0100-000053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388" name="Drop Down -1022" hidden="1">
          <a:extLst>
            <a:ext uri="{FF2B5EF4-FFF2-40B4-BE49-F238E27FC236}">
              <a16:creationId xmlns:a16="http://schemas.microsoft.com/office/drawing/2014/main" id="{00000000-0008-0000-0100-000054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89" name="Drop Down 1" hidden="1">
          <a:extLst>
            <a:ext uri="{FF2B5EF4-FFF2-40B4-BE49-F238E27FC236}">
              <a16:creationId xmlns:a16="http://schemas.microsoft.com/office/drawing/2014/main" id="{00000000-0008-0000-0100-000055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90" name="Drop Down 1" hidden="1">
          <a:extLst>
            <a:ext uri="{FF2B5EF4-FFF2-40B4-BE49-F238E27FC236}">
              <a16:creationId xmlns:a16="http://schemas.microsoft.com/office/drawing/2014/main" id="{00000000-0008-0000-0100-000056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91" name="Drop Down 1" hidden="1">
          <a:extLst>
            <a:ext uri="{FF2B5EF4-FFF2-40B4-BE49-F238E27FC236}">
              <a16:creationId xmlns:a16="http://schemas.microsoft.com/office/drawing/2014/main" id="{00000000-0008-0000-0100-000057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92" name="Drop Down 1" hidden="1">
          <a:extLst>
            <a:ext uri="{FF2B5EF4-FFF2-40B4-BE49-F238E27FC236}">
              <a16:creationId xmlns:a16="http://schemas.microsoft.com/office/drawing/2014/main" id="{00000000-0008-0000-0100-000058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93" name="Drop Down 2" hidden="1">
          <a:extLst>
            <a:ext uri="{FF2B5EF4-FFF2-40B4-BE49-F238E27FC236}">
              <a16:creationId xmlns:a16="http://schemas.microsoft.com/office/drawing/2014/main" id="{00000000-0008-0000-0100-000059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94" name="Drop Down 1" hidden="1">
          <a:extLst>
            <a:ext uri="{FF2B5EF4-FFF2-40B4-BE49-F238E27FC236}">
              <a16:creationId xmlns:a16="http://schemas.microsoft.com/office/drawing/2014/main" id="{00000000-0008-0000-0100-00005A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395" name="Drop Down -1022" hidden="1">
          <a:extLst>
            <a:ext uri="{FF2B5EF4-FFF2-40B4-BE49-F238E27FC236}">
              <a16:creationId xmlns:a16="http://schemas.microsoft.com/office/drawing/2014/main" id="{00000000-0008-0000-0100-00005B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96" name="Drop Down 1" hidden="1">
          <a:extLst>
            <a:ext uri="{FF2B5EF4-FFF2-40B4-BE49-F238E27FC236}">
              <a16:creationId xmlns:a16="http://schemas.microsoft.com/office/drawing/2014/main" id="{00000000-0008-0000-0100-00005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97" name="Drop Down 1" hidden="1">
          <a:extLst>
            <a:ext uri="{FF2B5EF4-FFF2-40B4-BE49-F238E27FC236}">
              <a16:creationId xmlns:a16="http://schemas.microsoft.com/office/drawing/2014/main" id="{00000000-0008-0000-0100-00005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98" name="Drop Down 1" hidden="1">
          <a:extLst>
            <a:ext uri="{FF2B5EF4-FFF2-40B4-BE49-F238E27FC236}">
              <a16:creationId xmlns:a16="http://schemas.microsoft.com/office/drawing/2014/main" id="{00000000-0008-0000-0100-00005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399" name="Drop Down 1" hidden="1">
          <a:extLst>
            <a:ext uri="{FF2B5EF4-FFF2-40B4-BE49-F238E27FC236}">
              <a16:creationId xmlns:a16="http://schemas.microsoft.com/office/drawing/2014/main" id="{00000000-0008-0000-0100-00005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00" name="Drop Down 2" hidden="1">
          <a:extLst>
            <a:ext uri="{FF2B5EF4-FFF2-40B4-BE49-F238E27FC236}">
              <a16:creationId xmlns:a16="http://schemas.microsoft.com/office/drawing/2014/main" id="{00000000-0008-0000-0100-00006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01" name="Drop Down 1" hidden="1">
          <a:extLst>
            <a:ext uri="{FF2B5EF4-FFF2-40B4-BE49-F238E27FC236}">
              <a16:creationId xmlns:a16="http://schemas.microsoft.com/office/drawing/2014/main" id="{00000000-0008-0000-0100-00006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02" name="Drop Down -1022" hidden="1">
          <a:extLst>
            <a:ext uri="{FF2B5EF4-FFF2-40B4-BE49-F238E27FC236}">
              <a16:creationId xmlns:a16="http://schemas.microsoft.com/office/drawing/2014/main" id="{00000000-0008-0000-0100-00006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03" name="Drop Down 1" hidden="1">
          <a:extLst>
            <a:ext uri="{FF2B5EF4-FFF2-40B4-BE49-F238E27FC236}">
              <a16:creationId xmlns:a16="http://schemas.microsoft.com/office/drawing/2014/main" id="{00000000-0008-0000-0100-00006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04" name="Drop Down 1" hidden="1">
          <a:extLst>
            <a:ext uri="{FF2B5EF4-FFF2-40B4-BE49-F238E27FC236}">
              <a16:creationId xmlns:a16="http://schemas.microsoft.com/office/drawing/2014/main" id="{00000000-0008-0000-0100-00006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05" name="Drop Down 1" hidden="1">
          <a:extLst>
            <a:ext uri="{FF2B5EF4-FFF2-40B4-BE49-F238E27FC236}">
              <a16:creationId xmlns:a16="http://schemas.microsoft.com/office/drawing/2014/main" id="{00000000-0008-0000-0100-00006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06" name="Drop Down 1" hidden="1">
          <a:extLst>
            <a:ext uri="{FF2B5EF4-FFF2-40B4-BE49-F238E27FC236}">
              <a16:creationId xmlns:a16="http://schemas.microsoft.com/office/drawing/2014/main" id="{00000000-0008-0000-0100-00006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07" name="Drop Down 2" hidden="1">
          <a:extLst>
            <a:ext uri="{FF2B5EF4-FFF2-40B4-BE49-F238E27FC236}">
              <a16:creationId xmlns:a16="http://schemas.microsoft.com/office/drawing/2014/main" id="{00000000-0008-0000-0100-00006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08" name="Drop Down 1" hidden="1">
          <a:extLst>
            <a:ext uri="{FF2B5EF4-FFF2-40B4-BE49-F238E27FC236}">
              <a16:creationId xmlns:a16="http://schemas.microsoft.com/office/drawing/2014/main" id="{00000000-0008-0000-0100-000068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09" name="Drop Down -1022" hidden="1">
          <a:extLst>
            <a:ext uri="{FF2B5EF4-FFF2-40B4-BE49-F238E27FC236}">
              <a16:creationId xmlns:a16="http://schemas.microsoft.com/office/drawing/2014/main" id="{00000000-0008-0000-0100-000069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10" name="Drop Down 1" hidden="1">
          <a:extLst>
            <a:ext uri="{FF2B5EF4-FFF2-40B4-BE49-F238E27FC236}">
              <a16:creationId xmlns:a16="http://schemas.microsoft.com/office/drawing/2014/main" id="{00000000-0008-0000-0100-00006A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11" name="Drop Down 1" hidden="1">
          <a:extLst>
            <a:ext uri="{FF2B5EF4-FFF2-40B4-BE49-F238E27FC236}">
              <a16:creationId xmlns:a16="http://schemas.microsoft.com/office/drawing/2014/main" id="{00000000-0008-0000-0100-00006B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12" name="Drop Down 1" hidden="1">
          <a:extLst>
            <a:ext uri="{FF2B5EF4-FFF2-40B4-BE49-F238E27FC236}">
              <a16:creationId xmlns:a16="http://schemas.microsoft.com/office/drawing/2014/main" id="{00000000-0008-0000-0100-00006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13" name="Drop Down 1" hidden="1">
          <a:extLst>
            <a:ext uri="{FF2B5EF4-FFF2-40B4-BE49-F238E27FC236}">
              <a16:creationId xmlns:a16="http://schemas.microsoft.com/office/drawing/2014/main" id="{00000000-0008-0000-0100-00006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14" name="Drop Down 2" hidden="1">
          <a:extLst>
            <a:ext uri="{FF2B5EF4-FFF2-40B4-BE49-F238E27FC236}">
              <a16:creationId xmlns:a16="http://schemas.microsoft.com/office/drawing/2014/main" id="{00000000-0008-0000-0100-00006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15" name="Drop Down 1" hidden="1">
          <a:extLst>
            <a:ext uri="{FF2B5EF4-FFF2-40B4-BE49-F238E27FC236}">
              <a16:creationId xmlns:a16="http://schemas.microsoft.com/office/drawing/2014/main" id="{00000000-0008-0000-0100-00006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16" name="Drop Down -1022" hidden="1">
          <a:extLst>
            <a:ext uri="{FF2B5EF4-FFF2-40B4-BE49-F238E27FC236}">
              <a16:creationId xmlns:a16="http://schemas.microsoft.com/office/drawing/2014/main" id="{00000000-0008-0000-0100-00007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17" name="Drop Down 1" hidden="1">
          <a:extLst>
            <a:ext uri="{FF2B5EF4-FFF2-40B4-BE49-F238E27FC236}">
              <a16:creationId xmlns:a16="http://schemas.microsoft.com/office/drawing/2014/main" id="{00000000-0008-0000-0100-00007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18" name="Drop Down 1" hidden="1">
          <a:extLst>
            <a:ext uri="{FF2B5EF4-FFF2-40B4-BE49-F238E27FC236}">
              <a16:creationId xmlns:a16="http://schemas.microsoft.com/office/drawing/2014/main" id="{00000000-0008-0000-0100-00007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19" name="Drop Down 1" hidden="1">
          <a:extLst>
            <a:ext uri="{FF2B5EF4-FFF2-40B4-BE49-F238E27FC236}">
              <a16:creationId xmlns:a16="http://schemas.microsoft.com/office/drawing/2014/main" id="{00000000-0008-0000-0100-00007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20" name="Drop Down 1" hidden="1">
          <a:extLst>
            <a:ext uri="{FF2B5EF4-FFF2-40B4-BE49-F238E27FC236}">
              <a16:creationId xmlns:a16="http://schemas.microsoft.com/office/drawing/2014/main" id="{00000000-0008-0000-0100-00007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21" name="Drop Down 2" hidden="1">
          <a:extLst>
            <a:ext uri="{FF2B5EF4-FFF2-40B4-BE49-F238E27FC236}">
              <a16:creationId xmlns:a16="http://schemas.microsoft.com/office/drawing/2014/main" id="{00000000-0008-0000-0100-00007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22" name="Drop Down 1" hidden="1">
          <a:extLst>
            <a:ext uri="{FF2B5EF4-FFF2-40B4-BE49-F238E27FC236}">
              <a16:creationId xmlns:a16="http://schemas.microsoft.com/office/drawing/2014/main" id="{00000000-0008-0000-0100-00007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23" name="Drop Down -1022" hidden="1">
          <a:extLst>
            <a:ext uri="{FF2B5EF4-FFF2-40B4-BE49-F238E27FC236}">
              <a16:creationId xmlns:a16="http://schemas.microsoft.com/office/drawing/2014/main" id="{00000000-0008-0000-0100-00007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24" name="Drop Down 1" hidden="1">
          <a:extLst>
            <a:ext uri="{FF2B5EF4-FFF2-40B4-BE49-F238E27FC236}">
              <a16:creationId xmlns:a16="http://schemas.microsoft.com/office/drawing/2014/main" id="{00000000-0008-0000-0100-000078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25" name="Drop Down 1" hidden="1">
          <a:extLst>
            <a:ext uri="{FF2B5EF4-FFF2-40B4-BE49-F238E27FC236}">
              <a16:creationId xmlns:a16="http://schemas.microsoft.com/office/drawing/2014/main" id="{00000000-0008-0000-0100-000079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26" name="Drop Down 1" hidden="1">
          <a:extLst>
            <a:ext uri="{FF2B5EF4-FFF2-40B4-BE49-F238E27FC236}">
              <a16:creationId xmlns:a16="http://schemas.microsoft.com/office/drawing/2014/main" id="{00000000-0008-0000-0100-00007A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27" name="Drop Down 1" hidden="1">
          <a:extLst>
            <a:ext uri="{FF2B5EF4-FFF2-40B4-BE49-F238E27FC236}">
              <a16:creationId xmlns:a16="http://schemas.microsoft.com/office/drawing/2014/main" id="{00000000-0008-0000-0100-00007B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28" name="Drop Down 2" hidden="1">
          <a:extLst>
            <a:ext uri="{FF2B5EF4-FFF2-40B4-BE49-F238E27FC236}">
              <a16:creationId xmlns:a16="http://schemas.microsoft.com/office/drawing/2014/main" id="{00000000-0008-0000-0100-00007C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29" name="Drop Down 1" hidden="1">
          <a:extLst>
            <a:ext uri="{FF2B5EF4-FFF2-40B4-BE49-F238E27FC236}">
              <a16:creationId xmlns:a16="http://schemas.microsoft.com/office/drawing/2014/main" id="{00000000-0008-0000-0100-00007D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30" name="Drop Down -1022" hidden="1">
          <a:extLst>
            <a:ext uri="{FF2B5EF4-FFF2-40B4-BE49-F238E27FC236}">
              <a16:creationId xmlns:a16="http://schemas.microsoft.com/office/drawing/2014/main" id="{00000000-0008-0000-0100-00007E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31" name="Drop Down 1" hidden="1">
          <a:extLst>
            <a:ext uri="{FF2B5EF4-FFF2-40B4-BE49-F238E27FC236}">
              <a16:creationId xmlns:a16="http://schemas.microsoft.com/office/drawing/2014/main" id="{00000000-0008-0000-0100-00007F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32" name="Drop Down 1" hidden="1">
          <a:extLst>
            <a:ext uri="{FF2B5EF4-FFF2-40B4-BE49-F238E27FC236}">
              <a16:creationId xmlns:a16="http://schemas.microsoft.com/office/drawing/2014/main" id="{00000000-0008-0000-0100-000080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33" name="Drop Down 1" hidden="1">
          <a:extLst>
            <a:ext uri="{FF2B5EF4-FFF2-40B4-BE49-F238E27FC236}">
              <a16:creationId xmlns:a16="http://schemas.microsoft.com/office/drawing/2014/main" id="{00000000-0008-0000-0100-000081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34" name="Drop Down 1" hidden="1">
          <a:extLst>
            <a:ext uri="{FF2B5EF4-FFF2-40B4-BE49-F238E27FC236}">
              <a16:creationId xmlns:a16="http://schemas.microsoft.com/office/drawing/2014/main" id="{00000000-0008-0000-0100-000082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35" name="Drop Down 2" hidden="1">
          <a:extLst>
            <a:ext uri="{FF2B5EF4-FFF2-40B4-BE49-F238E27FC236}">
              <a16:creationId xmlns:a16="http://schemas.microsoft.com/office/drawing/2014/main" id="{00000000-0008-0000-0100-000083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36" name="Drop Down 1" hidden="1">
          <a:extLst>
            <a:ext uri="{FF2B5EF4-FFF2-40B4-BE49-F238E27FC236}">
              <a16:creationId xmlns:a16="http://schemas.microsoft.com/office/drawing/2014/main" id="{00000000-0008-0000-0100-000084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37" name="Drop Down -1022" hidden="1">
          <a:extLst>
            <a:ext uri="{FF2B5EF4-FFF2-40B4-BE49-F238E27FC236}">
              <a16:creationId xmlns:a16="http://schemas.microsoft.com/office/drawing/2014/main" id="{00000000-0008-0000-0100-000085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38" name="Drop Down 1" hidden="1">
          <a:extLst>
            <a:ext uri="{FF2B5EF4-FFF2-40B4-BE49-F238E27FC236}">
              <a16:creationId xmlns:a16="http://schemas.microsoft.com/office/drawing/2014/main" id="{00000000-0008-0000-0100-000086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39" name="Drop Down 1" hidden="1">
          <a:extLst>
            <a:ext uri="{FF2B5EF4-FFF2-40B4-BE49-F238E27FC236}">
              <a16:creationId xmlns:a16="http://schemas.microsoft.com/office/drawing/2014/main" id="{00000000-0008-0000-0100-000087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40" name="Drop Down 1" hidden="1">
          <a:extLst>
            <a:ext uri="{FF2B5EF4-FFF2-40B4-BE49-F238E27FC236}">
              <a16:creationId xmlns:a16="http://schemas.microsoft.com/office/drawing/2014/main" id="{00000000-0008-0000-0100-000088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41" name="Drop Down 1" hidden="1">
          <a:extLst>
            <a:ext uri="{FF2B5EF4-FFF2-40B4-BE49-F238E27FC236}">
              <a16:creationId xmlns:a16="http://schemas.microsoft.com/office/drawing/2014/main" id="{00000000-0008-0000-0100-000089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42" name="Drop Down 2" hidden="1">
          <a:extLst>
            <a:ext uri="{FF2B5EF4-FFF2-40B4-BE49-F238E27FC236}">
              <a16:creationId xmlns:a16="http://schemas.microsoft.com/office/drawing/2014/main" id="{00000000-0008-0000-0100-00008A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43" name="Drop Down 1" hidden="1">
          <a:extLst>
            <a:ext uri="{FF2B5EF4-FFF2-40B4-BE49-F238E27FC236}">
              <a16:creationId xmlns:a16="http://schemas.microsoft.com/office/drawing/2014/main" id="{00000000-0008-0000-0100-00008B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44" name="Drop Down -1022" hidden="1">
          <a:extLst>
            <a:ext uri="{FF2B5EF4-FFF2-40B4-BE49-F238E27FC236}">
              <a16:creationId xmlns:a16="http://schemas.microsoft.com/office/drawing/2014/main" id="{00000000-0008-0000-0100-00008C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45" name="Drop Down 1" hidden="1">
          <a:extLst>
            <a:ext uri="{FF2B5EF4-FFF2-40B4-BE49-F238E27FC236}">
              <a16:creationId xmlns:a16="http://schemas.microsoft.com/office/drawing/2014/main" id="{00000000-0008-0000-0100-00008D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46" name="Drop Down 1" hidden="1">
          <a:extLst>
            <a:ext uri="{FF2B5EF4-FFF2-40B4-BE49-F238E27FC236}">
              <a16:creationId xmlns:a16="http://schemas.microsoft.com/office/drawing/2014/main" id="{00000000-0008-0000-0100-00008E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47" name="Drop Down 1" hidden="1">
          <a:extLst>
            <a:ext uri="{FF2B5EF4-FFF2-40B4-BE49-F238E27FC236}">
              <a16:creationId xmlns:a16="http://schemas.microsoft.com/office/drawing/2014/main" id="{00000000-0008-0000-0100-00008F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48" name="Drop Down 1" hidden="1">
          <a:extLst>
            <a:ext uri="{FF2B5EF4-FFF2-40B4-BE49-F238E27FC236}">
              <a16:creationId xmlns:a16="http://schemas.microsoft.com/office/drawing/2014/main" id="{00000000-0008-0000-0100-000090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49" name="Drop Down 2" hidden="1">
          <a:extLst>
            <a:ext uri="{FF2B5EF4-FFF2-40B4-BE49-F238E27FC236}">
              <a16:creationId xmlns:a16="http://schemas.microsoft.com/office/drawing/2014/main" id="{00000000-0008-0000-0100-000091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50" name="Drop Down 1" hidden="1">
          <a:extLst>
            <a:ext uri="{FF2B5EF4-FFF2-40B4-BE49-F238E27FC236}">
              <a16:creationId xmlns:a16="http://schemas.microsoft.com/office/drawing/2014/main" id="{00000000-0008-0000-0100-000092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51" name="Drop Down -1022" hidden="1">
          <a:extLst>
            <a:ext uri="{FF2B5EF4-FFF2-40B4-BE49-F238E27FC236}">
              <a16:creationId xmlns:a16="http://schemas.microsoft.com/office/drawing/2014/main" id="{00000000-0008-0000-0100-000093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452" name="Drop Down 1" hidden="1">
          <a:extLst>
            <a:ext uri="{FF2B5EF4-FFF2-40B4-BE49-F238E27FC236}">
              <a16:creationId xmlns:a16="http://schemas.microsoft.com/office/drawing/2014/main" id="{00000000-0008-0000-0100-000094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453" name="Drop Down 1" hidden="1">
          <a:extLst>
            <a:ext uri="{FF2B5EF4-FFF2-40B4-BE49-F238E27FC236}">
              <a16:creationId xmlns:a16="http://schemas.microsoft.com/office/drawing/2014/main" id="{00000000-0008-0000-0100-000095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454" name="Drop Down 1" hidden="1">
          <a:extLst>
            <a:ext uri="{FF2B5EF4-FFF2-40B4-BE49-F238E27FC236}">
              <a16:creationId xmlns:a16="http://schemas.microsoft.com/office/drawing/2014/main" id="{00000000-0008-0000-0100-000096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455" name="Drop Down 1" hidden="1">
          <a:extLst>
            <a:ext uri="{FF2B5EF4-FFF2-40B4-BE49-F238E27FC236}">
              <a16:creationId xmlns:a16="http://schemas.microsoft.com/office/drawing/2014/main" id="{00000000-0008-0000-0100-000097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456" name="Drop Down 2" hidden="1">
          <a:extLst>
            <a:ext uri="{FF2B5EF4-FFF2-40B4-BE49-F238E27FC236}">
              <a16:creationId xmlns:a16="http://schemas.microsoft.com/office/drawing/2014/main" id="{00000000-0008-0000-0100-000098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457" name="Drop Down 1" hidden="1">
          <a:extLst>
            <a:ext uri="{FF2B5EF4-FFF2-40B4-BE49-F238E27FC236}">
              <a16:creationId xmlns:a16="http://schemas.microsoft.com/office/drawing/2014/main" id="{00000000-0008-0000-0100-000099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2458" name="Drop Down -1022" hidden="1">
          <a:extLst>
            <a:ext uri="{FF2B5EF4-FFF2-40B4-BE49-F238E27FC236}">
              <a16:creationId xmlns:a16="http://schemas.microsoft.com/office/drawing/2014/main" id="{00000000-0008-0000-0100-00009A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459" name="Drop Down 1" hidden="1">
          <a:extLst>
            <a:ext uri="{FF2B5EF4-FFF2-40B4-BE49-F238E27FC236}">
              <a16:creationId xmlns:a16="http://schemas.microsoft.com/office/drawing/2014/main" id="{00000000-0008-0000-0100-00009B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460" name="Drop Down 1" hidden="1">
          <a:extLst>
            <a:ext uri="{FF2B5EF4-FFF2-40B4-BE49-F238E27FC236}">
              <a16:creationId xmlns:a16="http://schemas.microsoft.com/office/drawing/2014/main" id="{00000000-0008-0000-0100-00009C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461" name="Drop Down 1" hidden="1">
          <a:extLst>
            <a:ext uri="{FF2B5EF4-FFF2-40B4-BE49-F238E27FC236}">
              <a16:creationId xmlns:a16="http://schemas.microsoft.com/office/drawing/2014/main" id="{00000000-0008-0000-0100-00009D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462" name="Drop Down 1" hidden="1">
          <a:extLst>
            <a:ext uri="{FF2B5EF4-FFF2-40B4-BE49-F238E27FC236}">
              <a16:creationId xmlns:a16="http://schemas.microsoft.com/office/drawing/2014/main" id="{00000000-0008-0000-0100-00009E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463" name="Drop Down 2" hidden="1">
          <a:extLst>
            <a:ext uri="{FF2B5EF4-FFF2-40B4-BE49-F238E27FC236}">
              <a16:creationId xmlns:a16="http://schemas.microsoft.com/office/drawing/2014/main" id="{00000000-0008-0000-0100-00009F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464" name="Drop Down 1" hidden="1">
          <a:extLst>
            <a:ext uri="{FF2B5EF4-FFF2-40B4-BE49-F238E27FC236}">
              <a16:creationId xmlns:a16="http://schemas.microsoft.com/office/drawing/2014/main" id="{00000000-0008-0000-0100-0000A0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2465" name="Drop Down -1022" hidden="1">
          <a:extLst>
            <a:ext uri="{FF2B5EF4-FFF2-40B4-BE49-F238E27FC236}">
              <a16:creationId xmlns:a16="http://schemas.microsoft.com/office/drawing/2014/main" id="{00000000-0008-0000-0100-0000A1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66" name="Drop Down 1" hidden="1">
          <a:extLst>
            <a:ext uri="{FF2B5EF4-FFF2-40B4-BE49-F238E27FC236}">
              <a16:creationId xmlns:a16="http://schemas.microsoft.com/office/drawing/2014/main" id="{00000000-0008-0000-0100-0000A2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67" name="Drop Down 1" hidden="1">
          <a:extLst>
            <a:ext uri="{FF2B5EF4-FFF2-40B4-BE49-F238E27FC236}">
              <a16:creationId xmlns:a16="http://schemas.microsoft.com/office/drawing/2014/main" id="{00000000-0008-0000-0100-0000A3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68" name="Drop Down 1" hidden="1">
          <a:extLst>
            <a:ext uri="{FF2B5EF4-FFF2-40B4-BE49-F238E27FC236}">
              <a16:creationId xmlns:a16="http://schemas.microsoft.com/office/drawing/2014/main" id="{00000000-0008-0000-0100-0000A4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69" name="Drop Down 1" hidden="1">
          <a:extLst>
            <a:ext uri="{FF2B5EF4-FFF2-40B4-BE49-F238E27FC236}">
              <a16:creationId xmlns:a16="http://schemas.microsoft.com/office/drawing/2014/main" id="{00000000-0008-0000-0100-0000A5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70" name="Drop Down 2" hidden="1">
          <a:extLst>
            <a:ext uri="{FF2B5EF4-FFF2-40B4-BE49-F238E27FC236}">
              <a16:creationId xmlns:a16="http://schemas.microsoft.com/office/drawing/2014/main" id="{00000000-0008-0000-0100-0000A6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71" name="Drop Down 1" hidden="1">
          <a:extLst>
            <a:ext uri="{FF2B5EF4-FFF2-40B4-BE49-F238E27FC236}">
              <a16:creationId xmlns:a16="http://schemas.microsoft.com/office/drawing/2014/main" id="{00000000-0008-0000-0100-0000A7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472" name="Drop Down -1022" hidden="1">
          <a:extLst>
            <a:ext uri="{FF2B5EF4-FFF2-40B4-BE49-F238E27FC236}">
              <a16:creationId xmlns:a16="http://schemas.microsoft.com/office/drawing/2014/main" id="{00000000-0008-0000-0100-0000A8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73" name="Drop Down 1" hidden="1">
          <a:extLst>
            <a:ext uri="{FF2B5EF4-FFF2-40B4-BE49-F238E27FC236}">
              <a16:creationId xmlns:a16="http://schemas.microsoft.com/office/drawing/2014/main" id="{00000000-0008-0000-0100-0000A9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74" name="Drop Down 1" hidden="1">
          <a:extLst>
            <a:ext uri="{FF2B5EF4-FFF2-40B4-BE49-F238E27FC236}">
              <a16:creationId xmlns:a16="http://schemas.microsoft.com/office/drawing/2014/main" id="{00000000-0008-0000-0100-0000AA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75" name="Drop Down 1" hidden="1">
          <a:extLst>
            <a:ext uri="{FF2B5EF4-FFF2-40B4-BE49-F238E27FC236}">
              <a16:creationId xmlns:a16="http://schemas.microsoft.com/office/drawing/2014/main" id="{00000000-0008-0000-0100-0000AB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76" name="Drop Down 1" hidden="1">
          <a:extLst>
            <a:ext uri="{FF2B5EF4-FFF2-40B4-BE49-F238E27FC236}">
              <a16:creationId xmlns:a16="http://schemas.microsoft.com/office/drawing/2014/main" id="{00000000-0008-0000-0100-0000AC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77" name="Drop Down 2" hidden="1">
          <a:extLst>
            <a:ext uri="{FF2B5EF4-FFF2-40B4-BE49-F238E27FC236}">
              <a16:creationId xmlns:a16="http://schemas.microsoft.com/office/drawing/2014/main" id="{00000000-0008-0000-0100-0000AD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78" name="Drop Down 1" hidden="1">
          <a:extLst>
            <a:ext uri="{FF2B5EF4-FFF2-40B4-BE49-F238E27FC236}">
              <a16:creationId xmlns:a16="http://schemas.microsoft.com/office/drawing/2014/main" id="{00000000-0008-0000-0100-0000AE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479" name="Drop Down -1022" hidden="1">
          <a:extLst>
            <a:ext uri="{FF2B5EF4-FFF2-40B4-BE49-F238E27FC236}">
              <a16:creationId xmlns:a16="http://schemas.microsoft.com/office/drawing/2014/main" id="{00000000-0008-0000-0100-0000AF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80" name="Drop Down 1" hidden="1">
          <a:extLst>
            <a:ext uri="{FF2B5EF4-FFF2-40B4-BE49-F238E27FC236}">
              <a16:creationId xmlns:a16="http://schemas.microsoft.com/office/drawing/2014/main" id="{00000000-0008-0000-0100-0000B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81" name="Drop Down 1" hidden="1">
          <a:extLst>
            <a:ext uri="{FF2B5EF4-FFF2-40B4-BE49-F238E27FC236}">
              <a16:creationId xmlns:a16="http://schemas.microsoft.com/office/drawing/2014/main" id="{00000000-0008-0000-0100-0000B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82" name="Drop Down 1" hidden="1">
          <a:extLst>
            <a:ext uri="{FF2B5EF4-FFF2-40B4-BE49-F238E27FC236}">
              <a16:creationId xmlns:a16="http://schemas.microsoft.com/office/drawing/2014/main" id="{00000000-0008-0000-0100-0000B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83" name="Drop Down 1" hidden="1">
          <a:extLst>
            <a:ext uri="{FF2B5EF4-FFF2-40B4-BE49-F238E27FC236}">
              <a16:creationId xmlns:a16="http://schemas.microsoft.com/office/drawing/2014/main" id="{00000000-0008-0000-0100-0000B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84" name="Drop Down 2" hidden="1">
          <a:extLst>
            <a:ext uri="{FF2B5EF4-FFF2-40B4-BE49-F238E27FC236}">
              <a16:creationId xmlns:a16="http://schemas.microsoft.com/office/drawing/2014/main" id="{00000000-0008-0000-0100-0000B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85" name="Drop Down 1" hidden="1">
          <a:extLst>
            <a:ext uri="{FF2B5EF4-FFF2-40B4-BE49-F238E27FC236}">
              <a16:creationId xmlns:a16="http://schemas.microsoft.com/office/drawing/2014/main" id="{00000000-0008-0000-0100-0000B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86" name="Drop Down -1022" hidden="1">
          <a:extLst>
            <a:ext uri="{FF2B5EF4-FFF2-40B4-BE49-F238E27FC236}">
              <a16:creationId xmlns:a16="http://schemas.microsoft.com/office/drawing/2014/main" id="{00000000-0008-0000-0100-0000B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87" name="Drop Down 1" hidden="1">
          <a:extLst>
            <a:ext uri="{FF2B5EF4-FFF2-40B4-BE49-F238E27FC236}">
              <a16:creationId xmlns:a16="http://schemas.microsoft.com/office/drawing/2014/main" id="{00000000-0008-0000-0100-0000B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88" name="Drop Down 1" hidden="1">
          <a:extLst>
            <a:ext uri="{FF2B5EF4-FFF2-40B4-BE49-F238E27FC236}">
              <a16:creationId xmlns:a16="http://schemas.microsoft.com/office/drawing/2014/main" id="{00000000-0008-0000-0100-0000B8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89" name="Drop Down 1" hidden="1">
          <a:extLst>
            <a:ext uri="{FF2B5EF4-FFF2-40B4-BE49-F238E27FC236}">
              <a16:creationId xmlns:a16="http://schemas.microsoft.com/office/drawing/2014/main" id="{00000000-0008-0000-0100-0000B9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90" name="Drop Down 1" hidden="1">
          <a:extLst>
            <a:ext uri="{FF2B5EF4-FFF2-40B4-BE49-F238E27FC236}">
              <a16:creationId xmlns:a16="http://schemas.microsoft.com/office/drawing/2014/main" id="{00000000-0008-0000-0100-0000BA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91" name="Drop Down 2" hidden="1">
          <a:extLst>
            <a:ext uri="{FF2B5EF4-FFF2-40B4-BE49-F238E27FC236}">
              <a16:creationId xmlns:a16="http://schemas.microsoft.com/office/drawing/2014/main" id="{00000000-0008-0000-0100-0000BB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92" name="Drop Down 1" hidden="1">
          <a:extLst>
            <a:ext uri="{FF2B5EF4-FFF2-40B4-BE49-F238E27FC236}">
              <a16:creationId xmlns:a16="http://schemas.microsoft.com/office/drawing/2014/main" id="{00000000-0008-0000-0100-0000B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493" name="Drop Down -1022" hidden="1">
          <a:extLst>
            <a:ext uri="{FF2B5EF4-FFF2-40B4-BE49-F238E27FC236}">
              <a16:creationId xmlns:a16="http://schemas.microsoft.com/office/drawing/2014/main" id="{00000000-0008-0000-0100-0000B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94" name="Drop Down 1" hidden="1">
          <a:extLst>
            <a:ext uri="{FF2B5EF4-FFF2-40B4-BE49-F238E27FC236}">
              <a16:creationId xmlns:a16="http://schemas.microsoft.com/office/drawing/2014/main" id="{00000000-0008-0000-0100-0000B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95" name="Drop Down 1" hidden="1">
          <a:extLst>
            <a:ext uri="{FF2B5EF4-FFF2-40B4-BE49-F238E27FC236}">
              <a16:creationId xmlns:a16="http://schemas.microsoft.com/office/drawing/2014/main" id="{00000000-0008-0000-0100-0000B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96" name="Drop Down 1" hidden="1">
          <a:extLst>
            <a:ext uri="{FF2B5EF4-FFF2-40B4-BE49-F238E27FC236}">
              <a16:creationId xmlns:a16="http://schemas.microsoft.com/office/drawing/2014/main" id="{00000000-0008-0000-0100-0000C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97" name="Drop Down 1" hidden="1">
          <a:extLst>
            <a:ext uri="{FF2B5EF4-FFF2-40B4-BE49-F238E27FC236}">
              <a16:creationId xmlns:a16="http://schemas.microsoft.com/office/drawing/2014/main" id="{00000000-0008-0000-0100-0000C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98" name="Drop Down 2" hidden="1">
          <a:extLst>
            <a:ext uri="{FF2B5EF4-FFF2-40B4-BE49-F238E27FC236}">
              <a16:creationId xmlns:a16="http://schemas.microsoft.com/office/drawing/2014/main" id="{00000000-0008-0000-0100-0000C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499" name="Drop Down 1" hidden="1">
          <a:extLst>
            <a:ext uri="{FF2B5EF4-FFF2-40B4-BE49-F238E27FC236}">
              <a16:creationId xmlns:a16="http://schemas.microsoft.com/office/drawing/2014/main" id="{00000000-0008-0000-0100-0000C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00" name="Drop Down -1022" hidden="1">
          <a:extLst>
            <a:ext uri="{FF2B5EF4-FFF2-40B4-BE49-F238E27FC236}">
              <a16:creationId xmlns:a16="http://schemas.microsoft.com/office/drawing/2014/main" id="{00000000-0008-0000-0100-0000C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01" name="Drop Down 1" hidden="1">
          <a:extLst>
            <a:ext uri="{FF2B5EF4-FFF2-40B4-BE49-F238E27FC236}">
              <a16:creationId xmlns:a16="http://schemas.microsoft.com/office/drawing/2014/main" id="{00000000-0008-0000-0100-0000C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02" name="Drop Down 1" hidden="1">
          <a:extLst>
            <a:ext uri="{FF2B5EF4-FFF2-40B4-BE49-F238E27FC236}">
              <a16:creationId xmlns:a16="http://schemas.microsoft.com/office/drawing/2014/main" id="{00000000-0008-0000-0100-0000C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03" name="Drop Down 1" hidden="1">
          <a:extLst>
            <a:ext uri="{FF2B5EF4-FFF2-40B4-BE49-F238E27FC236}">
              <a16:creationId xmlns:a16="http://schemas.microsoft.com/office/drawing/2014/main" id="{00000000-0008-0000-0100-0000C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04" name="Drop Down 1" hidden="1">
          <a:extLst>
            <a:ext uri="{FF2B5EF4-FFF2-40B4-BE49-F238E27FC236}">
              <a16:creationId xmlns:a16="http://schemas.microsoft.com/office/drawing/2014/main" id="{00000000-0008-0000-0100-0000C8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05" name="Drop Down 2" hidden="1">
          <a:extLst>
            <a:ext uri="{FF2B5EF4-FFF2-40B4-BE49-F238E27FC236}">
              <a16:creationId xmlns:a16="http://schemas.microsoft.com/office/drawing/2014/main" id="{00000000-0008-0000-0100-0000C9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06" name="Drop Down 1" hidden="1">
          <a:extLst>
            <a:ext uri="{FF2B5EF4-FFF2-40B4-BE49-F238E27FC236}">
              <a16:creationId xmlns:a16="http://schemas.microsoft.com/office/drawing/2014/main" id="{00000000-0008-0000-0100-0000CA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07" name="Drop Down -1022" hidden="1">
          <a:extLst>
            <a:ext uri="{FF2B5EF4-FFF2-40B4-BE49-F238E27FC236}">
              <a16:creationId xmlns:a16="http://schemas.microsoft.com/office/drawing/2014/main" id="{00000000-0008-0000-0100-0000CB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08" name="Drop Down 1" hidden="1">
          <a:extLst>
            <a:ext uri="{FF2B5EF4-FFF2-40B4-BE49-F238E27FC236}">
              <a16:creationId xmlns:a16="http://schemas.microsoft.com/office/drawing/2014/main" id="{00000000-0008-0000-0100-0000C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09" name="Drop Down 1" hidden="1">
          <a:extLst>
            <a:ext uri="{FF2B5EF4-FFF2-40B4-BE49-F238E27FC236}">
              <a16:creationId xmlns:a16="http://schemas.microsoft.com/office/drawing/2014/main" id="{00000000-0008-0000-0100-0000C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10" name="Drop Down 1" hidden="1">
          <a:extLst>
            <a:ext uri="{FF2B5EF4-FFF2-40B4-BE49-F238E27FC236}">
              <a16:creationId xmlns:a16="http://schemas.microsoft.com/office/drawing/2014/main" id="{00000000-0008-0000-0100-0000C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11" name="Drop Down 1" hidden="1">
          <a:extLst>
            <a:ext uri="{FF2B5EF4-FFF2-40B4-BE49-F238E27FC236}">
              <a16:creationId xmlns:a16="http://schemas.microsoft.com/office/drawing/2014/main" id="{00000000-0008-0000-0100-0000C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12" name="Drop Down 2" hidden="1">
          <a:extLst>
            <a:ext uri="{FF2B5EF4-FFF2-40B4-BE49-F238E27FC236}">
              <a16:creationId xmlns:a16="http://schemas.microsoft.com/office/drawing/2014/main" id="{00000000-0008-0000-0100-0000D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13" name="Drop Down 1" hidden="1">
          <a:extLst>
            <a:ext uri="{FF2B5EF4-FFF2-40B4-BE49-F238E27FC236}">
              <a16:creationId xmlns:a16="http://schemas.microsoft.com/office/drawing/2014/main" id="{00000000-0008-0000-0100-0000D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14" name="Drop Down -1022" hidden="1">
          <a:extLst>
            <a:ext uri="{FF2B5EF4-FFF2-40B4-BE49-F238E27FC236}">
              <a16:creationId xmlns:a16="http://schemas.microsoft.com/office/drawing/2014/main" id="{00000000-0008-0000-0100-0000D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15" name="Drop Down 1" hidden="1">
          <a:extLst>
            <a:ext uri="{FF2B5EF4-FFF2-40B4-BE49-F238E27FC236}">
              <a16:creationId xmlns:a16="http://schemas.microsoft.com/office/drawing/2014/main" id="{00000000-0008-0000-0100-0000D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16" name="Drop Down 1" hidden="1">
          <a:extLst>
            <a:ext uri="{FF2B5EF4-FFF2-40B4-BE49-F238E27FC236}">
              <a16:creationId xmlns:a16="http://schemas.microsoft.com/office/drawing/2014/main" id="{00000000-0008-0000-0100-0000D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17" name="Drop Down 1" hidden="1">
          <a:extLst>
            <a:ext uri="{FF2B5EF4-FFF2-40B4-BE49-F238E27FC236}">
              <a16:creationId xmlns:a16="http://schemas.microsoft.com/office/drawing/2014/main" id="{00000000-0008-0000-0100-0000D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18" name="Drop Down 1" hidden="1">
          <a:extLst>
            <a:ext uri="{FF2B5EF4-FFF2-40B4-BE49-F238E27FC236}">
              <a16:creationId xmlns:a16="http://schemas.microsoft.com/office/drawing/2014/main" id="{00000000-0008-0000-0100-0000D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19" name="Drop Down 2" hidden="1">
          <a:extLst>
            <a:ext uri="{FF2B5EF4-FFF2-40B4-BE49-F238E27FC236}">
              <a16:creationId xmlns:a16="http://schemas.microsoft.com/office/drawing/2014/main" id="{00000000-0008-0000-0100-0000D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20" name="Drop Down 1" hidden="1">
          <a:extLst>
            <a:ext uri="{FF2B5EF4-FFF2-40B4-BE49-F238E27FC236}">
              <a16:creationId xmlns:a16="http://schemas.microsoft.com/office/drawing/2014/main" id="{00000000-0008-0000-0100-0000D8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21" name="Drop Down -1022" hidden="1">
          <a:extLst>
            <a:ext uri="{FF2B5EF4-FFF2-40B4-BE49-F238E27FC236}">
              <a16:creationId xmlns:a16="http://schemas.microsoft.com/office/drawing/2014/main" id="{00000000-0008-0000-0100-0000D9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22" name="Drop Down 1" hidden="1">
          <a:extLst>
            <a:ext uri="{FF2B5EF4-FFF2-40B4-BE49-F238E27FC236}">
              <a16:creationId xmlns:a16="http://schemas.microsoft.com/office/drawing/2014/main" id="{00000000-0008-0000-0100-0000DA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23" name="Drop Down 1" hidden="1">
          <a:extLst>
            <a:ext uri="{FF2B5EF4-FFF2-40B4-BE49-F238E27FC236}">
              <a16:creationId xmlns:a16="http://schemas.microsoft.com/office/drawing/2014/main" id="{00000000-0008-0000-0100-0000DB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24" name="Drop Down 1" hidden="1">
          <a:extLst>
            <a:ext uri="{FF2B5EF4-FFF2-40B4-BE49-F238E27FC236}">
              <a16:creationId xmlns:a16="http://schemas.microsoft.com/office/drawing/2014/main" id="{00000000-0008-0000-0100-0000DC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25" name="Drop Down 1" hidden="1">
          <a:extLst>
            <a:ext uri="{FF2B5EF4-FFF2-40B4-BE49-F238E27FC236}">
              <a16:creationId xmlns:a16="http://schemas.microsoft.com/office/drawing/2014/main" id="{00000000-0008-0000-0100-0000DD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26" name="Drop Down 2" hidden="1">
          <a:extLst>
            <a:ext uri="{FF2B5EF4-FFF2-40B4-BE49-F238E27FC236}">
              <a16:creationId xmlns:a16="http://schemas.microsoft.com/office/drawing/2014/main" id="{00000000-0008-0000-0100-0000DE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27" name="Drop Down 1" hidden="1">
          <a:extLst>
            <a:ext uri="{FF2B5EF4-FFF2-40B4-BE49-F238E27FC236}">
              <a16:creationId xmlns:a16="http://schemas.microsoft.com/office/drawing/2014/main" id="{00000000-0008-0000-0100-0000DF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28" name="Drop Down -1022" hidden="1">
          <a:extLst>
            <a:ext uri="{FF2B5EF4-FFF2-40B4-BE49-F238E27FC236}">
              <a16:creationId xmlns:a16="http://schemas.microsoft.com/office/drawing/2014/main" id="{00000000-0008-0000-0100-0000E0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29" name="Drop Down 1" hidden="1">
          <a:extLst>
            <a:ext uri="{FF2B5EF4-FFF2-40B4-BE49-F238E27FC236}">
              <a16:creationId xmlns:a16="http://schemas.microsoft.com/office/drawing/2014/main" id="{00000000-0008-0000-0100-0000E1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30" name="Drop Down 1" hidden="1">
          <a:extLst>
            <a:ext uri="{FF2B5EF4-FFF2-40B4-BE49-F238E27FC236}">
              <a16:creationId xmlns:a16="http://schemas.microsoft.com/office/drawing/2014/main" id="{00000000-0008-0000-0100-0000E2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31" name="Drop Down 1" hidden="1">
          <a:extLst>
            <a:ext uri="{FF2B5EF4-FFF2-40B4-BE49-F238E27FC236}">
              <a16:creationId xmlns:a16="http://schemas.microsoft.com/office/drawing/2014/main" id="{00000000-0008-0000-0100-0000E3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32" name="Drop Down 1" hidden="1">
          <a:extLst>
            <a:ext uri="{FF2B5EF4-FFF2-40B4-BE49-F238E27FC236}">
              <a16:creationId xmlns:a16="http://schemas.microsoft.com/office/drawing/2014/main" id="{00000000-0008-0000-0100-0000E4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33" name="Drop Down 2" hidden="1">
          <a:extLst>
            <a:ext uri="{FF2B5EF4-FFF2-40B4-BE49-F238E27FC236}">
              <a16:creationId xmlns:a16="http://schemas.microsoft.com/office/drawing/2014/main" id="{00000000-0008-0000-0100-0000E5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34" name="Drop Down 1" hidden="1">
          <a:extLst>
            <a:ext uri="{FF2B5EF4-FFF2-40B4-BE49-F238E27FC236}">
              <a16:creationId xmlns:a16="http://schemas.microsoft.com/office/drawing/2014/main" id="{00000000-0008-0000-0100-0000E6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35" name="Drop Down -1022" hidden="1">
          <a:extLst>
            <a:ext uri="{FF2B5EF4-FFF2-40B4-BE49-F238E27FC236}">
              <a16:creationId xmlns:a16="http://schemas.microsoft.com/office/drawing/2014/main" id="{00000000-0008-0000-0100-0000E709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36" name="Drop Down 1" hidden="1">
          <a:extLst>
            <a:ext uri="{FF2B5EF4-FFF2-40B4-BE49-F238E27FC236}">
              <a16:creationId xmlns:a16="http://schemas.microsoft.com/office/drawing/2014/main" id="{00000000-0008-0000-0100-0000E8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37" name="Drop Down 1" hidden="1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38" name="Drop Down 1" hidden="1">
          <a:extLst>
            <a:ext uri="{FF2B5EF4-FFF2-40B4-BE49-F238E27FC236}">
              <a16:creationId xmlns:a16="http://schemas.microsoft.com/office/drawing/2014/main" id="{00000000-0008-0000-0100-0000EA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39" name="Drop Down 1" hidden="1">
          <a:extLst>
            <a:ext uri="{FF2B5EF4-FFF2-40B4-BE49-F238E27FC236}">
              <a16:creationId xmlns:a16="http://schemas.microsoft.com/office/drawing/2014/main" id="{00000000-0008-0000-0100-0000EB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40" name="Drop Down 2" hidden="1">
          <a:extLst>
            <a:ext uri="{FF2B5EF4-FFF2-40B4-BE49-F238E27FC236}">
              <a16:creationId xmlns:a16="http://schemas.microsoft.com/office/drawing/2014/main" id="{00000000-0008-0000-0100-0000EC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41" name="Drop Down 1" hidden="1">
          <a:extLst>
            <a:ext uri="{FF2B5EF4-FFF2-40B4-BE49-F238E27FC236}">
              <a16:creationId xmlns:a16="http://schemas.microsoft.com/office/drawing/2014/main" id="{00000000-0008-0000-0100-0000ED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42" name="Drop Down -1022" hidden="1">
          <a:extLst>
            <a:ext uri="{FF2B5EF4-FFF2-40B4-BE49-F238E27FC236}">
              <a16:creationId xmlns:a16="http://schemas.microsoft.com/office/drawing/2014/main" id="{00000000-0008-0000-0100-0000EE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43" name="Drop Down 1" hidden="1">
          <a:extLst>
            <a:ext uri="{FF2B5EF4-FFF2-40B4-BE49-F238E27FC236}">
              <a16:creationId xmlns:a16="http://schemas.microsoft.com/office/drawing/2014/main" id="{00000000-0008-0000-0100-0000EF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44" name="Drop Down 1" hidden="1">
          <a:extLst>
            <a:ext uri="{FF2B5EF4-FFF2-40B4-BE49-F238E27FC236}">
              <a16:creationId xmlns:a16="http://schemas.microsoft.com/office/drawing/2014/main" id="{00000000-0008-0000-0100-0000F0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45" name="Drop Down 1" hidden="1">
          <a:extLst>
            <a:ext uri="{FF2B5EF4-FFF2-40B4-BE49-F238E27FC236}">
              <a16:creationId xmlns:a16="http://schemas.microsoft.com/office/drawing/2014/main" id="{00000000-0008-0000-0100-0000F1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46" name="Drop Down 1" hidden="1">
          <a:extLst>
            <a:ext uri="{FF2B5EF4-FFF2-40B4-BE49-F238E27FC236}">
              <a16:creationId xmlns:a16="http://schemas.microsoft.com/office/drawing/2014/main" id="{00000000-0008-0000-0100-0000F2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47" name="Drop Down 2" hidden="1">
          <a:extLst>
            <a:ext uri="{FF2B5EF4-FFF2-40B4-BE49-F238E27FC236}">
              <a16:creationId xmlns:a16="http://schemas.microsoft.com/office/drawing/2014/main" id="{00000000-0008-0000-0100-0000F3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48" name="Drop Down 1" hidden="1">
          <a:extLst>
            <a:ext uri="{FF2B5EF4-FFF2-40B4-BE49-F238E27FC236}">
              <a16:creationId xmlns:a16="http://schemas.microsoft.com/office/drawing/2014/main" id="{00000000-0008-0000-0100-0000F4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49" name="Drop Down -1022" hidden="1">
          <a:extLst>
            <a:ext uri="{FF2B5EF4-FFF2-40B4-BE49-F238E27FC236}">
              <a16:creationId xmlns:a16="http://schemas.microsoft.com/office/drawing/2014/main" id="{00000000-0008-0000-0100-0000F5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50" name="Drop Down 1" hidden="1">
          <a:extLst>
            <a:ext uri="{FF2B5EF4-FFF2-40B4-BE49-F238E27FC236}">
              <a16:creationId xmlns:a16="http://schemas.microsoft.com/office/drawing/2014/main" id="{00000000-0008-0000-0100-0000F6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51" name="Drop Down 1" hidden="1">
          <a:extLst>
            <a:ext uri="{FF2B5EF4-FFF2-40B4-BE49-F238E27FC236}">
              <a16:creationId xmlns:a16="http://schemas.microsoft.com/office/drawing/2014/main" id="{00000000-0008-0000-0100-0000F7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52" name="Drop Down 1" hidden="1">
          <a:extLst>
            <a:ext uri="{FF2B5EF4-FFF2-40B4-BE49-F238E27FC236}">
              <a16:creationId xmlns:a16="http://schemas.microsoft.com/office/drawing/2014/main" id="{00000000-0008-0000-0100-0000F8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53" name="Drop Down 1" hidden="1">
          <a:extLst>
            <a:ext uri="{FF2B5EF4-FFF2-40B4-BE49-F238E27FC236}">
              <a16:creationId xmlns:a16="http://schemas.microsoft.com/office/drawing/2014/main" id="{00000000-0008-0000-0100-0000F9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54" name="Drop Down 2" hidden="1">
          <a:extLst>
            <a:ext uri="{FF2B5EF4-FFF2-40B4-BE49-F238E27FC236}">
              <a16:creationId xmlns:a16="http://schemas.microsoft.com/office/drawing/2014/main" id="{00000000-0008-0000-0100-0000FA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55" name="Drop Down 1" hidden="1">
          <a:extLst>
            <a:ext uri="{FF2B5EF4-FFF2-40B4-BE49-F238E27FC236}">
              <a16:creationId xmlns:a16="http://schemas.microsoft.com/office/drawing/2014/main" id="{00000000-0008-0000-0100-0000FB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56" name="Drop Down -1022" hidden="1">
          <a:extLst>
            <a:ext uri="{FF2B5EF4-FFF2-40B4-BE49-F238E27FC236}">
              <a16:creationId xmlns:a16="http://schemas.microsoft.com/office/drawing/2014/main" id="{00000000-0008-0000-0100-0000FC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57" name="Drop Down 1" hidden="1">
          <a:extLst>
            <a:ext uri="{FF2B5EF4-FFF2-40B4-BE49-F238E27FC236}">
              <a16:creationId xmlns:a16="http://schemas.microsoft.com/office/drawing/2014/main" id="{00000000-0008-0000-0100-0000FD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58" name="Drop Down 1" hidden="1">
          <a:extLst>
            <a:ext uri="{FF2B5EF4-FFF2-40B4-BE49-F238E27FC236}">
              <a16:creationId xmlns:a16="http://schemas.microsoft.com/office/drawing/2014/main" id="{00000000-0008-0000-0100-0000FE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59" name="Drop Down 1" hidden="1">
          <a:extLst>
            <a:ext uri="{FF2B5EF4-FFF2-40B4-BE49-F238E27FC236}">
              <a16:creationId xmlns:a16="http://schemas.microsoft.com/office/drawing/2014/main" id="{00000000-0008-0000-0100-0000FF09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60" name="Drop Down 1" hidden="1">
          <a:extLst>
            <a:ext uri="{FF2B5EF4-FFF2-40B4-BE49-F238E27FC236}">
              <a16:creationId xmlns:a16="http://schemas.microsoft.com/office/drawing/2014/main" id="{00000000-0008-0000-0100-000000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61" name="Drop Down 2" hidden="1">
          <a:extLst>
            <a:ext uri="{FF2B5EF4-FFF2-40B4-BE49-F238E27FC236}">
              <a16:creationId xmlns:a16="http://schemas.microsoft.com/office/drawing/2014/main" id="{00000000-0008-0000-0100-000001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62" name="Drop Down 1" hidden="1">
          <a:extLst>
            <a:ext uri="{FF2B5EF4-FFF2-40B4-BE49-F238E27FC236}">
              <a16:creationId xmlns:a16="http://schemas.microsoft.com/office/drawing/2014/main" id="{00000000-0008-0000-0100-000002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63" name="Drop Down -1022" hidden="1">
          <a:extLst>
            <a:ext uri="{FF2B5EF4-FFF2-40B4-BE49-F238E27FC236}">
              <a16:creationId xmlns:a16="http://schemas.microsoft.com/office/drawing/2014/main" id="{00000000-0008-0000-0100-000003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64" name="Drop Down 1" hidden="1">
          <a:extLst>
            <a:ext uri="{FF2B5EF4-FFF2-40B4-BE49-F238E27FC236}">
              <a16:creationId xmlns:a16="http://schemas.microsoft.com/office/drawing/2014/main" id="{00000000-0008-0000-0100-00000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65" name="Drop Down 1" hidden="1">
          <a:extLst>
            <a:ext uri="{FF2B5EF4-FFF2-40B4-BE49-F238E27FC236}">
              <a16:creationId xmlns:a16="http://schemas.microsoft.com/office/drawing/2014/main" id="{00000000-0008-0000-0100-00000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66" name="Drop Down 1" hidden="1">
          <a:extLst>
            <a:ext uri="{FF2B5EF4-FFF2-40B4-BE49-F238E27FC236}">
              <a16:creationId xmlns:a16="http://schemas.microsoft.com/office/drawing/2014/main" id="{00000000-0008-0000-0100-00000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67" name="Drop Down 1" hidden="1">
          <a:extLst>
            <a:ext uri="{FF2B5EF4-FFF2-40B4-BE49-F238E27FC236}">
              <a16:creationId xmlns:a16="http://schemas.microsoft.com/office/drawing/2014/main" id="{00000000-0008-0000-0100-00000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68" name="Drop Down 2" hidden="1">
          <a:extLst>
            <a:ext uri="{FF2B5EF4-FFF2-40B4-BE49-F238E27FC236}">
              <a16:creationId xmlns:a16="http://schemas.microsoft.com/office/drawing/2014/main" id="{00000000-0008-0000-0100-00000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69" name="Drop Down 1" hidden="1">
          <a:extLst>
            <a:ext uri="{FF2B5EF4-FFF2-40B4-BE49-F238E27FC236}">
              <a16:creationId xmlns:a16="http://schemas.microsoft.com/office/drawing/2014/main" id="{00000000-0008-0000-0100-00000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70" name="Drop Down -1022" hidden="1">
          <a:extLst>
            <a:ext uri="{FF2B5EF4-FFF2-40B4-BE49-F238E27FC236}">
              <a16:creationId xmlns:a16="http://schemas.microsoft.com/office/drawing/2014/main" id="{00000000-0008-0000-0100-00000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71" name="Drop Down 1" hidden="1">
          <a:extLst>
            <a:ext uri="{FF2B5EF4-FFF2-40B4-BE49-F238E27FC236}">
              <a16:creationId xmlns:a16="http://schemas.microsoft.com/office/drawing/2014/main" id="{00000000-0008-0000-0100-00000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72" name="Drop Down 1" hidden="1">
          <a:extLst>
            <a:ext uri="{FF2B5EF4-FFF2-40B4-BE49-F238E27FC236}">
              <a16:creationId xmlns:a16="http://schemas.microsoft.com/office/drawing/2014/main" id="{00000000-0008-0000-0100-00000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73" name="Drop Down 1" hidden="1">
          <a:extLst>
            <a:ext uri="{FF2B5EF4-FFF2-40B4-BE49-F238E27FC236}">
              <a16:creationId xmlns:a16="http://schemas.microsoft.com/office/drawing/2014/main" id="{00000000-0008-0000-0100-00000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74" name="Drop Down 1" hidden="1">
          <a:extLst>
            <a:ext uri="{FF2B5EF4-FFF2-40B4-BE49-F238E27FC236}">
              <a16:creationId xmlns:a16="http://schemas.microsoft.com/office/drawing/2014/main" id="{00000000-0008-0000-0100-00000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75" name="Drop Down 2" hidden="1">
          <a:extLst>
            <a:ext uri="{FF2B5EF4-FFF2-40B4-BE49-F238E27FC236}">
              <a16:creationId xmlns:a16="http://schemas.microsoft.com/office/drawing/2014/main" id="{00000000-0008-0000-0100-00000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76" name="Drop Down 1" hidden="1">
          <a:extLst>
            <a:ext uri="{FF2B5EF4-FFF2-40B4-BE49-F238E27FC236}">
              <a16:creationId xmlns:a16="http://schemas.microsoft.com/office/drawing/2014/main" id="{00000000-0008-0000-0100-00001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77" name="Drop Down -1022" hidden="1">
          <a:extLst>
            <a:ext uri="{FF2B5EF4-FFF2-40B4-BE49-F238E27FC236}">
              <a16:creationId xmlns:a16="http://schemas.microsoft.com/office/drawing/2014/main" id="{00000000-0008-0000-0100-00001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78" name="Drop Down 1" hidden="1">
          <a:extLst>
            <a:ext uri="{FF2B5EF4-FFF2-40B4-BE49-F238E27FC236}">
              <a16:creationId xmlns:a16="http://schemas.microsoft.com/office/drawing/2014/main" id="{00000000-0008-0000-0100-00001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79" name="Drop Down 1" hidden="1">
          <a:extLst>
            <a:ext uri="{FF2B5EF4-FFF2-40B4-BE49-F238E27FC236}">
              <a16:creationId xmlns:a16="http://schemas.microsoft.com/office/drawing/2014/main" id="{00000000-0008-0000-0100-00001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80" name="Drop Down 1" hidden="1">
          <a:extLst>
            <a:ext uri="{FF2B5EF4-FFF2-40B4-BE49-F238E27FC236}">
              <a16:creationId xmlns:a16="http://schemas.microsoft.com/office/drawing/2014/main" id="{00000000-0008-0000-0100-00001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81" name="Drop Down 1" hidden="1">
          <a:extLst>
            <a:ext uri="{FF2B5EF4-FFF2-40B4-BE49-F238E27FC236}">
              <a16:creationId xmlns:a16="http://schemas.microsoft.com/office/drawing/2014/main" id="{00000000-0008-0000-0100-00001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82" name="Drop Down 2" hidden="1">
          <a:extLst>
            <a:ext uri="{FF2B5EF4-FFF2-40B4-BE49-F238E27FC236}">
              <a16:creationId xmlns:a16="http://schemas.microsoft.com/office/drawing/2014/main" id="{00000000-0008-0000-0100-00001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83" name="Drop Down 1" hidden="1">
          <a:extLst>
            <a:ext uri="{FF2B5EF4-FFF2-40B4-BE49-F238E27FC236}">
              <a16:creationId xmlns:a16="http://schemas.microsoft.com/office/drawing/2014/main" id="{00000000-0008-0000-0100-00001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584" name="Drop Down -1022" hidden="1">
          <a:extLst>
            <a:ext uri="{FF2B5EF4-FFF2-40B4-BE49-F238E27FC236}">
              <a16:creationId xmlns:a16="http://schemas.microsoft.com/office/drawing/2014/main" id="{00000000-0008-0000-0100-00001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85" name="Drop Down 1" hidden="1">
          <a:extLst>
            <a:ext uri="{FF2B5EF4-FFF2-40B4-BE49-F238E27FC236}">
              <a16:creationId xmlns:a16="http://schemas.microsoft.com/office/drawing/2014/main" id="{00000000-0008-0000-0100-00001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86" name="Drop Down 1" hidden="1">
          <a:extLst>
            <a:ext uri="{FF2B5EF4-FFF2-40B4-BE49-F238E27FC236}">
              <a16:creationId xmlns:a16="http://schemas.microsoft.com/office/drawing/2014/main" id="{00000000-0008-0000-0100-00001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87" name="Drop Down 1" hidden="1">
          <a:extLst>
            <a:ext uri="{FF2B5EF4-FFF2-40B4-BE49-F238E27FC236}">
              <a16:creationId xmlns:a16="http://schemas.microsoft.com/office/drawing/2014/main" id="{00000000-0008-0000-0100-00001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88" name="Drop Down 1" hidden="1">
          <a:extLst>
            <a:ext uri="{FF2B5EF4-FFF2-40B4-BE49-F238E27FC236}">
              <a16:creationId xmlns:a16="http://schemas.microsoft.com/office/drawing/2014/main" id="{00000000-0008-0000-0100-00001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89" name="Drop Down 2" hidden="1">
          <a:extLst>
            <a:ext uri="{FF2B5EF4-FFF2-40B4-BE49-F238E27FC236}">
              <a16:creationId xmlns:a16="http://schemas.microsoft.com/office/drawing/2014/main" id="{00000000-0008-0000-0100-00001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90" name="Drop Down 1" hidden="1">
          <a:extLst>
            <a:ext uri="{FF2B5EF4-FFF2-40B4-BE49-F238E27FC236}">
              <a16:creationId xmlns:a16="http://schemas.microsoft.com/office/drawing/2014/main" id="{00000000-0008-0000-0100-00001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591" name="Drop Down -1022" hidden="1">
          <a:extLst>
            <a:ext uri="{FF2B5EF4-FFF2-40B4-BE49-F238E27FC236}">
              <a16:creationId xmlns:a16="http://schemas.microsoft.com/office/drawing/2014/main" id="{00000000-0008-0000-0100-00001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92" name="Drop Down 1" hidden="1">
          <a:extLst>
            <a:ext uri="{FF2B5EF4-FFF2-40B4-BE49-F238E27FC236}">
              <a16:creationId xmlns:a16="http://schemas.microsoft.com/office/drawing/2014/main" id="{00000000-0008-0000-0100-000020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93" name="Drop Down 1" hidden="1">
          <a:extLst>
            <a:ext uri="{FF2B5EF4-FFF2-40B4-BE49-F238E27FC236}">
              <a16:creationId xmlns:a16="http://schemas.microsoft.com/office/drawing/2014/main" id="{00000000-0008-0000-0100-000021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94" name="Drop Down 1" hidden="1">
          <a:extLst>
            <a:ext uri="{FF2B5EF4-FFF2-40B4-BE49-F238E27FC236}">
              <a16:creationId xmlns:a16="http://schemas.microsoft.com/office/drawing/2014/main" id="{00000000-0008-0000-0100-000022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95" name="Drop Down 1" hidden="1">
          <a:extLst>
            <a:ext uri="{FF2B5EF4-FFF2-40B4-BE49-F238E27FC236}">
              <a16:creationId xmlns:a16="http://schemas.microsoft.com/office/drawing/2014/main" id="{00000000-0008-0000-0100-000023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96" name="Drop Down 2" hidden="1">
          <a:extLst>
            <a:ext uri="{FF2B5EF4-FFF2-40B4-BE49-F238E27FC236}">
              <a16:creationId xmlns:a16="http://schemas.microsoft.com/office/drawing/2014/main" id="{00000000-0008-0000-0100-000024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97" name="Drop Down 1" hidden="1">
          <a:extLst>
            <a:ext uri="{FF2B5EF4-FFF2-40B4-BE49-F238E27FC236}">
              <a16:creationId xmlns:a16="http://schemas.microsoft.com/office/drawing/2014/main" id="{00000000-0008-0000-0100-000025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598" name="Drop Down -1022" hidden="1">
          <a:extLst>
            <a:ext uri="{FF2B5EF4-FFF2-40B4-BE49-F238E27FC236}">
              <a16:creationId xmlns:a16="http://schemas.microsoft.com/office/drawing/2014/main" id="{00000000-0008-0000-0100-000026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599" name="Drop Down 1" hidden="1">
          <a:extLst>
            <a:ext uri="{FF2B5EF4-FFF2-40B4-BE49-F238E27FC236}">
              <a16:creationId xmlns:a16="http://schemas.microsoft.com/office/drawing/2014/main" id="{00000000-0008-0000-0100-000027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00" name="Drop Down 1" hidden="1">
          <a:extLst>
            <a:ext uri="{FF2B5EF4-FFF2-40B4-BE49-F238E27FC236}">
              <a16:creationId xmlns:a16="http://schemas.microsoft.com/office/drawing/2014/main" id="{00000000-0008-0000-0100-000028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01" name="Drop Down 1" hidden="1">
          <a:extLst>
            <a:ext uri="{FF2B5EF4-FFF2-40B4-BE49-F238E27FC236}">
              <a16:creationId xmlns:a16="http://schemas.microsoft.com/office/drawing/2014/main" id="{00000000-0008-0000-0100-000029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02" name="Drop Down 1" hidden="1">
          <a:extLst>
            <a:ext uri="{FF2B5EF4-FFF2-40B4-BE49-F238E27FC236}">
              <a16:creationId xmlns:a16="http://schemas.microsoft.com/office/drawing/2014/main" id="{00000000-0008-0000-0100-00002A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03" name="Drop Down 2" hidden="1">
          <a:extLst>
            <a:ext uri="{FF2B5EF4-FFF2-40B4-BE49-F238E27FC236}">
              <a16:creationId xmlns:a16="http://schemas.microsoft.com/office/drawing/2014/main" id="{00000000-0008-0000-0100-00002B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04" name="Drop Down 1" hidden="1">
          <a:extLst>
            <a:ext uri="{FF2B5EF4-FFF2-40B4-BE49-F238E27FC236}">
              <a16:creationId xmlns:a16="http://schemas.microsoft.com/office/drawing/2014/main" id="{00000000-0008-0000-0100-00002C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05" name="Drop Down -1022" hidden="1">
          <a:extLst>
            <a:ext uri="{FF2B5EF4-FFF2-40B4-BE49-F238E27FC236}">
              <a16:creationId xmlns:a16="http://schemas.microsoft.com/office/drawing/2014/main" id="{00000000-0008-0000-0100-00002D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606" name="Drop Down 1" hidden="1">
          <a:extLst>
            <a:ext uri="{FF2B5EF4-FFF2-40B4-BE49-F238E27FC236}">
              <a16:creationId xmlns:a16="http://schemas.microsoft.com/office/drawing/2014/main" id="{00000000-0008-0000-0100-00002E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607" name="Drop Down 1" hidden="1">
          <a:extLst>
            <a:ext uri="{FF2B5EF4-FFF2-40B4-BE49-F238E27FC236}">
              <a16:creationId xmlns:a16="http://schemas.microsoft.com/office/drawing/2014/main" id="{00000000-0008-0000-0100-00002F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608" name="Drop Down 1" hidden="1">
          <a:extLst>
            <a:ext uri="{FF2B5EF4-FFF2-40B4-BE49-F238E27FC236}">
              <a16:creationId xmlns:a16="http://schemas.microsoft.com/office/drawing/2014/main" id="{00000000-0008-0000-0100-000030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609" name="Drop Down 1" hidden="1">
          <a:extLst>
            <a:ext uri="{FF2B5EF4-FFF2-40B4-BE49-F238E27FC236}">
              <a16:creationId xmlns:a16="http://schemas.microsoft.com/office/drawing/2014/main" id="{00000000-0008-0000-0100-000031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610" name="Drop Down 2" hidden="1">
          <a:extLst>
            <a:ext uri="{FF2B5EF4-FFF2-40B4-BE49-F238E27FC236}">
              <a16:creationId xmlns:a16="http://schemas.microsoft.com/office/drawing/2014/main" id="{00000000-0008-0000-0100-000032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611" name="Drop Down 1" hidden="1">
          <a:extLst>
            <a:ext uri="{FF2B5EF4-FFF2-40B4-BE49-F238E27FC236}">
              <a16:creationId xmlns:a16="http://schemas.microsoft.com/office/drawing/2014/main" id="{00000000-0008-0000-0100-000033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2612" name="Drop Down -1022" hidden="1">
          <a:extLst>
            <a:ext uri="{FF2B5EF4-FFF2-40B4-BE49-F238E27FC236}">
              <a16:creationId xmlns:a16="http://schemas.microsoft.com/office/drawing/2014/main" id="{00000000-0008-0000-0100-000034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13" name="Drop Down 1" hidden="1">
          <a:extLst>
            <a:ext uri="{FF2B5EF4-FFF2-40B4-BE49-F238E27FC236}">
              <a16:creationId xmlns:a16="http://schemas.microsoft.com/office/drawing/2014/main" id="{00000000-0008-0000-0100-000035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14" name="Drop Down 1" hidden="1">
          <a:extLst>
            <a:ext uri="{FF2B5EF4-FFF2-40B4-BE49-F238E27FC236}">
              <a16:creationId xmlns:a16="http://schemas.microsoft.com/office/drawing/2014/main" id="{00000000-0008-0000-0100-000036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15" name="Drop Down 1" hidden="1">
          <a:extLst>
            <a:ext uri="{FF2B5EF4-FFF2-40B4-BE49-F238E27FC236}">
              <a16:creationId xmlns:a16="http://schemas.microsoft.com/office/drawing/2014/main" id="{00000000-0008-0000-0100-000037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16" name="Drop Down 1" hidden="1">
          <a:extLst>
            <a:ext uri="{FF2B5EF4-FFF2-40B4-BE49-F238E27FC236}">
              <a16:creationId xmlns:a16="http://schemas.microsoft.com/office/drawing/2014/main" id="{00000000-0008-0000-0100-000038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17" name="Drop Down 2" hidden="1">
          <a:extLst>
            <a:ext uri="{FF2B5EF4-FFF2-40B4-BE49-F238E27FC236}">
              <a16:creationId xmlns:a16="http://schemas.microsoft.com/office/drawing/2014/main" id="{00000000-0008-0000-0100-000039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18" name="Drop Down 1" hidden="1">
          <a:extLst>
            <a:ext uri="{FF2B5EF4-FFF2-40B4-BE49-F238E27FC236}">
              <a16:creationId xmlns:a16="http://schemas.microsoft.com/office/drawing/2014/main" id="{00000000-0008-0000-0100-00003A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2619" name="Drop Down -1022" hidden="1">
          <a:extLst>
            <a:ext uri="{FF2B5EF4-FFF2-40B4-BE49-F238E27FC236}">
              <a16:creationId xmlns:a16="http://schemas.microsoft.com/office/drawing/2014/main" id="{00000000-0008-0000-0100-00003B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620" name="Drop Down 1" hidden="1">
          <a:extLst>
            <a:ext uri="{FF2B5EF4-FFF2-40B4-BE49-F238E27FC236}">
              <a16:creationId xmlns:a16="http://schemas.microsoft.com/office/drawing/2014/main" id="{00000000-0008-0000-0100-00003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621" name="Drop Down 1" hidden="1">
          <a:extLst>
            <a:ext uri="{FF2B5EF4-FFF2-40B4-BE49-F238E27FC236}">
              <a16:creationId xmlns:a16="http://schemas.microsoft.com/office/drawing/2014/main" id="{00000000-0008-0000-0100-00003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622" name="Drop Down 1" hidden="1">
          <a:extLst>
            <a:ext uri="{FF2B5EF4-FFF2-40B4-BE49-F238E27FC236}">
              <a16:creationId xmlns:a16="http://schemas.microsoft.com/office/drawing/2014/main" id="{00000000-0008-0000-0100-00003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623" name="Drop Down 1" hidden="1">
          <a:extLst>
            <a:ext uri="{FF2B5EF4-FFF2-40B4-BE49-F238E27FC236}">
              <a16:creationId xmlns:a16="http://schemas.microsoft.com/office/drawing/2014/main" id="{00000000-0008-0000-0100-00003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624" name="Drop Down 2" hidden="1">
          <a:extLst>
            <a:ext uri="{FF2B5EF4-FFF2-40B4-BE49-F238E27FC236}">
              <a16:creationId xmlns:a16="http://schemas.microsoft.com/office/drawing/2014/main" id="{00000000-0008-0000-0100-00004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625" name="Drop Down 1" hidden="1">
          <a:extLst>
            <a:ext uri="{FF2B5EF4-FFF2-40B4-BE49-F238E27FC236}">
              <a16:creationId xmlns:a16="http://schemas.microsoft.com/office/drawing/2014/main" id="{00000000-0008-0000-0100-00004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626" name="Drop Down -1022" hidden="1">
          <a:extLst>
            <a:ext uri="{FF2B5EF4-FFF2-40B4-BE49-F238E27FC236}">
              <a16:creationId xmlns:a16="http://schemas.microsoft.com/office/drawing/2014/main" id="{00000000-0008-0000-0100-00004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627" name="Drop Down 1" hidden="1">
          <a:extLst>
            <a:ext uri="{FF2B5EF4-FFF2-40B4-BE49-F238E27FC236}">
              <a16:creationId xmlns:a16="http://schemas.microsoft.com/office/drawing/2014/main" id="{00000000-0008-0000-0100-00004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628" name="Drop Down 1" hidden="1">
          <a:extLst>
            <a:ext uri="{FF2B5EF4-FFF2-40B4-BE49-F238E27FC236}">
              <a16:creationId xmlns:a16="http://schemas.microsoft.com/office/drawing/2014/main" id="{00000000-0008-0000-0100-00004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629" name="Drop Down 1" hidden="1">
          <a:extLst>
            <a:ext uri="{FF2B5EF4-FFF2-40B4-BE49-F238E27FC236}">
              <a16:creationId xmlns:a16="http://schemas.microsoft.com/office/drawing/2014/main" id="{00000000-0008-0000-0100-00004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630" name="Drop Down 1" hidden="1">
          <a:extLst>
            <a:ext uri="{FF2B5EF4-FFF2-40B4-BE49-F238E27FC236}">
              <a16:creationId xmlns:a16="http://schemas.microsoft.com/office/drawing/2014/main" id="{00000000-0008-0000-0100-00004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631" name="Drop Down 2" hidden="1">
          <a:extLst>
            <a:ext uri="{FF2B5EF4-FFF2-40B4-BE49-F238E27FC236}">
              <a16:creationId xmlns:a16="http://schemas.microsoft.com/office/drawing/2014/main" id="{00000000-0008-0000-0100-00004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632" name="Drop Down 1" hidden="1">
          <a:extLst>
            <a:ext uri="{FF2B5EF4-FFF2-40B4-BE49-F238E27FC236}">
              <a16:creationId xmlns:a16="http://schemas.microsoft.com/office/drawing/2014/main" id="{00000000-0008-0000-0100-00004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633" name="Drop Down -1022" hidden="1">
          <a:extLst>
            <a:ext uri="{FF2B5EF4-FFF2-40B4-BE49-F238E27FC236}">
              <a16:creationId xmlns:a16="http://schemas.microsoft.com/office/drawing/2014/main" id="{00000000-0008-0000-0100-00004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34" name="Drop Down 1" hidden="1">
          <a:extLst>
            <a:ext uri="{FF2B5EF4-FFF2-40B4-BE49-F238E27FC236}">
              <a16:creationId xmlns:a16="http://schemas.microsoft.com/office/drawing/2014/main" id="{00000000-0008-0000-0100-00004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35" name="Drop Down 1" hidden="1">
          <a:extLst>
            <a:ext uri="{FF2B5EF4-FFF2-40B4-BE49-F238E27FC236}">
              <a16:creationId xmlns:a16="http://schemas.microsoft.com/office/drawing/2014/main" id="{00000000-0008-0000-0100-00004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36" name="Drop Down 1" hidden="1">
          <a:extLst>
            <a:ext uri="{FF2B5EF4-FFF2-40B4-BE49-F238E27FC236}">
              <a16:creationId xmlns:a16="http://schemas.microsoft.com/office/drawing/2014/main" id="{00000000-0008-0000-0100-00004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37" name="Drop Down 1" hidden="1">
          <a:extLst>
            <a:ext uri="{FF2B5EF4-FFF2-40B4-BE49-F238E27FC236}">
              <a16:creationId xmlns:a16="http://schemas.microsoft.com/office/drawing/2014/main" id="{00000000-0008-0000-0100-00004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38" name="Drop Down 2" hidden="1">
          <a:extLst>
            <a:ext uri="{FF2B5EF4-FFF2-40B4-BE49-F238E27FC236}">
              <a16:creationId xmlns:a16="http://schemas.microsoft.com/office/drawing/2014/main" id="{00000000-0008-0000-0100-00004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39" name="Drop Down 1" hidden="1">
          <a:extLst>
            <a:ext uri="{FF2B5EF4-FFF2-40B4-BE49-F238E27FC236}">
              <a16:creationId xmlns:a16="http://schemas.microsoft.com/office/drawing/2014/main" id="{00000000-0008-0000-0100-00004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40" name="Drop Down -1022" hidden="1">
          <a:extLst>
            <a:ext uri="{FF2B5EF4-FFF2-40B4-BE49-F238E27FC236}">
              <a16:creationId xmlns:a16="http://schemas.microsoft.com/office/drawing/2014/main" id="{00000000-0008-0000-0100-00005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41" name="Drop Down 1" hidden="1">
          <a:extLst>
            <a:ext uri="{FF2B5EF4-FFF2-40B4-BE49-F238E27FC236}">
              <a16:creationId xmlns:a16="http://schemas.microsoft.com/office/drawing/2014/main" id="{00000000-0008-0000-0100-00005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42" name="Drop Down 1" hidden="1">
          <a:extLst>
            <a:ext uri="{FF2B5EF4-FFF2-40B4-BE49-F238E27FC236}">
              <a16:creationId xmlns:a16="http://schemas.microsoft.com/office/drawing/2014/main" id="{00000000-0008-0000-0100-00005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43" name="Drop Down 1" hidden="1">
          <a:extLst>
            <a:ext uri="{FF2B5EF4-FFF2-40B4-BE49-F238E27FC236}">
              <a16:creationId xmlns:a16="http://schemas.microsoft.com/office/drawing/2014/main" id="{00000000-0008-0000-0100-00005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44" name="Drop Down 1" hidden="1">
          <a:extLst>
            <a:ext uri="{FF2B5EF4-FFF2-40B4-BE49-F238E27FC236}">
              <a16:creationId xmlns:a16="http://schemas.microsoft.com/office/drawing/2014/main" id="{00000000-0008-0000-0100-00005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45" name="Drop Down 2" hidden="1">
          <a:extLst>
            <a:ext uri="{FF2B5EF4-FFF2-40B4-BE49-F238E27FC236}">
              <a16:creationId xmlns:a16="http://schemas.microsoft.com/office/drawing/2014/main" id="{00000000-0008-0000-0100-00005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46" name="Drop Down 1" hidden="1">
          <a:extLst>
            <a:ext uri="{FF2B5EF4-FFF2-40B4-BE49-F238E27FC236}">
              <a16:creationId xmlns:a16="http://schemas.microsoft.com/office/drawing/2014/main" id="{00000000-0008-0000-0100-00005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47" name="Drop Down -1022" hidden="1">
          <a:extLst>
            <a:ext uri="{FF2B5EF4-FFF2-40B4-BE49-F238E27FC236}">
              <a16:creationId xmlns:a16="http://schemas.microsoft.com/office/drawing/2014/main" id="{00000000-0008-0000-0100-00005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48" name="Drop Down 1" hidden="1">
          <a:extLst>
            <a:ext uri="{FF2B5EF4-FFF2-40B4-BE49-F238E27FC236}">
              <a16:creationId xmlns:a16="http://schemas.microsoft.com/office/drawing/2014/main" id="{00000000-0008-0000-0100-00005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49" name="Drop Down 1" hidden="1">
          <a:extLst>
            <a:ext uri="{FF2B5EF4-FFF2-40B4-BE49-F238E27FC236}">
              <a16:creationId xmlns:a16="http://schemas.microsoft.com/office/drawing/2014/main" id="{00000000-0008-0000-0100-00005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50" name="Drop Down 1" hidden="1">
          <a:extLst>
            <a:ext uri="{FF2B5EF4-FFF2-40B4-BE49-F238E27FC236}">
              <a16:creationId xmlns:a16="http://schemas.microsoft.com/office/drawing/2014/main" id="{00000000-0008-0000-0100-00005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51" name="Drop Down 1" hidden="1">
          <a:extLst>
            <a:ext uri="{FF2B5EF4-FFF2-40B4-BE49-F238E27FC236}">
              <a16:creationId xmlns:a16="http://schemas.microsoft.com/office/drawing/2014/main" id="{00000000-0008-0000-0100-00005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52" name="Drop Down 2" hidden="1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53" name="Drop Down 1" hidden="1">
          <a:extLst>
            <a:ext uri="{FF2B5EF4-FFF2-40B4-BE49-F238E27FC236}">
              <a16:creationId xmlns:a16="http://schemas.microsoft.com/office/drawing/2014/main" id="{00000000-0008-0000-0100-00005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54" name="Drop Down -1022" hidden="1">
          <a:extLst>
            <a:ext uri="{FF2B5EF4-FFF2-40B4-BE49-F238E27FC236}">
              <a16:creationId xmlns:a16="http://schemas.microsoft.com/office/drawing/2014/main" id="{00000000-0008-0000-0100-00005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55" name="Drop Down 1" hidden="1">
          <a:extLst>
            <a:ext uri="{FF2B5EF4-FFF2-40B4-BE49-F238E27FC236}">
              <a16:creationId xmlns:a16="http://schemas.microsoft.com/office/drawing/2014/main" id="{00000000-0008-0000-0100-00005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56" name="Drop Down 1" hidden="1">
          <a:extLst>
            <a:ext uri="{FF2B5EF4-FFF2-40B4-BE49-F238E27FC236}">
              <a16:creationId xmlns:a16="http://schemas.microsoft.com/office/drawing/2014/main" id="{00000000-0008-0000-0100-00006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57" name="Drop Down 1" hidden="1">
          <a:extLst>
            <a:ext uri="{FF2B5EF4-FFF2-40B4-BE49-F238E27FC236}">
              <a16:creationId xmlns:a16="http://schemas.microsoft.com/office/drawing/2014/main" id="{00000000-0008-0000-0100-00006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58" name="Drop Down 1" hidden="1">
          <a:extLst>
            <a:ext uri="{FF2B5EF4-FFF2-40B4-BE49-F238E27FC236}">
              <a16:creationId xmlns:a16="http://schemas.microsoft.com/office/drawing/2014/main" id="{00000000-0008-0000-0100-00006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59" name="Drop Down 2" hidden="1">
          <a:extLst>
            <a:ext uri="{FF2B5EF4-FFF2-40B4-BE49-F238E27FC236}">
              <a16:creationId xmlns:a16="http://schemas.microsoft.com/office/drawing/2014/main" id="{00000000-0008-0000-0100-00006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60" name="Drop Down 1" hidden="1">
          <a:extLst>
            <a:ext uri="{FF2B5EF4-FFF2-40B4-BE49-F238E27FC236}">
              <a16:creationId xmlns:a16="http://schemas.microsoft.com/office/drawing/2014/main" id="{00000000-0008-0000-0100-00006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61" name="Drop Down -1022" hidden="1">
          <a:extLst>
            <a:ext uri="{FF2B5EF4-FFF2-40B4-BE49-F238E27FC236}">
              <a16:creationId xmlns:a16="http://schemas.microsoft.com/office/drawing/2014/main" id="{00000000-0008-0000-0100-00006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62" name="Drop Down 1" hidden="1">
          <a:extLst>
            <a:ext uri="{FF2B5EF4-FFF2-40B4-BE49-F238E27FC236}">
              <a16:creationId xmlns:a16="http://schemas.microsoft.com/office/drawing/2014/main" id="{00000000-0008-0000-0100-00006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63" name="Drop Down 1" hidden="1">
          <a:extLst>
            <a:ext uri="{FF2B5EF4-FFF2-40B4-BE49-F238E27FC236}">
              <a16:creationId xmlns:a16="http://schemas.microsoft.com/office/drawing/2014/main" id="{00000000-0008-0000-0100-00006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64" name="Drop Down 1" hidden="1">
          <a:extLst>
            <a:ext uri="{FF2B5EF4-FFF2-40B4-BE49-F238E27FC236}">
              <a16:creationId xmlns:a16="http://schemas.microsoft.com/office/drawing/2014/main" id="{00000000-0008-0000-0100-00006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65" name="Drop Down 1" hidden="1">
          <a:extLst>
            <a:ext uri="{FF2B5EF4-FFF2-40B4-BE49-F238E27FC236}">
              <a16:creationId xmlns:a16="http://schemas.microsoft.com/office/drawing/2014/main" id="{00000000-0008-0000-0100-00006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66" name="Drop Down 2" hidden="1">
          <a:extLst>
            <a:ext uri="{FF2B5EF4-FFF2-40B4-BE49-F238E27FC236}">
              <a16:creationId xmlns:a16="http://schemas.microsoft.com/office/drawing/2014/main" id="{00000000-0008-0000-0100-00006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67" name="Drop Down 1" hidden="1">
          <a:extLst>
            <a:ext uri="{FF2B5EF4-FFF2-40B4-BE49-F238E27FC236}">
              <a16:creationId xmlns:a16="http://schemas.microsoft.com/office/drawing/2014/main" id="{00000000-0008-0000-0100-00006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68" name="Drop Down -1022" hidden="1">
          <a:extLst>
            <a:ext uri="{FF2B5EF4-FFF2-40B4-BE49-F238E27FC236}">
              <a16:creationId xmlns:a16="http://schemas.microsoft.com/office/drawing/2014/main" id="{00000000-0008-0000-0100-00006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69" name="Drop Down 1" hidden="1">
          <a:extLst>
            <a:ext uri="{FF2B5EF4-FFF2-40B4-BE49-F238E27FC236}">
              <a16:creationId xmlns:a16="http://schemas.microsoft.com/office/drawing/2014/main" id="{00000000-0008-0000-0100-00006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70" name="Drop Down 1" hidden="1">
          <a:extLst>
            <a:ext uri="{FF2B5EF4-FFF2-40B4-BE49-F238E27FC236}">
              <a16:creationId xmlns:a16="http://schemas.microsoft.com/office/drawing/2014/main" id="{00000000-0008-0000-0100-00006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71" name="Drop Down 1" hidden="1">
          <a:extLst>
            <a:ext uri="{FF2B5EF4-FFF2-40B4-BE49-F238E27FC236}">
              <a16:creationId xmlns:a16="http://schemas.microsoft.com/office/drawing/2014/main" id="{00000000-0008-0000-0100-00006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72" name="Drop Down 1" hidden="1">
          <a:extLst>
            <a:ext uri="{FF2B5EF4-FFF2-40B4-BE49-F238E27FC236}">
              <a16:creationId xmlns:a16="http://schemas.microsoft.com/office/drawing/2014/main" id="{00000000-0008-0000-0100-00007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73" name="Drop Down 2" hidden="1">
          <a:extLst>
            <a:ext uri="{FF2B5EF4-FFF2-40B4-BE49-F238E27FC236}">
              <a16:creationId xmlns:a16="http://schemas.microsoft.com/office/drawing/2014/main" id="{00000000-0008-0000-0100-00007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74" name="Drop Down 1" hidden="1">
          <a:extLst>
            <a:ext uri="{FF2B5EF4-FFF2-40B4-BE49-F238E27FC236}">
              <a16:creationId xmlns:a16="http://schemas.microsoft.com/office/drawing/2014/main" id="{00000000-0008-0000-0100-00007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75" name="Drop Down -1022" hidden="1">
          <a:extLst>
            <a:ext uri="{FF2B5EF4-FFF2-40B4-BE49-F238E27FC236}">
              <a16:creationId xmlns:a16="http://schemas.microsoft.com/office/drawing/2014/main" id="{00000000-0008-0000-0100-00007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76" name="Drop Down 1" hidden="1">
          <a:extLst>
            <a:ext uri="{FF2B5EF4-FFF2-40B4-BE49-F238E27FC236}">
              <a16:creationId xmlns:a16="http://schemas.microsoft.com/office/drawing/2014/main" id="{00000000-0008-0000-0100-00007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77" name="Drop Down 1" hidden="1">
          <a:extLst>
            <a:ext uri="{FF2B5EF4-FFF2-40B4-BE49-F238E27FC236}">
              <a16:creationId xmlns:a16="http://schemas.microsoft.com/office/drawing/2014/main" id="{00000000-0008-0000-0100-00007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78" name="Drop Down 1" hidden="1">
          <a:extLst>
            <a:ext uri="{FF2B5EF4-FFF2-40B4-BE49-F238E27FC236}">
              <a16:creationId xmlns:a16="http://schemas.microsoft.com/office/drawing/2014/main" id="{00000000-0008-0000-0100-00007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79" name="Drop Down 1" hidden="1">
          <a:extLst>
            <a:ext uri="{FF2B5EF4-FFF2-40B4-BE49-F238E27FC236}">
              <a16:creationId xmlns:a16="http://schemas.microsoft.com/office/drawing/2014/main" id="{00000000-0008-0000-0100-00007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80" name="Drop Down 2" hidden="1">
          <a:extLst>
            <a:ext uri="{FF2B5EF4-FFF2-40B4-BE49-F238E27FC236}">
              <a16:creationId xmlns:a16="http://schemas.microsoft.com/office/drawing/2014/main" id="{00000000-0008-0000-0100-00007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81" name="Drop Down 1" hidden="1">
          <a:extLst>
            <a:ext uri="{FF2B5EF4-FFF2-40B4-BE49-F238E27FC236}">
              <a16:creationId xmlns:a16="http://schemas.microsoft.com/office/drawing/2014/main" id="{00000000-0008-0000-0100-00007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82" name="Drop Down -1022" hidden="1">
          <a:extLst>
            <a:ext uri="{FF2B5EF4-FFF2-40B4-BE49-F238E27FC236}">
              <a16:creationId xmlns:a16="http://schemas.microsoft.com/office/drawing/2014/main" id="{00000000-0008-0000-0100-00007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83" name="Drop Down 1" hidden="1">
          <a:extLst>
            <a:ext uri="{FF2B5EF4-FFF2-40B4-BE49-F238E27FC236}">
              <a16:creationId xmlns:a16="http://schemas.microsoft.com/office/drawing/2014/main" id="{00000000-0008-0000-0100-00007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84" name="Drop Down 1" hidden="1">
          <a:extLst>
            <a:ext uri="{FF2B5EF4-FFF2-40B4-BE49-F238E27FC236}">
              <a16:creationId xmlns:a16="http://schemas.microsoft.com/office/drawing/2014/main" id="{00000000-0008-0000-0100-00007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85" name="Drop Down 1" hidden="1">
          <a:extLst>
            <a:ext uri="{FF2B5EF4-FFF2-40B4-BE49-F238E27FC236}">
              <a16:creationId xmlns:a16="http://schemas.microsoft.com/office/drawing/2014/main" id="{00000000-0008-0000-0100-00007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86" name="Drop Down 1" hidden="1">
          <a:extLst>
            <a:ext uri="{FF2B5EF4-FFF2-40B4-BE49-F238E27FC236}">
              <a16:creationId xmlns:a16="http://schemas.microsoft.com/office/drawing/2014/main" id="{00000000-0008-0000-0100-00007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87" name="Drop Down 2" hidden="1">
          <a:extLst>
            <a:ext uri="{FF2B5EF4-FFF2-40B4-BE49-F238E27FC236}">
              <a16:creationId xmlns:a16="http://schemas.microsoft.com/office/drawing/2014/main" id="{00000000-0008-0000-0100-00007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88" name="Drop Down 1" hidden="1">
          <a:extLst>
            <a:ext uri="{FF2B5EF4-FFF2-40B4-BE49-F238E27FC236}">
              <a16:creationId xmlns:a16="http://schemas.microsoft.com/office/drawing/2014/main" id="{00000000-0008-0000-0100-00008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89" name="Drop Down -1022" hidden="1">
          <a:extLst>
            <a:ext uri="{FF2B5EF4-FFF2-40B4-BE49-F238E27FC236}">
              <a16:creationId xmlns:a16="http://schemas.microsoft.com/office/drawing/2014/main" id="{00000000-0008-0000-0100-00008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90" name="Drop Down 1" hidden="1">
          <a:extLst>
            <a:ext uri="{FF2B5EF4-FFF2-40B4-BE49-F238E27FC236}">
              <a16:creationId xmlns:a16="http://schemas.microsoft.com/office/drawing/2014/main" id="{00000000-0008-0000-0100-00008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91" name="Drop Down 1" hidden="1">
          <a:extLst>
            <a:ext uri="{FF2B5EF4-FFF2-40B4-BE49-F238E27FC236}">
              <a16:creationId xmlns:a16="http://schemas.microsoft.com/office/drawing/2014/main" id="{00000000-0008-0000-0100-00008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92" name="Drop Down 1" hidden="1">
          <a:extLst>
            <a:ext uri="{FF2B5EF4-FFF2-40B4-BE49-F238E27FC236}">
              <a16:creationId xmlns:a16="http://schemas.microsoft.com/office/drawing/2014/main" id="{00000000-0008-0000-0100-00008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93" name="Drop Down 1" hidden="1">
          <a:extLst>
            <a:ext uri="{FF2B5EF4-FFF2-40B4-BE49-F238E27FC236}">
              <a16:creationId xmlns:a16="http://schemas.microsoft.com/office/drawing/2014/main" id="{00000000-0008-0000-0100-00008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94" name="Drop Down 2" hidden="1">
          <a:extLst>
            <a:ext uri="{FF2B5EF4-FFF2-40B4-BE49-F238E27FC236}">
              <a16:creationId xmlns:a16="http://schemas.microsoft.com/office/drawing/2014/main" id="{00000000-0008-0000-0100-00008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95" name="Drop Down 1" hidden="1">
          <a:extLst>
            <a:ext uri="{FF2B5EF4-FFF2-40B4-BE49-F238E27FC236}">
              <a16:creationId xmlns:a16="http://schemas.microsoft.com/office/drawing/2014/main" id="{00000000-0008-0000-0100-00008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696" name="Drop Down -1022" hidden="1">
          <a:extLst>
            <a:ext uri="{FF2B5EF4-FFF2-40B4-BE49-F238E27FC236}">
              <a16:creationId xmlns:a16="http://schemas.microsoft.com/office/drawing/2014/main" id="{00000000-0008-0000-0100-00008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97" name="Drop Down 1" hidden="1">
          <a:extLst>
            <a:ext uri="{FF2B5EF4-FFF2-40B4-BE49-F238E27FC236}">
              <a16:creationId xmlns:a16="http://schemas.microsoft.com/office/drawing/2014/main" id="{00000000-0008-0000-0100-00008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98" name="Drop Down 1" hidden="1">
          <a:extLst>
            <a:ext uri="{FF2B5EF4-FFF2-40B4-BE49-F238E27FC236}">
              <a16:creationId xmlns:a16="http://schemas.microsoft.com/office/drawing/2014/main" id="{00000000-0008-0000-0100-00008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699" name="Drop Down 1" hidden="1">
          <a:extLst>
            <a:ext uri="{FF2B5EF4-FFF2-40B4-BE49-F238E27FC236}">
              <a16:creationId xmlns:a16="http://schemas.microsoft.com/office/drawing/2014/main" id="{00000000-0008-0000-0100-00008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00" name="Drop Down 1" hidden="1">
          <a:extLst>
            <a:ext uri="{FF2B5EF4-FFF2-40B4-BE49-F238E27FC236}">
              <a16:creationId xmlns:a16="http://schemas.microsoft.com/office/drawing/2014/main" id="{00000000-0008-0000-0100-00008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01" name="Drop Down 2" hidden="1">
          <a:extLst>
            <a:ext uri="{FF2B5EF4-FFF2-40B4-BE49-F238E27FC236}">
              <a16:creationId xmlns:a16="http://schemas.microsoft.com/office/drawing/2014/main" id="{00000000-0008-0000-0100-00008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02" name="Drop Down 1" hidden="1">
          <a:extLst>
            <a:ext uri="{FF2B5EF4-FFF2-40B4-BE49-F238E27FC236}">
              <a16:creationId xmlns:a16="http://schemas.microsoft.com/office/drawing/2014/main" id="{00000000-0008-0000-0100-00008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03" name="Drop Down -1022" hidden="1">
          <a:extLst>
            <a:ext uri="{FF2B5EF4-FFF2-40B4-BE49-F238E27FC236}">
              <a16:creationId xmlns:a16="http://schemas.microsoft.com/office/drawing/2014/main" id="{00000000-0008-0000-0100-00008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04" name="Drop Down 1" hidden="1">
          <a:extLst>
            <a:ext uri="{FF2B5EF4-FFF2-40B4-BE49-F238E27FC236}">
              <a16:creationId xmlns:a16="http://schemas.microsoft.com/office/drawing/2014/main" id="{00000000-0008-0000-0100-00009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05" name="Drop Down 1" hidden="1">
          <a:extLst>
            <a:ext uri="{FF2B5EF4-FFF2-40B4-BE49-F238E27FC236}">
              <a16:creationId xmlns:a16="http://schemas.microsoft.com/office/drawing/2014/main" id="{00000000-0008-0000-0100-00009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06" name="Drop Down 1" hidden="1">
          <a:extLst>
            <a:ext uri="{FF2B5EF4-FFF2-40B4-BE49-F238E27FC236}">
              <a16:creationId xmlns:a16="http://schemas.microsoft.com/office/drawing/2014/main" id="{00000000-0008-0000-0100-00009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07" name="Drop Down 1" hidden="1">
          <a:extLst>
            <a:ext uri="{FF2B5EF4-FFF2-40B4-BE49-F238E27FC236}">
              <a16:creationId xmlns:a16="http://schemas.microsoft.com/office/drawing/2014/main" id="{00000000-0008-0000-0100-00009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08" name="Drop Down 2" hidden="1">
          <a:extLst>
            <a:ext uri="{FF2B5EF4-FFF2-40B4-BE49-F238E27FC236}">
              <a16:creationId xmlns:a16="http://schemas.microsoft.com/office/drawing/2014/main" id="{00000000-0008-0000-0100-00009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09" name="Drop Down 1" hidden="1">
          <a:extLst>
            <a:ext uri="{FF2B5EF4-FFF2-40B4-BE49-F238E27FC236}">
              <a16:creationId xmlns:a16="http://schemas.microsoft.com/office/drawing/2014/main" id="{00000000-0008-0000-0100-00009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10" name="Drop Down -1022" hidden="1">
          <a:extLst>
            <a:ext uri="{FF2B5EF4-FFF2-40B4-BE49-F238E27FC236}">
              <a16:creationId xmlns:a16="http://schemas.microsoft.com/office/drawing/2014/main" id="{00000000-0008-0000-0100-00009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11" name="Drop Down 1" hidden="1">
          <a:extLst>
            <a:ext uri="{FF2B5EF4-FFF2-40B4-BE49-F238E27FC236}">
              <a16:creationId xmlns:a16="http://schemas.microsoft.com/office/drawing/2014/main" id="{00000000-0008-0000-0100-00009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12" name="Drop Down 1" hidden="1">
          <a:extLst>
            <a:ext uri="{FF2B5EF4-FFF2-40B4-BE49-F238E27FC236}">
              <a16:creationId xmlns:a16="http://schemas.microsoft.com/office/drawing/2014/main" id="{00000000-0008-0000-0100-00009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13" name="Drop Down 1" hidden="1">
          <a:extLst>
            <a:ext uri="{FF2B5EF4-FFF2-40B4-BE49-F238E27FC236}">
              <a16:creationId xmlns:a16="http://schemas.microsoft.com/office/drawing/2014/main" id="{00000000-0008-0000-0100-00009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14" name="Drop Down 1" hidden="1">
          <a:extLst>
            <a:ext uri="{FF2B5EF4-FFF2-40B4-BE49-F238E27FC236}">
              <a16:creationId xmlns:a16="http://schemas.microsoft.com/office/drawing/2014/main" id="{00000000-0008-0000-0100-00009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15" name="Drop Down 2" hidden="1">
          <a:extLst>
            <a:ext uri="{FF2B5EF4-FFF2-40B4-BE49-F238E27FC236}">
              <a16:creationId xmlns:a16="http://schemas.microsoft.com/office/drawing/2014/main" id="{00000000-0008-0000-0100-00009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16" name="Drop Down 1" hidden="1">
          <a:extLst>
            <a:ext uri="{FF2B5EF4-FFF2-40B4-BE49-F238E27FC236}">
              <a16:creationId xmlns:a16="http://schemas.microsoft.com/office/drawing/2014/main" id="{00000000-0008-0000-0100-00009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17" name="Drop Down -1022" hidden="1">
          <a:extLst>
            <a:ext uri="{FF2B5EF4-FFF2-40B4-BE49-F238E27FC236}">
              <a16:creationId xmlns:a16="http://schemas.microsoft.com/office/drawing/2014/main" id="{00000000-0008-0000-0100-00009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18" name="Drop Down 1" hidden="1">
          <a:extLst>
            <a:ext uri="{FF2B5EF4-FFF2-40B4-BE49-F238E27FC236}">
              <a16:creationId xmlns:a16="http://schemas.microsoft.com/office/drawing/2014/main" id="{00000000-0008-0000-0100-00009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19" name="Drop Down 1" hidden="1">
          <a:extLst>
            <a:ext uri="{FF2B5EF4-FFF2-40B4-BE49-F238E27FC236}">
              <a16:creationId xmlns:a16="http://schemas.microsoft.com/office/drawing/2014/main" id="{00000000-0008-0000-0100-00009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20" name="Drop Down 1" hidden="1">
          <a:extLst>
            <a:ext uri="{FF2B5EF4-FFF2-40B4-BE49-F238E27FC236}">
              <a16:creationId xmlns:a16="http://schemas.microsoft.com/office/drawing/2014/main" id="{00000000-0008-0000-0100-0000A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21" name="Drop Down 1" hidden="1">
          <a:extLst>
            <a:ext uri="{FF2B5EF4-FFF2-40B4-BE49-F238E27FC236}">
              <a16:creationId xmlns:a16="http://schemas.microsoft.com/office/drawing/2014/main" id="{00000000-0008-0000-0100-0000A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22" name="Drop Down 2" hidden="1">
          <a:extLst>
            <a:ext uri="{FF2B5EF4-FFF2-40B4-BE49-F238E27FC236}">
              <a16:creationId xmlns:a16="http://schemas.microsoft.com/office/drawing/2014/main" id="{00000000-0008-0000-0100-0000A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23" name="Drop Down 1" hidden="1">
          <a:extLst>
            <a:ext uri="{FF2B5EF4-FFF2-40B4-BE49-F238E27FC236}">
              <a16:creationId xmlns:a16="http://schemas.microsoft.com/office/drawing/2014/main" id="{00000000-0008-0000-0100-0000A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24" name="Drop Down -1022" hidden="1">
          <a:extLst>
            <a:ext uri="{FF2B5EF4-FFF2-40B4-BE49-F238E27FC236}">
              <a16:creationId xmlns:a16="http://schemas.microsoft.com/office/drawing/2014/main" id="{00000000-0008-0000-0100-0000A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25" name="Drop Down 1" hidden="1">
          <a:extLst>
            <a:ext uri="{FF2B5EF4-FFF2-40B4-BE49-F238E27FC236}">
              <a16:creationId xmlns:a16="http://schemas.microsoft.com/office/drawing/2014/main" id="{00000000-0008-0000-0100-0000A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26" name="Drop Down 1" hidden="1">
          <a:extLst>
            <a:ext uri="{FF2B5EF4-FFF2-40B4-BE49-F238E27FC236}">
              <a16:creationId xmlns:a16="http://schemas.microsoft.com/office/drawing/2014/main" id="{00000000-0008-0000-0100-0000A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27" name="Drop Down 1" hidden="1">
          <a:extLst>
            <a:ext uri="{FF2B5EF4-FFF2-40B4-BE49-F238E27FC236}">
              <a16:creationId xmlns:a16="http://schemas.microsoft.com/office/drawing/2014/main" id="{00000000-0008-0000-0100-0000A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28" name="Drop Down 1" hidden="1">
          <a:extLst>
            <a:ext uri="{FF2B5EF4-FFF2-40B4-BE49-F238E27FC236}">
              <a16:creationId xmlns:a16="http://schemas.microsoft.com/office/drawing/2014/main" id="{00000000-0008-0000-0100-0000A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29" name="Drop Down 2" hidden="1">
          <a:extLst>
            <a:ext uri="{FF2B5EF4-FFF2-40B4-BE49-F238E27FC236}">
              <a16:creationId xmlns:a16="http://schemas.microsoft.com/office/drawing/2014/main" id="{00000000-0008-0000-0100-0000A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30" name="Drop Down 1" hidden="1">
          <a:extLst>
            <a:ext uri="{FF2B5EF4-FFF2-40B4-BE49-F238E27FC236}">
              <a16:creationId xmlns:a16="http://schemas.microsoft.com/office/drawing/2014/main" id="{00000000-0008-0000-0100-0000A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31" name="Drop Down -1022" hidden="1">
          <a:extLst>
            <a:ext uri="{FF2B5EF4-FFF2-40B4-BE49-F238E27FC236}">
              <a16:creationId xmlns:a16="http://schemas.microsoft.com/office/drawing/2014/main" id="{00000000-0008-0000-0100-0000A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32" name="Drop Down 1" hidden="1">
          <a:extLst>
            <a:ext uri="{FF2B5EF4-FFF2-40B4-BE49-F238E27FC236}">
              <a16:creationId xmlns:a16="http://schemas.microsoft.com/office/drawing/2014/main" id="{00000000-0008-0000-0100-0000A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33" name="Drop Down 1" hidden="1">
          <a:extLst>
            <a:ext uri="{FF2B5EF4-FFF2-40B4-BE49-F238E27FC236}">
              <a16:creationId xmlns:a16="http://schemas.microsoft.com/office/drawing/2014/main" id="{00000000-0008-0000-0100-0000A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34" name="Drop Down 1" hidden="1">
          <a:extLst>
            <a:ext uri="{FF2B5EF4-FFF2-40B4-BE49-F238E27FC236}">
              <a16:creationId xmlns:a16="http://schemas.microsoft.com/office/drawing/2014/main" id="{00000000-0008-0000-0100-0000A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35" name="Drop Down 1" hidden="1">
          <a:extLst>
            <a:ext uri="{FF2B5EF4-FFF2-40B4-BE49-F238E27FC236}">
              <a16:creationId xmlns:a16="http://schemas.microsoft.com/office/drawing/2014/main" id="{00000000-0008-0000-0100-0000A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36" name="Drop Down 2" hidden="1">
          <a:extLst>
            <a:ext uri="{FF2B5EF4-FFF2-40B4-BE49-F238E27FC236}">
              <a16:creationId xmlns:a16="http://schemas.microsoft.com/office/drawing/2014/main" id="{00000000-0008-0000-0100-0000B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37" name="Drop Down 1" hidden="1">
          <a:extLst>
            <a:ext uri="{FF2B5EF4-FFF2-40B4-BE49-F238E27FC236}">
              <a16:creationId xmlns:a16="http://schemas.microsoft.com/office/drawing/2014/main" id="{00000000-0008-0000-0100-0000B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38" name="Drop Down -1022" hidden="1">
          <a:extLst>
            <a:ext uri="{FF2B5EF4-FFF2-40B4-BE49-F238E27FC236}">
              <a16:creationId xmlns:a16="http://schemas.microsoft.com/office/drawing/2014/main" id="{00000000-0008-0000-0100-0000B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39" name="Drop Down 1" hidden="1">
          <a:extLst>
            <a:ext uri="{FF2B5EF4-FFF2-40B4-BE49-F238E27FC236}">
              <a16:creationId xmlns:a16="http://schemas.microsoft.com/office/drawing/2014/main" id="{00000000-0008-0000-0100-0000B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40" name="Drop Down 1" hidden="1">
          <a:extLst>
            <a:ext uri="{FF2B5EF4-FFF2-40B4-BE49-F238E27FC236}">
              <a16:creationId xmlns:a16="http://schemas.microsoft.com/office/drawing/2014/main" id="{00000000-0008-0000-0100-0000B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41" name="Drop Down 1" hidden="1">
          <a:extLst>
            <a:ext uri="{FF2B5EF4-FFF2-40B4-BE49-F238E27FC236}">
              <a16:creationId xmlns:a16="http://schemas.microsoft.com/office/drawing/2014/main" id="{00000000-0008-0000-0100-0000B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42" name="Drop Down 1" hidden="1">
          <a:extLst>
            <a:ext uri="{FF2B5EF4-FFF2-40B4-BE49-F238E27FC236}">
              <a16:creationId xmlns:a16="http://schemas.microsoft.com/office/drawing/2014/main" id="{00000000-0008-0000-0100-0000B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43" name="Drop Down 2" hidden="1">
          <a:extLst>
            <a:ext uri="{FF2B5EF4-FFF2-40B4-BE49-F238E27FC236}">
              <a16:creationId xmlns:a16="http://schemas.microsoft.com/office/drawing/2014/main" id="{00000000-0008-0000-0100-0000B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44" name="Drop Down 1" hidden="1">
          <a:extLst>
            <a:ext uri="{FF2B5EF4-FFF2-40B4-BE49-F238E27FC236}">
              <a16:creationId xmlns:a16="http://schemas.microsoft.com/office/drawing/2014/main" id="{00000000-0008-0000-0100-0000B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45" name="Drop Down -1022" hidden="1">
          <a:extLst>
            <a:ext uri="{FF2B5EF4-FFF2-40B4-BE49-F238E27FC236}">
              <a16:creationId xmlns:a16="http://schemas.microsoft.com/office/drawing/2014/main" id="{00000000-0008-0000-0100-0000B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46" name="Drop Down 1" hidden="1">
          <a:extLst>
            <a:ext uri="{FF2B5EF4-FFF2-40B4-BE49-F238E27FC236}">
              <a16:creationId xmlns:a16="http://schemas.microsoft.com/office/drawing/2014/main" id="{00000000-0008-0000-0100-0000B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47" name="Drop Down 1" hidden="1">
          <a:extLst>
            <a:ext uri="{FF2B5EF4-FFF2-40B4-BE49-F238E27FC236}">
              <a16:creationId xmlns:a16="http://schemas.microsoft.com/office/drawing/2014/main" id="{00000000-0008-0000-0100-0000B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48" name="Drop Down 1" hidden="1">
          <a:extLst>
            <a:ext uri="{FF2B5EF4-FFF2-40B4-BE49-F238E27FC236}">
              <a16:creationId xmlns:a16="http://schemas.microsoft.com/office/drawing/2014/main" id="{00000000-0008-0000-0100-0000B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49" name="Drop Down 1" hidden="1">
          <a:extLst>
            <a:ext uri="{FF2B5EF4-FFF2-40B4-BE49-F238E27FC236}">
              <a16:creationId xmlns:a16="http://schemas.microsoft.com/office/drawing/2014/main" id="{00000000-0008-0000-0100-0000B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50" name="Drop Down 2" hidden="1">
          <a:extLst>
            <a:ext uri="{FF2B5EF4-FFF2-40B4-BE49-F238E27FC236}">
              <a16:creationId xmlns:a16="http://schemas.microsoft.com/office/drawing/2014/main" id="{00000000-0008-0000-0100-0000B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51" name="Drop Down 1" hidden="1">
          <a:extLst>
            <a:ext uri="{FF2B5EF4-FFF2-40B4-BE49-F238E27FC236}">
              <a16:creationId xmlns:a16="http://schemas.microsoft.com/office/drawing/2014/main" id="{00000000-0008-0000-0100-0000B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52" name="Drop Down -1022" hidden="1">
          <a:extLst>
            <a:ext uri="{FF2B5EF4-FFF2-40B4-BE49-F238E27FC236}">
              <a16:creationId xmlns:a16="http://schemas.microsoft.com/office/drawing/2014/main" id="{00000000-0008-0000-0100-0000C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53" name="Drop Down 1" hidden="1">
          <a:extLst>
            <a:ext uri="{FF2B5EF4-FFF2-40B4-BE49-F238E27FC236}">
              <a16:creationId xmlns:a16="http://schemas.microsoft.com/office/drawing/2014/main" id="{00000000-0008-0000-0100-0000C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54" name="Drop Down 1" hidden="1">
          <a:extLst>
            <a:ext uri="{FF2B5EF4-FFF2-40B4-BE49-F238E27FC236}">
              <a16:creationId xmlns:a16="http://schemas.microsoft.com/office/drawing/2014/main" id="{00000000-0008-0000-0100-0000C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55" name="Drop Down 1" hidden="1">
          <a:extLst>
            <a:ext uri="{FF2B5EF4-FFF2-40B4-BE49-F238E27FC236}">
              <a16:creationId xmlns:a16="http://schemas.microsoft.com/office/drawing/2014/main" id="{00000000-0008-0000-0100-0000C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56" name="Drop Down 1" hidden="1">
          <a:extLst>
            <a:ext uri="{FF2B5EF4-FFF2-40B4-BE49-F238E27FC236}">
              <a16:creationId xmlns:a16="http://schemas.microsoft.com/office/drawing/2014/main" id="{00000000-0008-0000-0100-0000C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57" name="Drop Down 2" hidden="1">
          <a:extLst>
            <a:ext uri="{FF2B5EF4-FFF2-40B4-BE49-F238E27FC236}">
              <a16:creationId xmlns:a16="http://schemas.microsoft.com/office/drawing/2014/main" id="{00000000-0008-0000-0100-0000C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58" name="Drop Down 1" hidden="1">
          <a:extLst>
            <a:ext uri="{FF2B5EF4-FFF2-40B4-BE49-F238E27FC236}">
              <a16:creationId xmlns:a16="http://schemas.microsoft.com/office/drawing/2014/main" id="{00000000-0008-0000-0100-0000C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59" name="Drop Down -1022" hidden="1">
          <a:extLst>
            <a:ext uri="{FF2B5EF4-FFF2-40B4-BE49-F238E27FC236}">
              <a16:creationId xmlns:a16="http://schemas.microsoft.com/office/drawing/2014/main" id="{00000000-0008-0000-0100-0000C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60" name="Drop Down 1" hidden="1">
          <a:extLst>
            <a:ext uri="{FF2B5EF4-FFF2-40B4-BE49-F238E27FC236}">
              <a16:creationId xmlns:a16="http://schemas.microsoft.com/office/drawing/2014/main" id="{00000000-0008-0000-0100-0000C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61" name="Drop Down 1" hidden="1">
          <a:extLst>
            <a:ext uri="{FF2B5EF4-FFF2-40B4-BE49-F238E27FC236}">
              <a16:creationId xmlns:a16="http://schemas.microsoft.com/office/drawing/2014/main" id="{00000000-0008-0000-0100-0000C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62" name="Drop Down 1" hidden="1">
          <a:extLst>
            <a:ext uri="{FF2B5EF4-FFF2-40B4-BE49-F238E27FC236}">
              <a16:creationId xmlns:a16="http://schemas.microsoft.com/office/drawing/2014/main" id="{00000000-0008-0000-0100-0000C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63" name="Drop Down 1" hidden="1">
          <a:extLst>
            <a:ext uri="{FF2B5EF4-FFF2-40B4-BE49-F238E27FC236}">
              <a16:creationId xmlns:a16="http://schemas.microsoft.com/office/drawing/2014/main" id="{00000000-0008-0000-0100-0000C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64" name="Drop Down 2" hidden="1">
          <a:extLst>
            <a:ext uri="{FF2B5EF4-FFF2-40B4-BE49-F238E27FC236}">
              <a16:creationId xmlns:a16="http://schemas.microsoft.com/office/drawing/2014/main" id="{00000000-0008-0000-0100-0000C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65" name="Drop Down 1" hidden="1">
          <a:extLst>
            <a:ext uri="{FF2B5EF4-FFF2-40B4-BE49-F238E27FC236}">
              <a16:creationId xmlns:a16="http://schemas.microsoft.com/office/drawing/2014/main" id="{00000000-0008-0000-0100-0000C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66" name="Drop Down -1022" hidden="1">
          <a:extLst>
            <a:ext uri="{FF2B5EF4-FFF2-40B4-BE49-F238E27FC236}">
              <a16:creationId xmlns:a16="http://schemas.microsoft.com/office/drawing/2014/main" id="{00000000-0008-0000-0100-0000C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67" name="Drop Down 1" hidden="1">
          <a:extLst>
            <a:ext uri="{FF2B5EF4-FFF2-40B4-BE49-F238E27FC236}">
              <a16:creationId xmlns:a16="http://schemas.microsoft.com/office/drawing/2014/main" id="{00000000-0008-0000-0100-0000C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68" name="Drop Down 1" hidden="1">
          <a:extLst>
            <a:ext uri="{FF2B5EF4-FFF2-40B4-BE49-F238E27FC236}">
              <a16:creationId xmlns:a16="http://schemas.microsoft.com/office/drawing/2014/main" id="{00000000-0008-0000-0100-0000D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69" name="Drop Down 1" hidden="1">
          <a:extLst>
            <a:ext uri="{FF2B5EF4-FFF2-40B4-BE49-F238E27FC236}">
              <a16:creationId xmlns:a16="http://schemas.microsoft.com/office/drawing/2014/main" id="{00000000-0008-0000-0100-0000D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70" name="Drop Down 1" hidden="1">
          <a:extLst>
            <a:ext uri="{FF2B5EF4-FFF2-40B4-BE49-F238E27FC236}">
              <a16:creationId xmlns:a16="http://schemas.microsoft.com/office/drawing/2014/main" id="{00000000-0008-0000-0100-0000D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71" name="Drop Down 2" hidden="1">
          <a:extLst>
            <a:ext uri="{FF2B5EF4-FFF2-40B4-BE49-F238E27FC236}">
              <a16:creationId xmlns:a16="http://schemas.microsoft.com/office/drawing/2014/main" id="{00000000-0008-0000-0100-0000D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72" name="Drop Down 1" hidden="1">
          <a:extLst>
            <a:ext uri="{FF2B5EF4-FFF2-40B4-BE49-F238E27FC236}">
              <a16:creationId xmlns:a16="http://schemas.microsoft.com/office/drawing/2014/main" id="{00000000-0008-0000-0100-0000D4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73" name="Drop Down -1022" hidden="1">
          <a:extLst>
            <a:ext uri="{FF2B5EF4-FFF2-40B4-BE49-F238E27FC236}">
              <a16:creationId xmlns:a16="http://schemas.microsoft.com/office/drawing/2014/main" id="{00000000-0008-0000-0100-0000D5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74" name="Drop Down 1" hidden="1">
          <a:extLst>
            <a:ext uri="{FF2B5EF4-FFF2-40B4-BE49-F238E27FC236}">
              <a16:creationId xmlns:a16="http://schemas.microsoft.com/office/drawing/2014/main" id="{00000000-0008-0000-0100-0000D6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75" name="Drop Down 1" hidden="1">
          <a:extLst>
            <a:ext uri="{FF2B5EF4-FFF2-40B4-BE49-F238E27FC236}">
              <a16:creationId xmlns:a16="http://schemas.microsoft.com/office/drawing/2014/main" id="{00000000-0008-0000-0100-0000D7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76" name="Drop Down 1" hidden="1">
          <a:extLst>
            <a:ext uri="{FF2B5EF4-FFF2-40B4-BE49-F238E27FC236}">
              <a16:creationId xmlns:a16="http://schemas.microsoft.com/office/drawing/2014/main" id="{00000000-0008-0000-0100-0000D8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77" name="Drop Down 1" hidden="1">
          <a:extLst>
            <a:ext uri="{FF2B5EF4-FFF2-40B4-BE49-F238E27FC236}">
              <a16:creationId xmlns:a16="http://schemas.microsoft.com/office/drawing/2014/main" id="{00000000-0008-0000-0100-0000D9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78" name="Drop Down 2" hidden="1">
          <a:extLst>
            <a:ext uri="{FF2B5EF4-FFF2-40B4-BE49-F238E27FC236}">
              <a16:creationId xmlns:a16="http://schemas.microsoft.com/office/drawing/2014/main" id="{00000000-0008-0000-0100-0000DA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79" name="Drop Down 1" hidden="1">
          <a:extLst>
            <a:ext uri="{FF2B5EF4-FFF2-40B4-BE49-F238E27FC236}">
              <a16:creationId xmlns:a16="http://schemas.microsoft.com/office/drawing/2014/main" id="{00000000-0008-0000-0100-0000DB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780" name="Drop Down -1022" hidden="1">
          <a:extLst>
            <a:ext uri="{FF2B5EF4-FFF2-40B4-BE49-F238E27FC236}">
              <a16:creationId xmlns:a16="http://schemas.microsoft.com/office/drawing/2014/main" id="{00000000-0008-0000-0100-0000DC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81" name="Drop Down 1" hidden="1">
          <a:extLst>
            <a:ext uri="{FF2B5EF4-FFF2-40B4-BE49-F238E27FC236}">
              <a16:creationId xmlns:a16="http://schemas.microsoft.com/office/drawing/2014/main" id="{00000000-0008-0000-0100-0000DD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82" name="Drop Down 1" hidden="1">
          <a:extLst>
            <a:ext uri="{FF2B5EF4-FFF2-40B4-BE49-F238E27FC236}">
              <a16:creationId xmlns:a16="http://schemas.microsoft.com/office/drawing/2014/main" id="{00000000-0008-0000-0100-0000DE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83" name="Drop Down 1" hidden="1">
          <a:extLst>
            <a:ext uri="{FF2B5EF4-FFF2-40B4-BE49-F238E27FC236}">
              <a16:creationId xmlns:a16="http://schemas.microsoft.com/office/drawing/2014/main" id="{00000000-0008-0000-0100-0000DF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84" name="Drop Down 1" hidden="1">
          <a:extLst>
            <a:ext uri="{FF2B5EF4-FFF2-40B4-BE49-F238E27FC236}">
              <a16:creationId xmlns:a16="http://schemas.microsoft.com/office/drawing/2014/main" id="{00000000-0008-0000-0100-0000E0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85" name="Drop Down 2" hidden="1">
          <a:extLst>
            <a:ext uri="{FF2B5EF4-FFF2-40B4-BE49-F238E27FC236}">
              <a16:creationId xmlns:a16="http://schemas.microsoft.com/office/drawing/2014/main" id="{00000000-0008-0000-0100-0000E1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86" name="Drop Down 1" hidden="1">
          <a:extLst>
            <a:ext uri="{FF2B5EF4-FFF2-40B4-BE49-F238E27FC236}">
              <a16:creationId xmlns:a16="http://schemas.microsoft.com/office/drawing/2014/main" id="{00000000-0008-0000-0100-0000E2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787" name="Drop Down -1022" hidden="1">
          <a:extLst>
            <a:ext uri="{FF2B5EF4-FFF2-40B4-BE49-F238E27FC236}">
              <a16:creationId xmlns:a16="http://schemas.microsoft.com/office/drawing/2014/main" id="{00000000-0008-0000-0100-0000E30A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88" name="Drop Down 1" hidden="1">
          <a:extLst>
            <a:ext uri="{FF2B5EF4-FFF2-40B4-BE49-F238E27FC236}">
              <a16:creationId xmlns:a16="http://schemas.microsoft.com/office/drawing/2014/main" id="{00000000-0008-0000-0100-0000E4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89" name="Drop Down 1" hidden="1">
          <a:extLst>
            <a:ext uri="{FF2B5EF4-FFF2-40B4-BE49-F238E27FC236}">
              <a16:creationId xmlns:a16="http://schemas.microsoft.com/office/drawing/2014/main" id="{00000000-0008-0000-0100-0000E5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90" name="Drop Down 1" hidden="1">
          <a:extLst>
            <a:ext uri="{FF2B5EF4-FFF2-40B4-BE49-F238E27FC236}">
              <a16:creationId xmlns:a16="http://schemas.microsoft.com/office/drawing/2014/main" id="{00000000-0008-0000-0100-0000E6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91" name="Drop Down 1" hidden="1">
          <a:extLst>
            <a:ext uri="{FF2B5EF4-FFF2-40B4-BE49-F238E27FC236}">
              <a16:creationId xmlns:a16="http://schemas.microsoft.com/office/drawing/2014/main" id="{00000000-0008-0000-0100-0000E7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92" name="Drop Down 2" hidden="1">
          <a:extLst>
            <a:ext uri="{FF2B5EF4-FFF2-40B4-BE49-F238E27FC236}">
              <a16:creationId xmlns:a16="http://schemas.microsoft.com/office/drawing/2014/main" id="{00000000-0008-0000-0100-0000E8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93" name="Drop Down 1" hidden="1">
          <a:extLst>
            <a:ext uri="{FF2B5EF4-FFF2-40B4-BE49-F238E27FC236}">
              <a16:creationId xmlns:a16="http://schemas.microsoft.com/office/drawing/2014/main" id="{00000000-0008-0000-0100-0000E9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794" name="Drop Down -1022" hidden="1">
          <a:extLst>
            <a:ext uri="{FF2B5EF4-FFF2-40B4-BE49-F238E27FC236}">
              <a16:creationId xmlns:a16="http://schemas.microsoft.com/office/drawing/2014/main" id="{00000000-0008-0000-0100-0000EA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95" name="Drop Down 1" hidden="1">
          <a:extLst>
            <a:ext uri="{FF2B5EF4-FFF2-40B4-BE49-F238E27FC236}">
              <a16:creationId xmlns:a16="http://schemas.microsoft.com/office/drawing/2014/main" id="{00000000-0008-0000-0100-0000EB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96" name="Drop Down 1" hidden="1">
          <a:extLst>
            <a:ext uri="{FF2B5EF4-FFF2-40B4-BE49-F238E27FC236}">
              <a16:creationId xmlns:a16="http://schemas.microsoft.com/office/drawing/2014/main" id="{00000000-0008-0000-0100-0000EC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97" name="Drop Down 1" hidden="1">
          <a:extLst>
            <a:ext uri="{FF2B5EF4-FFF2-40B4-BE49-F238E27FC236}">
              <a16:creationId xmlns:a16="http://schemas.microsoft.com/office/drawing/2014/main" id="{00000000-0008-0000-0100-0000ED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98" name="Drop Down 1" hidden="1">
          <a:extLst>
            <a:ext uri="{FF2B5EF4-FFF2-40B4-BE49-F238E27FC236}">
              <a16:creationId xmlns:a16="http://schemas.microsoft.com/office/drawing/2014/main" id="{00000000-0008-0000-0100-0000EE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799" name="Drop Down 2" hidden="1">
          <a:extLst>
            <a:ext uri="{FF2B5EF4-FFF2-40B4-BE49-F238E27FC236}">
              <a16:creationId xmlns:a16="http://schemas.microsoft.com/office/drawing/2014/main" id="{00000000-0008-0000-0100-0000EF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800" name="Drop Down 1" hidden="1">
          <a:extLst>
            <a:ext uri="{FF2B5EF4-FFF2-40B4-BE49-F238E27FC236}">
              <a16:creationId xmlns:a16="http://schemas.microsoft.com/office/drawing/2014/main" id="{00000000-0008-0000-0100-0000F0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801" name="Drop Down -1022" hidden="1">
          <a:extLst>
            <a:ext uri="{FF2B5EF4-FFF2-40B4-BE49-F238E27FC236}">
              <a16:creationId xmlns:a16="http://schemas.microsoft.com/office/drawing/2014/main" id="{00000000-0008-0000-0100-0000F1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02" name="Drop Down 1" hidden="1">
          <a:extLst>
            <a:ext uri="{FF2B5EF4-FFF2-40B4-BE49-F238E27FC236}">
              <a16:creationId xmlns:a16="http://schemas.microsoft.com/office/drawing/2014/main" id="{00000000-0008-0000-0100-0000F2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03" name="Drop Down 1" hidden="1">
          <a:extLst>
            <a:ext uri="{FF2B5EF4-FFF2-40B4-BE49-F238E27FC236}">
              <a16:creationId xmlns:a16="http://schemas.microsoft.com/office/drawing/2014/main" id="{00000000-0008-0000-0100-0000F3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04" name="Drop Down 1" hidden="1">
          <a:extLst>
            <a:ext uri="{FF2B5EF4-FFF2-40B4-BE49-F238E27FC236}">
              <a16:creationId xmlns:a16="http://schemas.microsoft.com/office/drawing/2014/main" id="{00000000-0008-0000-0100-0000F4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05" name="Drop Down 1" hidden="1">
          <a:extLst>
            <a:ext uri="{FF2B5EF4-FFF2-40B4-BE49-F238E27FC236}">
              <a16:creationId xmlns:a16="http://schemas.microsoft.com/office/drawing/2014/main" id="{00000000-0008-0000-0100-0000F5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06" name="Drop Down 2" hidden="1">
          <a:extLst>
            <a:ext uri="{FF2B5EF4-FFF2-40B4-BE49-F238E27FC236}">
              <a16:creationId xmlns:a16="http://schemas.microsoft.com/office/drawing/2014/main" id="{00000000-0008-0000-0100-0000F6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07" name="Drop Down 1" hidden="1">
          <a:extLst>
            <a:ext uri="{FF2B5EF4-FFF2-40B4-BE49-F238E27FC236}">
              <a16:creationId xmlns:a16="http://schemas.microsoft.com/office/drawing/2014/main" id="{00000000-0008-0000-0100-0000F7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08" name="Drop Down -1022" hidden="1">
          <a:extLst>
            <a:ext uri="{FF2B5EF4-FFF2-40B4-BE49-F238E27FC236}">
              <a16:creationId xmlns:a16="http://schemas.microsoft.com/office/drawing/2014/main" id="{00000000-0008-0000-0100-0000F8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09" name="Drop Down 1" hidden="1">
          <a:extLst>
            <a:ext uri="{FF2B5EF4-FFF2-40B4-BE49-F238E27FC236}">
              <a16:creationId xmlns:a16="http://schemas.microsoft.com/office/drawing/2014/main" id="{00000000-0008-0000-0100-0000F9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10" name="Drop Down 1" hidden="1">
          <a:extLst>
            <a:ext uri="{FF2B5EF4-FFF2-40B4-BE49-F238E27FC236}">
              <a16:creationId xmlns:a16="http://schemas.microsoft.com/office/drawing/2014/main" id="{00000000-0008-0000-0100-0000FA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11" name="Drop Down 1" hidden="1">
          <a:extLst>
            <a:ext uri="{FF2B5EF4-FFF2-40B4-BE49-F238E27FC236}">
              <a16:creationId xmlns:a16="http://schemas.microsoft.com/office/drawing/2014/main" id="{00000000-0008-0000-0100-0000FB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12" name="Drop Down 1" hidden="1">
          <a:extLst>
            <a:ext uri="{FF2B5EF4-FFF2-40B4-BE49-F238E27FC236}">
              <a16:creationId xmlns:a16="http://schemas.microsoft.com/office/drawing/2014/main" id="{00000000-0008-0000-0100-0000FC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13" name="Drop Down 2" hidden="1">
          <a:extLst>
            <a:ext uri="{FF2B5EF4-FFF2-40B4-BE49-F238E27FC236}">
              <a16:creationId xmlns:a16="http://schemas.microsoft.com/office/drawing/2014/main" id="{00000000-0008-0000-0100-0000FD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14" name="Drop Down 1" hidden="1">
          <a:extLst>
            <a:ext uri="{FF2B5EF4-FFF2-40B4-BE49-F238E27FC236}">
              <a16:creationId xmlns:a16="http://schemas.microsoft.com/office/drawing/2014/main" id="{00000000-0008-0000-0100-0000FE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15" name="Drop Down -1022" hidden="1">
          <a:extLst>
            <a:ext uri="{FF2B5EF4-FFF2-40B4-BE49-F238E27FC236}">
              <a16:creationId xmlns:a16="http://schemas.microsoft.com/office/drawing/2014/main" id="{00000000-0008-0000-0100-0000FF0A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16" name="Drop Down 1" hidden="1">
          <a:extLst>
            <a:ext uri="{FF2B5EF4-FFF2-40B4-BE49-F238E27FC236}">
              <a16:creationId xmlns:a16="http://schemas.microsoft.com/office/drawing/2014/main" id="{00000000-0008-0000-0100-000000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17" name="Drop Down 1" hidden="1">
          <a:extLst>
            <a:ext uri="{FF2B5EF4-FFF2-40B4-BE49-F238E27FC236}">
              <a16:creationId xmlns:a16="http://schemas.microsoft.com/office/drawing/2014/main" id="{00000000-0008-0000-0100-000001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18" name="Drop Down 1" hidden="1">
          <a:extLst>
            <a:ext uri="{FF2B5EF4-FFF2-40B4-BE49-F238E27FC236}">
              <a16:creationId xmlns:a16="http://schemas.microsoft.com/office/drawing/2014/main" id="{00000000-0008-0000-0100-000002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19" name="Drop Down 1" hidden="1">
          <a:extLst>
            <a:ext uri="{FF2B5EF4-FFF2-40B4-BE49-F238E27FC236}">
              <a16:creationId xmlns:a16="http://schemas.microsoft.com/office/drawing/2014/main" id="{00000000-0008-0000-0100-000003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20" name="Drop Down 2" hidden="1">
          <a:extLst>
            <a:ext uri="{FF2B5EF4-FFF2-40B4-BE49-F238E27FC236}">
              <a16:creationId xmlns:a16="http://schemas.microsoft.com/office/drawing/2014/main" id="{00000000-0008-0000-0100-00000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21" name="Drop Down 1" hidden="1">
          <a:extLst>
            <a:ext uri="{FF2B5EF4-FFF2-40B4-BE49-F238E27FC236}">
              <a16:creationId xmlns:a16="http://schemas.microsoft.com/office/drawing/2014/main" id="{00000000-0008-0000-0100-00000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22" name="Drop Down -1022" hidden="1">
          <a:extLst>
            <a:ext uri="{FF2B5EF4-FFF2-40B4-BE49-F238E27FC236}">
              <a16:creationId xmlns:a16="http://schemas.microsoft.com/office/drawing/2014/main" id="{00000000-0008-0000-0100-00000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23" name="Drop Down 1" hidden="1">
          <a:extLst>
            <a:ext uri="{FF2B5EF4-FFF2-40B4-BE49-F238E27FC236}">
              <a16:creationId xmlns:a16="http://schemas.microsoft.com/office/drawing/2014/main" id="{00000000-0008-0000-0100-00000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24" name="Drop Down 1" hidden="1">
          <a:extLst>
            <a:ext uri="{FF2B5EF4-FFF2-40B4-BE49-F238E27FC236}">
              <a16:creationId xmlns:a16="http://schemas.microsoft.com/office/drawing/2014/main" id="{00000000-0008-0000-0100-00000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25" name="Drop Down 1" hidden="1">
          <a:extLst>
            <a:ext uri="{FF2B5EF4-FFF2-40B4-BE49-F238E27FC236}">
              <a16:creationId xmlns:a16="http://schemas.microsoft.com/office/drawing/2014/main" id="{00000000-0008-0000-0100-00000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26" name="Drop Down 1" hidden="1">
          <a:extLst>
            <a:ext uri="{FF2B5EF4-FFF2-40B4-BE49-F238E27FC236}">
              <a16:creationId xmlns:a16="http://schemas.microsoft.com/office/drawing/2014/main" id="{00000000-0008-0000-0100-00000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27" name="Drop Down 2" hidden="1">
          <a:extLst>
            <a:ext uri="{FF2B5EF4-FFF2-40B4-BE49-F238E27FC236}">
              <a16:creationId xmlns:a16="http://schemas.microsoft.com/office/drawing/2014/main" id="{00000000-0008-0000-0100-00000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28" name="Drop Down 1" hidden="1">
          <a:extLst>
            <a:ext uri="{FF2B5EF4-FFF2-40B4-BE49-F238E27FC236}">
              <a16:creationId xmlns:a16="http://schemas.microsoft.com/office/drawing/2014/main" id="{00000000-0008-0000-0100-00000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29" name="Drop Down -1022" hidden="1">
          <a:extLst>
            <a:ext uri="{FF2B5EF4-FFF2-40B4-BE49-F238E27FC236}">
              <a16:creationId xmlns:a16="http://schemas.microsoft.com/office/drawing/2014/main" id="{00000000-0008-0000-0100-00000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30" name="Drop Down 1" hidden="1">
          <a:extLst>
            <a:ext uri="{FF2B5EF4-FFF2-40B4-BE49-F238E27FC236}">
              <a16:creationId xmlns:a16="http://schemas.microsoft.com/office/drawing/2014/main" id="{00000000-0008-0000-0100-00000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31" name="Drop Down 1" hidden="1">
          <a:extLst>
            <a:ext uri="{FF2B5EF4-FFF2-40B4-BE49-F238E27FC236}">
              <a16:creationId xmlns:a16="http://schemas.microsoft.com/office/drawing/2014/main" id="{00000000-0008-0000-0100-00000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32" name="Drop Down 1" hidden="1">
          <a:extLst>
            <a:ext uri="{FF2B5EF4-FFF2-40B4-BE49-F238E27FC236}">
              <a16:creationId xmlns:a16="http://schemas.microsoft.com/office/drawing/2014/main" id="{00000000-0008-0000-0100-000010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33" name="Drop Down 1" hidden="1">
          <a:extLst>
            <a:ext uri="{FF2B5EF4-FFF2-40B4-BE49-F238E27FC236}">
              <a16:creationId xmlns:a16="http://schemas.microsoft.com/office/drawing/2014/main" id="{00000000-0008-0000-0100-000011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34" name="Drop Down 2" hidden="1">
          <a:extLst>
            <a:ext uri="{FF2B5EF4-FFF2-40B4-BE49-F238E27FC236}">
              <a16:creationId xmlns:a16="http://schemas.microsoft.com/office/drawing/2014/main" id="{00000000-0008-0000-0100-000012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35" name="Drop Down 1" hidden="1">
          <a:extLst>
            <a:ext uri="{FF2B5EF4-FFF2-40B4-BE49-F238E27FC236}">
              <a16:creationId xmlns:a16="http://schemas.microsoft.com/office/drawing/2014/main" id="{00000000-0008-0000-0100-000013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36" name="Drop Down -1022" hidden="1">
          <a:extLst>
            <a:ext uri="{FF2B5EF4-FFF2-40B4-BE49-F238E27FC236}">
              <a16:creationId xmlns:a16="http://schemas.microsoft.com/office/drawing/2014/main" id="{00000000-0008-0000-0100-00001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37" name="Drop Down 1" hidden="1">
          <a:extLst>
            <a:ext uri="{FF2B5EF4-FFF2-40B4-BE49-F238E27FC236}">
              <a16:creationId xmlns:a16="http://schemas.microsoft.com/office/drawing/2014/main" id="{00000000-0008-0000-0100-00001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38" name="Drop Down 1" hidden="1">
          <a:extLst>
            <a:ext uri="{FF2B5EF4-FFF2-40B4-BE49-F238E27FC236}">
              <a16:creationId xmlns:a16="http://schemas.microsoft.com/office/drawing/2014/main" id="{00000000-0008-0000-0100-00001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39" name="Drop Down 1" hidden="1">
          <a:extLst>
            <a:ext uri="{FF2B5EF4-FFF2-40B4-BE49-F238E27FC236}">
              <a16:creationId xmlns:a16="http://schemas.microsoft.com/office/drawing/2014/main" id="{00000000-0008-0000-0100-00001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40" name="Drop Down 1" hidden="1">
          <a:extLst>
            <a:ext uri="{FF2B5EF4-FFF2-40B4-BE49-F238E27FC236}">
              <a16:creationId xmlns:a16="http://schemas.microsoft.com/office/drawing/2014/main" id="{00000000-0008-0000-0100-00001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41" name="Drop Down 2" hidden="1">
          <a:extLst>
            <a:ext uri="{FF2B5EF4-FFF2-40B4-BE49-F238E27FC236}">
              <a16:creationId xmlns:a16="http://schemas.microsoft.com/office/drawing/2014/main" id="{00000000-0008-0000-0100-00001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42" name="Drop Down 1" hidden="1">
          <a:extLst>
            <a:ext uri="{FF2B5EF4-FFF2-40B4-BE49-F238E27FC236}">
              <a16:creationId xmlns:a16="http://schemas.microsoft.com/office/drawing/2014/main" id="{00000000-0008-0000-0100-00001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43" name="Drop Down -1022" hidden="1">
          <a:extLst>
            <a:ext uri="{FF2B5EF4-FFF2-40B4-BE49-F238E27FC236}">
              <a16:creationId xmlns:a16="http://schemas.microsoft.com/office/drawing/2014/main" id="{00000000-0008-0000-0100-00001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44" name="Drop Down 1" hidden="1">
          <a:extLst>
            <a:ext uri="{FF2B5EF4-FFF2-40B4-BE49-F238E27FC236}">
              <a16:creationId xmlns:a16="http://schemas.microsoft.com/office/drawing/2014/main" id="{00000000-0008-0000-0100-00001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45" name="Drop Down 1" hidden="1">
          <a:extLst>
            <a:ext uri="{FF2B5EF4-FFF2-40B4-BE49-F238E27FC236}">
              <a16:creationId xmlns:a16="http://schemas.microsoft.com/office/drawing/2014/main" id="{00000000-0008-0000-0100-00001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46" name="Drop Down 1" hidden="1">
          <a:extLst>
            <a:ext uri="{FF2B5EF4-FFF2-40B4-BE49-F238E27FC236}">
              <a16:creationId xmlns:a16="http://schemas.microsoft.com/office/drawing/2014/main" id="{00000000-0008-0000-0100-00001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47" name="Drop Down 1" hidden="1">
          <a:extLst>
            <a:ext uri="{FF2B5EF4-FFF2-40B4-BE49-F238E27FC236}">
              <a16:creationId xmlns:a16="http://schemas.microsoft.com/office/drawing/2014/main" id="{00000000-0008-0000-0100-00001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48" name="Drop Down 2" hidden="1">
          <a:extLst>
            <a:ext uri="{FF2B5EF4-FFF2-40B4-BE49-F238E27FC236}">
              <a16:creationId xmlns:a16="http://schemas.microsoft.com/office/drawing/2014/main" id="{00000000-0008-0000-0100-000020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49" name="Drop Down 1" hidden="1">
          <a:extLst>
            <a:ext uri="{FF2B5EF4-FFF2-40B4-BE49-F238E27FC236}">
              <a16:creationId xmlns:a16="http://schemas.microsoft.com/office/drawing/2014/main" id="{00000000-0008-0000-0100-000021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50" name="Drop Down -1022" hidden="1">
          <a:extLst>
            <a:ext uri="{FF2B5EF4-FFF2-40B4-BE49-F238E27FC236}">
              <a16:creationId xmlns:a16="http://schemas.microsoft.com/office/drawing/2014/main" id="{00000000-0008-0000-0100-000022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51" name="Drop Down 1" hidden="1">
          <a:extLst>
            <a:ext uri="{FF2B5EF4-FFF2-40B4-BE49-F238E27FC236}">
              <a16:creationId xmlns:a16="http://schemas.microsoft.com/office/drawing/2014/main" id="{00000000-0008-0000-0100-000023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52" name="Drop Down 1" hidden="1">
          <a:extLst>
            <a:ext uri="{FF2B5EF4-FFF2-40B4-BE49-F238E27FC236}">
              <a16:creationId xmlns:a16="http://schemas.microsoft.com/office/drawing/2014/main" id="{00000000-0008-0000-0100-00002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53" name="Drop Down 1" hidden="1">
          <a:extLst>
            <a:ext uri="{FF2B5EF4-FFF2-40B4-BE49-F238E27FC236}">
              <a16:creationId xmlns:a16="http://schemas.microsoft.com/office/drawing/2014/main" id="{00000000-0008-0000-0100-00002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54" name="Drop Down 1" hidden="1">
          <a:extLst>
            <a:ext uri="{FF2B5EF4-FFF2-40B4-BE49-F238E27FC236}">
              <a16:creationId xmlns:a16="http://schemas.microsoft.com/office/drawing/2014/main" id="{00000000-0008-0000-0100-00002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55" name="Drop Down 2" hidden="1">
          <a:extLst>
            <a:ext uri="{FF2B5EF4-FFF2-40B4-BE49-F238E27FC236}">
              <a16:creationId xmlns:a16="http://schemas.microsoft.com/office/drawing/2014/main" id="{00000000-0008-0000-0100-00002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56" name="Drop Down 1" hidden="1">
          <a:extLst>
            <a:ext uri="{FF2B5EF4-FFF2-40B4-BE49-F238E27FC236}">
              <a16:creationId xmlns:a16="http://schemas.microsoft.com/office/drawing/2014/main" id="{00000000-0008-0000-0100-00002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57" name="Drop Down -1022" hidden="1">
          <a:extLst>
            <a:ext uri="{FF2B5EF4-FFF2-40B4-BE49-F238E27FC236}">
              <a16:creationId xmlns:a16="http://schemas.microsoft.com/office/drawing/2014/main" id="{00000000-0008-0000-0100-00002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58" name="Drop Down 1" hidden="1">
          <a:extLst>
            <a:ext uri="{FF2B5EF4-FFF2-40B4-BE49-F238E27FC236}">
              <a16:creationId xmlns:a16="http://schemas.microsoft.com/office/drawing/2014/main" id="{00000000-0008-0000-0100-00002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59" name="Drop Down 1" hidden="1">
          <a:extLst>
            <a:ext uri="{FF2B5EF4-FFF2-40B4-BE49-F238E27FC236}">
              <a16:creationId xmlns:a16="http://schemas.microsoft.com/office/drawing/2014/main" id="{00000000-0008-0000-0100-00002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60" name="Drop Down 1" hidden="1">
          <a:extLst>
            <a:ext uri="{FF2B5EF4-FFF2-40B4-BE49-F238E27FC236}">
              <a16:creationId xmlns:a16="http://schemas.microsoft.com/office/drawing/2014/main" id="{00000000-0008-0000-0100-00002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61" name="Drop Down 1" hidden="1">
          <a:extLst>
            <a:ext uri="{FF2B5EF4-FFF2-40B4-BE49-F238E27FC236}">
              <a16:creationId xmlns:a16="http://schemas.microsoft.com/office/drawing/2014/main" id="{00000000-0008-0000-0100-00002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62" name="Drop Down 2" hidden="1">
          <a:extLst>
            <a:ext uri="{FF2B5EF4-FFF2-40B4-BE49-F238E27FC236}">
              <a16:creationId xmlns:a16="http://schemas.microsoft.com/office/drawing/2014/main" id="{00000000-0008-0000-0100-00002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63" name="Drop Down 1" hidden="1">
          <a:extLst>
            <a:ext uri="{FF2B5EF4-FFF2-40B4-BE49-F238E27FC236}">
              <a16:creationId xmlns:a16="http://schemas.microsoft.com/office/drawing/2014/main" id="{00000000-0008-0000-0100-00002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864" name="Drop Down -1022" hidden="1">
          <a:extLst>
            <a:ext uri="{FF2B5EF4-FFF2-40B4-BE49-F238E27FC236}">
              <a16:creationId xmlns:a16="http://schemas.microsoft.com/office/drawing/2014/main" id="{00000000-0008-0000-0100-000030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65" name="Drop Down 1" hidden="1">
          <a:extLst>
            <a:ext uri="{FF2B5EF4-FFF2-40B4-BE49-F238E27FC236}">
              <a16:creationId xmlns:a16="http://schemas.microsoft.com/office/drawing/2014/main" id="{00000000-0008-0000-0100-000031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66" name="Drop Down 1" hidden="1">
          <a:extLst>
            <a:ext uri="{FF2B5EF4-FFF2-40B4-BE49-F238E27FC236}">
              <a16:creationId xmlns:a16="http://schemas.microsoft.com/office/drawing/2014/main" id="{00000000-0008-0000-0100-000032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67" name="Drop Down 1" hidden="1">
          <a:extLst>
            <a:ext uri="{FF2B5EF4-FFF2-40B4-BE49-F238E27FC236}">
              <a16:creationId xmlns:a16="http://schemas.microsoft.com/office/drawing/2014/main" id="{00000000-0008-0000-0100-000033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68" name="Drop Down 1" hidden="1">
          <a:extLst>
            <a:ext uri="{FF2B5EF4-FFF2-40B4-BE49-F238E27FC236}">
              <a16:creationId xmlns:a16="http://schemas.microsoft.com/office/drawing/2014/main" id="{00000000-0008-0000-0100-00003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69" name="Drop Down 2" hidden="1">
          <a:extLst>
            <a:ext uri="{FF2B5EF4-FFF2-40B4-BE49-F238E27FC236}">
              <a16:creationId xmlns:a16="http://schemas.microsoft.com/office/drawing/2014/main" id="{00000000-0008-0000-0100-00003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70" name="Drop Down 1" hidden="1">
          <a:extLst>
            <a:ext uri="{FF2B5EF4-FFF2-40B4-BE49-F238E27FC236}">
              <a16:creationId xmlns:a16="http://schemas.microsoft.com/office/drawing/2014/main" id="{00000000-0008-0000-0100-00003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871" name="Drop Down -1022" hidden="1">
          <a:extLst>
            <a:ext uri="{FF2B5EF4-FFF2-40B4-BE49-F238E27FC236}">
              <a16:creationId xmlns:a16="http://schemas.microsoft.com/office/drawing/2014/main" id="{00000000-0008-0000-0100-00003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72" name="Drop Down 1" hidden="1">
          <a:extLst>
            <a:ext uri="{FF2B5EF4-FFF2-40B4-BE49-F238E27FC236}">
              <a16:creationId xmlns:a16="http://schemas.microsoft.com/office/drawing/2014/main" id="{00000000-0008-0000-0100-000038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73" name="Drop Down 1" hidden="1">
          <a:extLst>
            <a:ext uri="{FF2B5EF4-FFF2-40B4-BE49-F238E27FC236}">
              <a16:creationId xmlns:a16="http://schemas.microsoft.com/office/drawing/2014/main" id="{00000000-0008-0000-0100-000039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74" name="Drop Down 1" hidden="1">
          <a:extLst>
            <a:ext uri="{FF2B5EF4-FFF2-40B4-BE49-F238E27FC236}">
              <a16:creationId xmlns:a16="http://schemas.microsoft.com/office/drawing/2014/main" id="{00000000-0008-0000-0100-00003A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75" name="Drop Down 1" hidden="1">
          <a:extLst>
            <a:ext uri="{FF2B5EF4-FFF2-40B4-BE49-F238E27FC236}">
              <a16:creationId xmlns:a16="http://schemas.microsoft.com/office/drawing/2014/main" id="{00000000-0008-0000-0100-00003B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76" name="Drop Down 2" hidden="1">
          <a:extLst>
            <a:ext uri="{FF2B5EF4-FFF2-40B4-BE49-F238E27FC236}">
              <a16:creationId xmlns:a16="http://schemas.microsoft.com/office/drawing/2014/main" id="{00000000-0008-0000-0100-00003C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77" name="Drop Down 1" hidden="1">
          <a:extLst>
            <a:ext uri="{FF2B5EF4-FFF2-40B4-BE49-F238E27FC236}">
              <a16:creationId xmlns:a16="http://schemas.microsoft.com/office/drawing/2014/main" id="{00000000-0008-0000-0100-00003D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78" name="Drop Down -1022" hidden="1">
          <a:extLst>
            <a:ext uri="{FF2B5EF4-FFF2-40B4-BE49-F238E27FC236}">
              <a16:creationId xmlns:a16="http://schemas.microsoft.com/office/drawing/2014/main" id="{00000000-0008-0000-0100-00003E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79" name="Drop Down 1" hidden="1">
          <a:extLst>
            <a:ext uri="{FF2B5EF4-FFF2-40B4-BE49-F238E27FC236}">
              <a16:creationId xmlns:a16="http://schemas.microsoft.com/office/drawing/2014/main" id="{00000000-0008-0000-0100-00003F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80" name="Drop Down 1" hidden="1">
          <a:extLst>
            <a:ext uri="{FF2B5EF4-FFF2-40B4-BE49-F238E27FC236}">
              <a16:creationId xmlns:a16="http://schemas.microsoft.com/office/drawing/2014/main" id="{00000000-0008-0000-0100-000040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81" name="Drop Down 1" hidden="1">
          <a:extLst>
            <a:ext uri="{FF2B5EF4-FFF2-40B4-BE49-F238E27FC236}">
              <a16:creationId xmlns:a16="http://schemas.microsoft.com/office/drawing/2014/main" id="{00000000-0008-0000-0100-000041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82" name="Drop Down 1" hidden="1">
          <a:extLst>
            <a:ext uri="{FF2B5EF4-FFF2-40B4-BE49-F238E27FC236}">
              <a16:creationId xmlns:a16="http://schemas.microsoft.com/office/drawing/2014/main" id="{00000000-0008-0000-0100-000042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83" name="Drop Down 2" hidden="1">
          <a:extLst>
            <a:ext uri="{FF2B5EF4-FFF2-40B4-BE49-F238E27FC236}">
              <a16:creationId xmlns:a16="http://schemas.microsoft.com/office/drawing/2014/main" id="{00000000-0008-0000-0100-000043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84" name="Drop Down 1" hidden="1">
          <a:extLst>
            <a:ext uri="{FF2B5EF4-FFF2-40B4-BE49-F238E27FC236}">
              <a16:creationId xmlns:a16="http://schemas.microsoft.com/office/drawing/2014/main" id="{00000000-0008-0000-0100-000044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85" name="Drop Down -1022" hidden="1">
          <a:extLst>
            <a:ext uri="{FF2B5EF4-FFF2-40B4-BE49-F238E27FC236}">
              <a16:creationId xmlns:a16="http://schemas.microsoft.com/office/drawing/2014/main" id="{00000000-0008-0000-0100-000045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86" name="Drop Down 1" hidden="1">
          <a:extLst>
            <a:ext uri="{FF2B5EF4-FFF2-40B4-BE49-F238E27FC236}">
              <a16:creationId xmlns:a16="http://schemas.microsoft.com/office/drawing/2014/main" id="{00000000-0008-0000-0100-000046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87" name="Drop Down 1" hidden="1">
          <a:extLst>
            <a:ext uri="{FF2B5EF4-FFF2-40B4-BE49-F238E27FC236}">
              <a16:creationId xmlns:a16="http://schemas.microsoft.com/office/drawing/2014/main" id="{00000000-0008-0000-0100-000047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88" name="Drop Down 1" hidden="1">
          <a:extLst>
            <a:ext uri="{FF2B5EF4-FFF2-40B4-BE49-F238E27FC236}">
              <a16:creationId xmlns:a16="http://schemas.microsoft.com/office/drawing/2014/main" id="{00000000-0008-0000-0100-000048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89" name="Drop Down 1" hidden="1">
          <a:extLst>
            <a:ext uri="{FF2B5EF4-FFF2-40B4-BE49-F238E27FC236}">
              <a16:creationId xmlns:a16="http://schemas.microsoft.com/office/drawing/2014/main" id="{00000000-0008-0000-0100-000049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90" name="Drop Down 2" hidden="1">
          <a:extLst>
            <a:ext uri="{FF2B5EF4-FFF2-40B4-BE49-F238E27FC236}">
              <a16:creationId xmlns:a16="http://schemas.microsoft.com/office/drawing/2014/main" id="{00000000-0008-0000-0100-00004A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91" name="Drop Down 1" hidden="1">
          <a:extLst>
            <a:ext uri="{FF2B5EF4-FFF2-40B4-BE49-F238E27FC236}">
              <a16:creationId xmlns:a16="http://schemas.microsoft.com/office/drawing/2014/main" id="{00000000-0008-0000-0100-00004B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892" name="Drop Down -1022" hidden="1">
          <a:extLst>
            <a:ext uri="{FF2B5EF4-FFF2-40B4-BE49-F238E27FC236}">
              <a16:creationId xmlns:a16="http://schemas.microsoft.com/office/drawing/2014/main" id="{00000000-0008-0000-0100-00004C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93" name="Drop Down 1" hidden="1">
          <a:extLst>
            <a:ext uri="{FF2B5EF4-FFF2-40B4-BE49-F238E27FC236}">
              <a16:creationId xmlns:a16="http://schemas.microsoft.com/office/drawing/2014/main" id="{00000000-0008-0000-0100-00004D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94" name="Drop Down 1" hidden="1">
          <a:extLst>
            <a:ext uri="{FF2B5EF4-FFF2-40B4-BE49-F238E27FC236}">
              <a16:creationId xmlns:a16="http://schemas.microsoft.com/office/drawing/2014/main" id="{00000000-0008-0000-0100-00004E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95" name="Drop Down 1" hidden="1">
          <a:extLst>
            <a:ext uri="{FF2B5EF4-FFF2-40B4-BE49-F238E27FC236}">
              <a16:creationId xmlns:a16="http://schemas.microsoft.com/office/drawing/2014/main" id="{00000000-0008-0000-0100-00004F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96" name="Drop Down 1" hidden="1">
          <a:extLst>
            <a:ext uri="{FF2B5EF4-FFF2-40B4-BE49-F238E27FC236}">
              <a16:creationId xmlns:a16="http://schemas.microsoft.com/office/drawing/2014/main" id="{00000000-0008-0000-0100-000050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97" name="Drop Down 2" hidden="1">
          <a:extLst>
            <a:ext uri="{FF2B5EF4-FFF2-40B4-BE49-F238E27FC236}">
              <a16:creationId xmlns:a16="http://schemas.microsoft.com/office/drawing/2014/main" id="{00000000-0008-0000-0100-000051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98" name="Drop Down 1" hidden="1">
          <a:extLst>
            <a:ext uri="{FF2B5EF4-FFF2-40B4-BE49-F238E27FC236}">
              <a16:creationId xmlns:a16="http://schemas.microsoft.com/office/drawing/2014/main" id="{00000000-0008-0000-0100-000052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899" name="Drop Down -1022" hidden="1">
          <a:extLst>
            <a:ext uri="{FF2B5EF4-FFF2-40B4-BE49-F238E27FC236}">
              <a16:creationId xmlns:a16="http://schemas.microsoft.com/office/drawing/2014/main" id="{00000000-0008-0000-0100-000053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00" name="Drop Down 1" hidden="1">
          <a:extLst>
            <a:ext uri="{FF2B5EF4-FFF2-40B4-BE49-F238E27FC236}">
              <a16:creationId xmlns:a16="http://schemas.microsoft.com/office/drawing/2014/main" id="{00000000-0008-0000-0100-00005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01" name="Drop Down 1" hidden="1">
          <a:extLst>
            <a:ext uri="{FF2B5EF4-FFF2-40B4-BE49-F238E27FC236}">
              <a16:creationId xmlns:a16="http://schemas.microsoft.com/office/drawing/2014/main" id="{00000000-0008-0000-0100-00005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02" name="Drop Down 1" hidden="1">
          <a:extLst>
            <a:ext uri="{FF2B5EF4-FFF2-40B4-BE49-F238E27FC236}">
              <a16:creationId xmlns:a16="http://schemas.microsoft.com/office/drawing/2014/main" id="{00000000-0008-0000-0100-00005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03" name="Drop Down 1" hidden="1">
          <a:extLst>
            <a:ext uri="{FF2B5EF4-FFF2-40B4-BE49-F238E27FC236}">
              <a16:creationId xmlns:a16="http://schemas.microsoft.com/office/drawing/2014/main" id="{00000000-0008-0000-0100-00005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04" name="Drop Down 2" hidden="1">
          <a:extLst>
            <a:ext uri="{FF2B5EF4-FFF2-40B4-BE49-F238E27FC236}">
              <a16:creationId xmlns:a16="http://schemas.microsoft.com/office/drawing/2014/main" id="{00000000-0008-0000-0100-00005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05" name="Drop Down 1" hidden="1">
          <a:extLst>
            <a:ext uri="{FF2B5EF4-FFF2-40B4-BE49-F238E27FC236}">
              <a16:creationId xmlns:a16="http://schemas.microsoft.com/office/drawing/2014/main" id="{00000000-0008-0000-0100-00005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06" name="Drop Down -1022" hidden="1">
          <a:extLst>
            <a:ext uri="{FF2B5EF4-FFF2-40B4-BE49-F238E27FC236}">
              <a16:creationId xmlns:a16="http://schemas.microsoft.com/office/drawing/2014/main" id="{00000000-0008-0000-0100-00005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07" name="Drop Down 1" hidden="1">
          <a:extLst>
            <a:ext uri="{FF2B5EF4-FFF2-40B4-BE49-F238E27FC236}">
              <a16:creationId xmlns:a16="http://schemas.microsoft.com/office/drawing/2014/main" id="{00000000-0008-0000-0100-00005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08" name="Drop Down 1" hidden="1">
          <a:extLst>
            <a:ext uri="{FF2B5EF4-FFF2-40B4-BE49-F238E27FC236}">
              <a16:creationId xmlns:a16="http://schemas.microsoft.com/office/drawing/2014/main" id="{00000000-0008-0000-0100-00005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09" name="Drop Down 1" hidden="1">
          <a:extLst>
            <a:ext uri="{FF2B5EF4-FFF2-40B4-BE49-F238E27FC236}">
              <a16:creationId xmlns:a16="http://schemas.microsoft.com/office/drawing/2014/main" id="{00000000-0008-0000-0100-00005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10" name="Drop Down 1" hidden="1">
          <a:extLst>
            <a:ext uri="{FF2B5EF4-FFF2-40B4-BE49-F238E27FC236}">
              <a16:creationId xmlns:a16="http://schemas.microsoft.com/office/drawing/2014/main" id="{00000000-0008-0000-0100-00005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11" name="Drop Down 2" hidden="1">
          <a:extLst>
            <a:ext uri="{FF2B5EF4-FFF2-40B4-BE49-F238E27FC236}">
              <a16:creationId xmlns:a16="http://schemas.microsoft.com/office/drawing/2014/main" id="{00000000-0008-0000-0100-00005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12" name="Drop Down 1" hidden="1">
          <a:extLst>
            <a:ext uri="{FF2B5EF4-FFF2-40B4-BE49-F238E27FC236}">
              <a16:creationId xmlns:a16="http://schemas.microsoft.com/office/drawing/2014/main" id="{00000000-0008-0000-0100-000060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13" name="Drop Down -1022" hidden="1">
          <a:extLst>
            <a:ext uri="{FF2B5EF4-FFF2-40B4-BE49-F238E27FC236}">
              <a16:creationId xmlns:a16="http://schemas.microsoft.com/office/drawing/2014/main" id="{00000000-0008-0000-0100-000061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14" name="Drop Down 1" hidden="1">
          <a:extLst>
            <a:ext uri="{FF2B5EF4-FFF2-40B4-BE49-F238E27FC236}">
              <a16:creationId xmlns:a16="http://schemas.microsoft.com/office/drawing/2014/main" id="{00000000-0008-0000-0100-000062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15" name="Drop Down 1" hidden="1">
          <a:extLst>
            <a:ext uri="{FF2B5EF4-FFF2-40B4-BE49-F238E27FC236}">
              <a16:creationId xmlns:a16="http://schemas.microsoft.com/office/drawing/2014/main" id="{00000000-0008-0000-0100-000063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16" name="Drop Down 1" hidden="1">
          <a:extLst>
            <a:ext uri="{FF2B5EF4-FFF2-40B4-BE49-F238E27FC236}">
              <a16:creationId xmlns:a16="http://schemas.microsoft.com/office/drawing/2014/main" id="{00000000-0008-0000-0100-00006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17" name="Drop Down 1" hidden="1">
          <a:extLst>
            <a:ext uri="{FF2B5EF4-FFF2-40B4-BE49-F238E27FC236}">
              <a16:creationId xmlns:a16="http://schemas.microsoft.com/office/drawing/2014/main" id="{00000000-0008-0000-0100-00006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18" name="Drop Down 2" hidden="1">
          <a:extLst>
            <a:ext uri="{FF2B5EF4-FFF2-40B4-BE49-F238E27FC236}">
              <a16:creationId xmlns:a16="http://schemas.microsoft.com/office/drawing/2014/main" id="{00000000-0008-0000-0100-00006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19" name="Drop Down 1" hidden="1">
          <a:extLst>
            <a:ext uri="{FF2B5EF4-FFF2-40B4-BE49-F238E27FC236}">
              <a16:creationId xmlns:a16="http://schemas.microsoft.com/office/drawing/2014/main" id="{00000000-0008-0000-0100-00006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20" name="Drop Down -1022" hidden="1">
          <a:extLst>
            <a:ext uri="{FF2B5EF4-FFF2-40B4-BE49-F238E27FC236}">
              <a16:creationId xmlns:a16="http://schemas.microsoft.com/office/drawing/2014/main" id="{00000000-0008-0000-0100-00006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21" name="Drop Down 1" hidden="1">
          <a:extLst>
            <a:ext uri="{FF2B5EF4-FFF2-40B4-BE49-F238E27FC236}">
              <a16:creationId xmlns:a16="http://schemas.microsoft.com/office/drawing/2014/main" id="{00000000-0008-0000-0100-00006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22" name="Drop Down 1" hidden="1">
          <a:extLst>
            <a:ext uri="{FF2B5EF4-FFF2-40B4-BE49-F238E27FC236}">
              <a16:creationId xmlns:a16="http://schemas.microsoft.com/office/drawing/2014/main" id="{00000000-0008-0000-0100-00006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23" name="Drop Down 1" hidden="1">
          <a:extLst>
            <a:ext uri="{FF2B5EF4-FFF2-40B4-BE49-F238E27FC236}">
              <a16:creationId xmlns:a16="http://schemas.microsoft.com/office/drawing/2014/main" id="{00000000-0008-0000-0100-00006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24" name="Drop Down 1" hidden="1">
          <a:extLst>
            <a:ext uri="{FF2B5EF4-FFF2-40B4-BE49-F238E27FC236}">
              <a16:creationId xmlns:a16="http://schemas.microsoft.com/office/drawing/2014/main" id="{00000000-0008-0000-0100-00006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25" name="Drop Down 2" hidden="1">
          <a:extLst>
            <a:ext uri="{FF2B5EF4-FFF2-40B4-BE49-F238E27FC236}">
              <a16:creationId xmlns:a16="http://schemas.microsoft.com/office/drawing/2014/main" id="{00000000-0008-0000-0100-00006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26" name="Drop Down 1" hidden="1">
          <a:extLst>
            <a:ext uri="{FF2B5EF4-FFF2-40B4-BE49-F238E27FC236}">
              <a16:creationId xmlns:a16="http://schemas.microsoft.com/office/drawing/2014/main" id="{00000000-0008-0000-0100-00006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27" name="Drop Down -1022" hidden="1">
          <a:extLst>
            <a:ext uri="{FF2B5EF4-FFF2-40B4-BE49-F238E27FC236}">
              <a16:creationId xmlns:a16="http://schemas.microsoft.com/office/drawing/2014/main" id="{00000000-0008-0000-0100-00006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28" name="Drop Down 1" hidden="1">
          <a:extLst>
            <a:ext uri="{FF2B5EF4-FFF2-40B4-BE49-F238E27FC236}">
              <a16:creationId xmlns:a16="http://schemas.microsoft.com/office/drawing/2014/main" id="{00000000-0008-0000-0100-000070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29" name="Drop Down 1" hidden="1">
          <a:extLst>
            <a:ext uri="{FF2B5EF4-FFF2-40B4-BE49-F238E27FC236}">
              <a16:creationId xmlns:a16="http://schemas.microsoft.com/office/drawing/2014/main" id="{00000000-0008-0000-0100-000071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30" name="Drop Down 1" hidden="1">
          <a:extLst>
            <a:ext uri="{FF2B5EF4-FFF2-40B4-BE49-F238E27FC236}">
              <a16:creationId xmlns:a16="http://schemas.microsoft.com/office/drawing/2014/main" id="{00000000-0008-0000-0100-000072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31" name="Drop Down 1" hidden="1">
          <a:extLst>
            <a:ext uri="{FF2B5EF4-FFF2-40B4-BE49-F238E27FC236}">
              <a16:creationId xmlns:a16="http://schemas.microsoft.com/office/drawing/2014/main" id="{00000000-0008-0000-0100-000073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32" name="Drop Down 2" hidden="1">
          <a:extLst>
            <a:ext uri="{FF2B5EF4-FFF2-40B4-BE49-F238E27FC236}">
              <a16:creationId xmlns:a16="http://schemas.microsoft.com/office/drawing/2014/main" id="{00000000-0008-0000-0100-000074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33" name="Drop Down 1" hidden="1">
          <a:extLst>
            <a:ext uri="{FF2B5EF4-FFF2-40B4-BE49-F238E27FC236}">
              <a16:creationId xmlns:a16="http://schemas.microsoft.com/office/drawing/2014/main" id="{00000000-0008-0000-0100-000075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34" name="Drop Down -1022" hidden="1">
          <a:extLst>
            <a:ext uri="{FF2B5EF4-FFF2-40B4-BE49-F238E27FC236}">
              <a16:creationId xmlns:a16="http://schemas.microsoft.com/office/drawing/2014/main" id="{00000000-0008-0000-0100-000076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35" name="Drop Down 1" hidden="1">
          <a:extLst>
            <a:ext uri="{FF2B5EF4-FFF2-40B4-BE49-F238E27FC236}">
              <a16:creationId xmlns:a16="http://schemas.microsoft.com/office/drawing/2014/main" id="{00000000-0008-0000-0100-000077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36" name="Drop Down 1" hidden="1">
          <a:extLst>
            <a:ext uri="{FF2B5EF4-FFF2-40B4-BE49-F238E27FC236}">
              <a16:creationId xmlns:a16="http://schemas.microsoft.com/office/drawing/2014/main" id="{00000000-0008-0000-0100-000078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37" name="Drop Down 1" hidden="1">
          <a:extLst>
            <a:ext uri="{FF2B5EF4-FFF2-40B4-BE49-F238E27FC236}">
              <a16:creationId xmlns:a16="http://schemas.microsoft.com/office/drawing/2014/main" id="{00000000-0008-0000-0100-000079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38" name="Drop Down 1" hidden="1">
          <a:extLst>
            <a:ext uri="{FF2B5EF4-FFF2-40B4-BE49-F238E27FC236}">
              <a16:creationId xmlns:a16="http://schemas.microsoft.com/office/drawing/2014/main" id="{00000000-0008-0000-0100-00007A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39" name="Drop Down 2" hidden="1">
          <a:extLst>
            <a:ext uri="{FF2B5EF4-FFF2-40B4-BE49-F238E27FC236}">
              <a16:creationId xmlns:a16="http://schemas.microsoft.com/office/drawing/2014/main" id="{00000000-0008-0000-0100-00007B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40" name="Drop Down 1" hidden="1">
          <a:extLst>
            <a:ext uri="{FF2B5EF4-FFF2-40B4-BE49-F238E27FC236}">
              <a16:creationId xmlns:a16="http://schemas.microsoft.com/office/drawing/2014/main" id="{00000000-0008-0000-0100-00007C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41" name="Drop Down -1022" hidden="1">
          <a:extLst>
            <a:ext uri="{FF2B5EF4-FFF2-40B4-BE49-F238E27FC236}">
              <a16:creationId xmlns:a16="http://schemas.microsoft.com/office/drawing/2014/main" id="{00000000-0008-0000-0100-00007D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42" name="Drop Down 1" hidden="1">
          <a:extLst>
            <a:ext uri="{FF2B5EF4-FFF2-40B4-BE49-F238E27FC236}">
              <a16:creationId xmlns:a16="http://schemas.microsoft.com/office/drawing/2014/main" id="{00000000-0008-0000-0100-00007E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43" name="Drop Down 1" hidden="1">
          <a:extLst>
            <a:ext uri="{FF2B5EF4-FFF2-40B4-BE49-F238E27FC236}">
              <a16:creationId xmlns:a16="http://schemas.microsoft.com/office/drawing/2014/main" id="{00000000-0008-0000-0100-00007F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44" name="Drop Down 1" hidden="1">
          <a:extLst>
            <a:ext uri="{FF2B5EF4-FFF2-40B4-BE49-F238E27FC236}">
              <a16:creationId xmlns:a16="http://schemas.microsoft.com/office/drawing/2014/main" id="{00000000-0008-0000-0100-000080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45" name="Drop Down 1" hidden="1">
          <a:extLst>
            <a:ext uri="{FF2B5EF4-FFF2-40B4-BE49-F238E27FC236}">
              <a16:creationId xmlns:a16="http://schemas.microsoft.com/office/drawing/2014/main" id="{00000000-0008-0000-0100-000081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46" name="Drop Down 2" hidden="1">
          <a:extLst>
            <a:ext uri="{FF2B5EF4-FFF2-40B4-BE49-F238E27FC236}">
              <a16:creationId xmlns:a16="http://schemas.microsoft.com/office/drawing/2014/main" id="{00000000-0008-0000-0100-000082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47" name="Drop Down 1" hidden="1">
          <a:extLst>
            <a:ext uri="{FF2B5EF4-FFF2-40B4-BE49-F238E27FC236}">
              <a16:creationId xmlns:a16="http://schemas.microsoft.com/office/drawing/2014/main" id="{00000000-0008-0000-0100-000083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48" name="Drop Down -1022" hidden="1">
          <a:extLst>
            <a:ext uri="{FF2B5EF4-FFF2-40B4-BE49-F238E27FC236}">
              <a16:creationId xmlns:a16="http://schemas.microsoft.com/office/drawing/2014/main" id="{00000000-0008-0000-0100-000084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49" name="Drop Down 1" hidden="1">
          <a:extLst>
            <a:ext uri="{FF2B5EF4-FFF2-40B4-BE49-F238E27FC236}">
              <a16:creationId xmlns:a16="http://schemas.microsoft.com/office/drawing/2014/main" id="{00000000-0008-0000-0100-000085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50" name="Drop Down 1" hidden="1">
          <a:extLst>
            <a:ext uri="{FF2B5EF4-FFF2-40B4-BE49-F238E27FC236}">
              <a16:creationId xmlns:a16="http://schemas.microsoft.com/office/drawing/2014/main" id="{00000000-0008-0000-0100-000086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51" name="Drop Down 1" hidden="1">
          <a:extLst>
            <a:ext uri="{FF2B5EF4-FFF2-40B4-BE49-F238E27FC236}">
              <a16:creationId xmlns:a16="http://schemas.microsoft.com/office/drawing/2014/main" id="{00000000-0008-0000-0100-000087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52" name="Drop Down 1" hidden="1">
          <a:extLst>
            <a:ext uri="{FF2B5EF4-FFF2-40B4-BE49-F238E27FC236}">
              <a16:creationId xmlns:a16="http://schemas.microsoft.com/office/drawing/2014/main" id="{00000000-0008-0000-0100-000088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53" name="Drop Down 2" hidden="1">
          <a:extLst>
            <a:ext uri="{FF2B5EF4-FFF2-40B4-BE49-F238E27FC236}">
              <a16:creationId xmlns:a16="http://schemas.microsoft.com/office/drawing/2014/main" id="{00000000-0008-0000-0100-000089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54" name="Drop Down 1" hidden="1">
          <a:extLst>
            <a:ext uri="{FF2B5EF4-FFF2-40B4-BE49-F238E27FC236}">
              <a16:creationId xmlns:a16="http://schemas.microsoft.com/office/drawing/2014/main" id="{00000000-0008-0000-0100-00008A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55" name="Drop Down -1022" hidden="1">
          <a:extLst>
            <a:ext uri="{FF2B5EF4-FFF2-40B4-BE49-F238E27FC236}">
              <a16:creationId xmlns:a16="http://schemas.microsoft.com/office/drawing/2014/main" id="{00000000-0008-0000-0100-00008B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956" name="Drop Down 1" hidden="1">
          <a:extLst>
            <a:ext uri="{FF2B5EF4-FFF2-40B4-BE49-F238E27FC236}">
              <a16:creationId xmlns:a16="http://schemas.microsoft.com/office/drawing/2014/main" id="{00000000-0008-0000-0100-00008C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957" name="Drop Down 1" hidden="1">
          <a:extLst>
            <a:ext uri="{FF2B5EF4-FFF2-40B4-BE49-F238E27FC236}">
              <a16:creationId xmlns:a16="http://schemas.microsoft.com/office/drawing/2014/main" id="{00000000-0008-0000-0100-00008D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958" name="Drop Down 1" hidden="1">
          <a:extLst>
            <a:ext uri="{FF2B5EF4-FFF2-40B4-BE49-F238E27FC236}">
              <a16:creationId xmlns:a16="http://schemas.microsoft.com/office/drawing/2014/main" id="{00000000-0008-0000-0100-00008E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959" name="Drop Down 1" hidden="1">
          <a:extLst>
            <a:ext uri="{FF2B5EF4-FFF2-40B4-BE49-F238E27FC236}">
              <a16:creationId xmlns:a16="http://schemas.microsoft.com/office/drawing/2014/main" id="{00000000-0008-0000-0100-00008F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960" name="Drop Down 2" hidden="1">
          <a:extLst>
            <a:ext uri="{FF2B5EF4-FFF2-40B4-BE49-F238E27FC236}">
              <a16:creationId xmlns:a16="http://schemas.microsoft.com/office/drawing/2014/main" id="{00000000-0008-0000-0100-000090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961" name="Drop Down 1" hidden="1">
          <a:extLst>
            <a:ext uri="{FF2B5EF4-FFF2-40B4-BE49-F238E27FC236}">
              <a16:creationId xmlns:a16="http://schemas.microsoft.com/office/drawing/2014/main" id="{00000000-0008-0000-0100-000091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2962" name="Drop Down -1022" hidden="1">
          <a:extLst>
            <a:ext uri="{FF2B5EF4-FFF2-40B4-BE49-F238E27FC236}">
              <a16:creationId xmlns:a16="http://schemas.microsoft.com/office/drawing/2014/main" id="{00000000-0008-0000-0100-000092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963" name="Drop Down 1" hidden="1">
          <a:extLst>
            <a:ext uri="{FF2B5EF4-FFF2-40B4-BE49-F238E27FC236}">
              <a16:creationId xmlns:a16="http://schemas.microsoft.com/office/drawing/2014/main" id="{00000000-0008-0000-0100-000093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964" name="Drop Down 1" hidden="1">
          <a:extLst>
            <a:ext uri="{FF2B5EF4-FFF2-40B4-BE49-F238E27FC236}">
              <a16:creationId xmlns:a16="http://schemas.microsoft.com/office/drawing/2014/main" id="{00000000-0008-0000-0100-000094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965" name="Drop Down 1" hidden="1">
          <a:extLst>
            <a:ext uri="{FF2B5EF4-FFF2-40B4-BE49-F238E27FC236}">
              <a16:creationId xmlns:a16="http://schemas.microsoft.com/office/drawing/2014/main" id="{00000000-0008-0000-0100-000095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966" name="Drop Down 1" hidden="1">
          <a:extLst>
            <a:ext uri="{FF2B5EF4-FFF2-40B4-BE49-F238E27FC236}">
              <a16:creationId xmlns:a16="http://schemas.microsoft.com/office/drawing/2014/main" id="{00000000-0008-0000-0100-000096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967" name="Drop Down 2" hidden="1">
          <a:extLst>
            <a:ext uri="{FF2B5EF4-FFF2-40B4-BE49-F238E27FC236}">
              <a16:creationId xmlns:a16="http://schemas.microsoft.com/office/drawing/2014/main" id="{00000000-0008-0000-0100-000097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968" name="Drop Down 1" hidden="1">
          <a:extLst>
            <a:ext uri="{FF2B5EF4-FFF2-40B4-BE49-F238E27FC236}">
              <a16:creationId xmlns:a16="http://schemas.microsoft.com/office/drawing/2014/main" id="{00000000-0008-0000-0100-000098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2969" name="Drop Down -1022" hidden="1">
          <a:extLst>
            <a:ext uri="{FF2B5EF4-FFF2-40B4-BE49-F238E27FC236}">
              <a16:creationId xmlns:a16="http://schemas.microsoft.com/office/drawing/2014/main" id="{00000000-0008-0000-0100-000099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70" name="Drop Down 1" hidden="1">
          <a:extLst>
            <a:ext uri="{FF2B5EF4-FFF2-40B4-BE49-F238E27FC236}">
              <a16:creationId xmlns:a16="http://schemas.microsoft.com/office/drawing/2014/main" id="{00000000-0008-0000-0100-00009A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71" name="Drop Down 1" hidden="1">
          <a:extLst>
            <a:ext uri="{FF2B5EF4-FFF2-40B4-BE49-F238E27FC236}">
              <a16:creationId xmlns:a16="http://schemas.microsoft.com/office/drawing/2014/main" id="{00000000-0008-0000-0100-00009B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72" name="Drop Down 1" hidden="1">
          <a:extLst>
            <a:ext uri="{FF2B5EF4-FFF2-40B4-BE49-F238E27FC236}">
              <a16:creationId xmlns:a16="http://schemas.microsoft.com/office/drawing/2014/main" id="{00000000-0008-0000-0100-00009C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73" name="Drop Down 1" hidden="1">
          <a:extLst>
            <a:ext uri="{FF2B5EF4-FFF2-40B4-BE49-F238E27FC236}">
              <a16:creationId xmlns:a16="http://schemas.microsoft.com/office/drawing/2014/main" id="{00000000-0008-0000-0100-00009D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74" name="Drop Down 2" hidden="1">
          <a:extLst>
            <a:ext uri="{FF2B5EF4-FFF2-40B4-BE49-F238E27FC236}">
              <a16:creationId xmlns:a16="http://schemas.microsoft.com/office/drawing/2014/main" id="{00000000-0008-0000-0100-00009E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75" name="Drop Down 1" hidden="1">
          <a:extLst>
            <a:ext uri="{FF2B5EF4-FFF2-40B4-BE49-F238E27FC236}">
              <a16:creationId xmlns:a16="http://schemas.microsoft.com/office/drawing/2014/main" id="{00000000-0008-0000-0100-00009F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2976" name="Drop Down -1022" hidden="1">
          <a:extLst>
            <a:ext uri="{FF2B5EF4-FFF2-40B4-BE49-F238E27FC236}">
              <a16:creationId xmlns:a16="http://schemas.microsoft.com/office/drawing/2014/main" id="{00000000-0008-0000-0100-0000A0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77" name="Drop Down 1" hidden="1">
          <a:extLst>
            <a:ext uri="{FF2B5EF4-FFF2-40B4-BE49-F238E27FC236}">
              <a16:creationId xmlns:a16="http://schemas.microsoft.com/office/drawing/2014/main" id="{00000000-0008-0000-0100-0000A1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78" name="Drop Down 1" hidden="1">
          <a:extLst>
            <a:ext uri="{FF2B5EF4-FFF2-40B4-BE49-F238E27FC236}">
              <a16:creationId xmlns:a16="http://schemas.microsoft.com/office/drawing/2014/main" id="{00000000-0008-0000-0100-0000A2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79" name="Drop Down 1" hidden="1">
          <a:extLst>
            <a:ext uri="{FF2B5EF4-FFF2-40B4-BE49-F238E27FC236}">
              <a16:creationId xmlns:a16="http://schemas.microsoft.com/office/drawing/2014/main" id="{00000000-0008-0000-0100-0000A3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80" name="Drop Down 1" hidden="1">
          <a:extLst>
            <a:ext uri="{FF2B5EF4-FFF2-40B4-BE49-F238E27FC236}">
              <a16:creationId xmlns:a16="http://schemas.microsoft.com/office/drawing/2014/main" id="{00000000-0008-0000-0100-0000A4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81" name="Drop Down 2" hidden="1">
          <a:extLst>
            <a:ext uri="{FF2B5EF4-FFF2-40B4-BE49-F238E27FC236}">
              <a16:creationId xmlns:a16="http://schemas.microsoft.com/office/drawing/2014/main" id="{00000000-0008-0000-0100-0000A5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82" name="Drop Down 1" hidden="1">
          <a:extLst>
            <a:ext uri="{FF2B5EF4-FFF2-40B4-BE49-F238E27FC236}">
              <a16:creationId xmlns:a16="http://schemas.microsoft.com/office/drawing/2014/main" id="{00000000-0008-0000-0100-0000A6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2983" name="Drop Down -1022" hidden="1">
          <a:extLst>
            <a:ext uri="{FF2B5EF4-FFF2-40B4-BE49-F238E27FC236}">
              <a16:creationId xmlns:a16="http://schemas.microsoft.com/office/drawing/2014/main" id="{00000000-0008-0000-0100-0000A7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84" name="Drop Down 1" hidden="1">
          <a:extLst>
            <a:ext uri="{FF2B5EF4-FFF2-40B4-BE49-F238E27FC236}">
              <a16:creationId xmlns:a16="http://schemas.microsoft.com/office/drawing/2014/main" id="{00000000-0008-0000-0100-0000A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85" name="Drop Down 1" hidden="1">
          <a:extLst>
            <a:ext uri="{FF2B5EF4-FFF2-40B4-BE49-F238E27FC236}">
              <a16:creationId xmlns:a16="http://schemas.microsoft.com/office/drawing/2014/main" id="{00000000-0008-0000-0100-0000A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86" name="Drop Down 1" hidden="1">
          <a:extLst>
            <a:ext uri="{FF2B5EF4-FFF2-40B4-BE49-F238E27FC236}">
              <a16:creationId xmlns:a16="http://schemas.microsoft.com/office/drawing/2014/main" id="{00000000-0008-0000-0100-0000A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87" name="Drop Down 1" hidden="1">
          <a:extLst>
            <a:ext uri="{FF2B5EF4-FFF2-40B4-BE49-F238E27FC236}">
              <a16:creationId xmlns:a16="http://schemas.microsoft.com/office/drawing/2014/main" id="{00000000-0008-0000-0100-0000A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88" name="Drop Down 2" hidden="1">
          <a:extLst>
            <a:ext uri="{FF2B5EF4-FFF2-40B4-BE49-F238E27FC236}">
              <a16:creationId xmlns:a16="http://schemas.microsoft.com/office/drawing/2014/main" id="{00000000-0008-0000-0100-0000A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89" name="Drop Down 1" hidden="1">
          <a:extLst>
            <a:ext uri="{FF2B5EF4-FFF2-40B4-BE49-F238E27FC236}">
              <a16:creationId xmlns:a16="http://schemas.microsoft.com/office/drawing/2014/main" id="{00000000-0008-0000-0100-0000A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90" name="Drop Down -1022" hidden="1">
          <a:extLst>
            <a:ext uri="{FF2B5EF4-FFF2-40B4-BE49-F238E27FC236}">
              <a16:creationId xmlns:a16="http://schemas.microsoft.com/office/drawing/2014/main" id="{00000000-0008-0000-0100-0000A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91" name="Drop Down 1" hidden="1">
          <a:extLst>
            <a:ext uri="{FF2B5EF4-FFF2-40B4-BE49-F238E27FC236}">
              <a16:creationId xmlns:a16="http://schemas.microsoft.com/office/drawing/2014/main" id="{00000000-0008-0000-0100-0000A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92" name="Drop Down 1" hidden="1">
          <a:extLst>
            <a:ext uri="{FF2B5EF4-FFF2-40B4-BE49-F238E27FC236}">
              <a16:creationId xmlns:a16="http://schemas.microsoft.com/office/drawing/2014/main" id="{00000000-0008-0000-0100-0000B0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93" name="Drop Down 1" hidden="1">
          <a:extLst>
            <a:ext uri="{FF2B5EF4-FFF2-40B4-BE49-F238E27FC236}">
              <a16:creationId xmlns:a16="http://schemas.microsoft.com/office/drawing/2014/main" id="{00000000-0008-0000-0100-0000B1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94" name="Drop Down 1" hidden="1">
          <a:extLst>
            <a:ext uri="{FF2B5EF4-FFF2-40B4-BE49-F238E27FC236}">
              <a16:creationId xmlns:a16="http://schemas.microsoft.com/office/drawing/2014/main" id="{00000000-0008-0000-0100-0000B2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95" name="Drop Down 2" hidden="1">
          <a:extLst>
            <a:ext uri="{FF2B5EF4-FFF2-40B4-BE49-F238E27FC236}">
              <a16:creationId xmlns:a16="http://schemas.microsoft.com/office/drawing/2014/main" id="{00000000-0008-0000-0100-0000B3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96" name="Drop Down 1" hidden="1">
          <a:extLst>
            <a:ext uri="{FF2B5EF4-FFF2-40B4-BE49-F238E27FC236}">
              <a16:creationId xmlns:a16="http://schemas.microsoft.com/office/drawing/2014/main" id="{00000000-0008-0000-0100-0000B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2997" name="Drop Down -1022" hidden="1">
          <a:extLst>
            <a:ext uri="{FF2B5EF4-FFF2-40B4-BE49-F238E27FC236}">
              <a16:creationId xmlns:a16="http://schemas.microsoft.com/office/drawing/2014/main" id="{00000000-0008-0000-0100-0000B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98" name="Drop Down 1" hidden="1">
          <a:extLst>
            <a:ext uri="{FF2B5EF4-FFF2-40B4-BE49-F238E27FC236}">
              <a16:creationId xmlns:a16="http://schemas.microsoft.com/office/drawing/2014/main" id="{00000000-0008-0000-0100-0000B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2999" name="Drop Down 1" hidden="1">
          <a:extLst>
            <a:ext uri="{FF2B5EF4-FFF2-40B4-BE49-F238E27FC236}">
              <a16:creationId xmlns:a16="http://schemas.microsoft.com/office/drawing/2014/main" id="{00000000-0008-0000-0100-0000B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00" name="Drop Down 1" hidden="1">
          <a:extLst>
            <a:ext uri="{FF2B5EF4-FFF2-40B4-BE49-F238E27FC236}">
              <a16:creationId xmlns:a16="http://schemas.microsoft.com/office/drawing/2014/main" id="{00000000-0008-0000-0100-0000B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01" name="Drop Down 1" hidden="1">
          <a:extLst>
            <a:ext uri="{FF2B5EF4-FFF2-40B4-BE49-F238E27FC236}">
              <a16:creationId xmlns:a16="http://schemas.microsoft.com/office/drawing/2014/main" id="{00000000-0008-0000-0100-0000B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02" name="Drop Down 2" hidden="1">
          <a:extLst>
            <a:ext uri="{FF2B5EF4-FFF2-40B4-BE49-F238E27FC236}">
              <a16:creationId xmlns:a16="http://schemas.microsoft.com/office/drawing/2014/main" id="{00000000-0008-0000-0100-0000B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03" name="Drop Down 1" hidden="1">
          <a:extLst>
            <a:ext uri="{FF2B5EF4-FFF2-40B4-BE49-F238E27FC236}">
              <a16:creationId xmlns:a16="http://schemas.microsoft.com/office/drawing/2014/main" id="{00000000-0008-0000-0100-0000B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04" name="Drop Down -1022" hidden="1">
          <a:extLst>
            <a:ext uri="{FF2B5EF4-FFF2-40B4-BE49-F238E27FC236}">
              <a16:creationId xmlns:a16="http://schemas.microsoft.com/office/drawing/2014/main" id="{00000000-0008-0000-0100-0000B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05" name="Drop Down 1" hidden="1">
          <a:extLst>
            <a:ext uri="{FF2B5EF4-FFF2-40B4-BE49-F238E27FC236}">
              <a16:creationId xmlns:a16="http://schemas.microsoft.com/office/drawing/2014/main" id="{00000000-0008-0000-0100-0000B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06" name="Drop Down 1" hidden="1">
          <a:extLst>
            <a:ext uri="{FF2B5EF4-FFF2-40B4-BE49-F238E27FC236}">
              <a16:creationId xmlns:a16="http://schemas.microsoft.com/office/drawing/2014/main" id="{00000000-0008-0000-0100-0000B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07" name="Drop Down 1" hidden="1">
          <a:extLst>
            <a:ext uri="{FF2B5EF4-FFF2-40B4-BE49-F238E27FC236}">
              <a16:creationId xmlns:a16="http://schemas.microsoft.com/office/drawing/2014/main" id="{00000000-0008-0000-0100-0000B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08" name="Drop Down 1" hidden="1">
          <a:extLst>
            <a:ext uri="{FF2B5EF4-FFF2-40B4-BE49-F238E27FC236}">
              <a16:creationId xmlns:a16="http://schemas.microsoft.com/office/drawing/2014/main" id="{00000000-0008-0000-0100-0000C0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09" name="Drop Down 2" hidden="1">
          <a:extLst>
            <a:ext uri="{FF2B5EF4-FFF2-40B4-BE49-F238E27FC236}">
              <a16:creationId xmlns:a16="http://schemas.microsoft.com/office/drawing/2014/main" id="{00000000-0008-0000-0100-0000C1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10" name="Drop Down 1" hidden="1">
          <a:extLst>
            <a:ext uri="{FF2B5EF4-FFF2-40B4-BE49-F238E27FC236}">
              <a16:creationId xmlns:a16="http://schemas.microsoft.com/office/drawing/2014/main" id="{00000000-0008-0000-0100-0000C2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11" name="Drop Down -1022" hidden="1">
          <a:extLst>
            <a:ext uri="{FF2B5EF4-FFF2-40B4-BE49-F238E27FC236}">
              <a16:creationId xmlns:a16="http://schemas.microsoft.com/office/drawing/2014/main" id="{00000000-0008-0000-0100-0000C3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12" name="Drop Down 1" hidden="1">
          <a:extLst>
            <a:ext uri="{FF2B5EF4-FFF2-40B4-BE49-F238E27FC236}">
              <a16:creationId xmlns:a16="http://schemas.microsoft.com/office/drawing/2014/main" id="{00000000-0008-0000-0100-0000C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13" name="Drop Down 1" hidden="1">
          <a:extLst>
            <a:ext uri="{FF2B5EF4-FFF2-40B4-BE49-F238E27FC236}">
              <a16:creationId xmlns:a16="http://schemas.microsoft.com/office/drawing/2014/main" id="{00000000-0008-0000-0100-0000C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14" name="Drop Down 1" hidden="1">
          <a:extLst>
            <a:ext uri="{FF2B5EF4-FFF2-40B4-BE49-F238E27FC236}">
              <a16:creationId xmlns:a16="http://schemas.microsoft.com/office/drawing/2014/main" id="{00000000-0008-0000-0100-0000C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15" name="Drop Down 1" hidden="1">
          <a:extLst>
            <a:ext uri="{FF2B5EF4-FFF2-40B4-BE49-F238E27FC236}">
              <a16:creationId xmlns:a16="http://schemas.microsoft.com/office/drawing/2014/main" id="{00000000-0008-0000-0100-0000C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16" name="Drop Down 2" hidden="1">
          <a:extLst>
            <a:ext uri="{FF2B5EF4-FFF2-40B4-BE49-F238E27FC236}">
              <a16:creationId xmlns:a16="http://schemas.microsoft.com/office/drawing/2014/main" id="{00000000-0008-0000-0100-0000C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17" name="Drop Down 1" hidden="1">
          <a:extLst>
            <a:ext uri="{FF2B5EF4-FFF2-40B4-BE49-F238E27FC236}">
              <a16:creationId xmlns:a16="http://schemas.microsoft.com/office/drawing/2014/main" id="{00000000-0008-0000-0100-0000C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18" name="Drop Down -1022" hidden="1">
          <a:extLst>
            <a:ext uri="{FF2B5EF4-FFF2-40B4-BE49-F238E27FC236}">
              <a16:creationId xmlns:a16="http://schemas.microsoft.com/office/drawing/2014/main" id="{00000000-0008-0000-0100-0000C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19" name="Drop Down 1" hidden="1">
          <a:extLst>
            <a:ext uri="{FF2B5EF4-FFF2-40B4-BE49-F238E27FC236}">
              <a16:creationId xmlns:a16="http://schemas.microsoft.com/office/drawing/2014/main" id="{00000000-0008-0000-0100-0000C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20" name="Drop Down 1" hidden="1">
          <a:extLst>
            <a:ext uri="{FF2B5EF4-FFF2-40B4-BE49-F238E27FC236}">
              <a16:creationId xmlns:a16="http://schemas.microsoft.com/office/drawing/2014/main" id="{00000000-0008-0000-0100-0000C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21" name="Drop Down 1" hidden="1">
          <a:extLst>
            <a:ext uri="{FF2B5EF4-FFF2-40B4-BE49-F238E27FC236}">
              <a16:creationId xmlns:a16="http://schemas.microsoft.com/office/drawing/2014/main" id="{00000000-0008-0000-0100-0000C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22" name="Drop Down 1" hidden="1">
          <a:extLst>
            <a:ext uri="{FF2B5EF4-FFF2-40B4-BE49-F238E27FC236}">
              <a16:creationId xmlns:a16="http://schemas.microsoft.com/office/drawing/2014/main" id="{00000000-0008-0000-0100-0000C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23" name="Drop Down 2" hidden="1">
          <a:extLst>
            <a:ext uri="{FF2B5EF4-FFF2-40B4-BE49-F238E27FC236}">
              <a16:creationId xmlns:a16="http://schemas.microsoft.com/office/drawing/2014/main" id="{00000000-0008-0000-0100-0000C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24" name="Drop Down 1" hidden="1">
          <a:extLst>
            <a:ext uri="{FF2B5EF4-FFF2-40B4-BE49-F238E27FC236}">
              <a16:creationId xmlns:a16="http://schemas.microsoft.com/office/drawing/2014/main" id="{00000000-0008-0000-0100-0000D0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25" name="Drop Down -1022" hidden="1">
          <a:extLst>
            <a:ext uri="{FF2B5EF4-FFF2-40B4-BE49-F238E27FC236}">
              <a16:creationId xmlns:a16="http://schemas.microsoft.com/office/drawing/2014/main" id="{00000000-0008-0000-0100-0000D1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26" name="Drop Down 1" hidden="1">
          <a:extLst>
            <a:ext uri="{FF2B5EF4-FFF2-40B4-BE49-F238E27FC236}">
              <a16:creationId xmlns:a16="http://schemas.microsoft.com/office/drawing/2014/main" id="{00000000-0008-0000-0100-0000D2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27" name="Drop Down 1" hidden="1">
          <a:extLst>
            <a:ext uri="{FF2B5EF4-FFF2-40B4-BE49-F238E27FC236}">
              <a16:creationId xmlns:a16="http://schemas.microsoft.com/office/drawing/2014/main" id="{00000000-0008-0000-0100-0000D3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28" name="Drop Down 1" hidden="1">
          <a:extLst>
            <a:ext uri="{FF2B5EF4-FFF2-40B4-BE49-F238E27FC236}">
              <a16:creationId xmlns:a16="http://schemas.microsoft.com/office/drawing/2014/main" id="{00000000-0008-0000-0100-0000D4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29" name="Drop Down 1" hidden="1">
          <a:extLst>
            <a:ext uri="{FF2B5EF4-FFF2-40B4-BE49-F238E27FC236}">
              <a16:creationId xmlns:a16="http://schemas.microsoft.com/office/drawing/2014/main" id="{00000000-0008-0000-0100-0000D5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30" name="Drop Down 2" hidden="1">
          <a:extLst>
            <a:ext uri="{FF2B5EF4-FFF2-40B4-BE49-F238E27FC236}">
              <a16:creationId xmlns:a16="http://schemas.microsoft.com/office/drawing/2014/main" id="{00000000-0008-0000-0100-0000D6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31" name="Drop Down 1" hidden="1">
          <a:extLst>
            <a:ext uri="{FF2B5EF4-FFF2-40B4-BE49-F238E27FC236}">
              <a16:creationId xmlns:a16="http://schemas.microsoft.com/office/drawing/2014/main" id="{00000000-0008-0000-0100-0000D7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32" name="Drop Down -1022" hidden="1">
          <a:extLst>
            <a:ext uri="{FF2B5EF4-FFF2-40B4-BE49-F238E27FC236}">
              <a16:creationId xmlns:a16="http://schemas.microsoft.com/office/drawing/2014/main" id="{00000000-0008-0000-0100-0000D8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33" name="Drop Down 1" hidden="1">
          <a:extLst>
            <a:ext uri="{FF2B5EF4-FFF2-40B4-BE49-F238E27FC236}">
              <a16:creationId xmlns:a16="http://schemas.microsoft.com/office/drawing/2014/main" id="{00000000-0008-0000-0100-0000D9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34" name="Drop Down 1" hidden="1">
          <a:extLst>
            <a:ext uri="{FF2B5EF4-FFF2-40B4-BE49-F238E27FC236}">
              <a16:creationId xmlns:a16="http://schemas.microsoft.com/office/drawing/2014/main" id="{00000000-0008-0000-0100-0000DA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35" name="Drop Down 1" hidden="1">
          <a:extLst>
            <a:ext uri="{FF2B5EF4-FFF2-40B4-BE49-F238E27FC236}">
              <a16:creationId xmlns:a16="http://schemas.microsoft.com/office/drawing/2014/main" id="{00000000-0008-0000-0100-0000DB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36" name="Drop Down 1" hidden="1">
          <a:extLst>
            <a:ext uri="{FF2B5EF4-FFF2-40B4-BE49-F238E27FC236}">
              <a16:creationId xmlns:a16="http://schemas.microsoft.com/office/drawing/2014/main" id="{00000000-0008-0000-0100-0000D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37" name="Drop Down 2" hidden="1">
          <a:extLst>
            <a:ext uri="{FF2B5EF4-FFF2-40B4-BE49-F238E27FC236}">
              <a16:creationId xmlns:a16="http://schemas.microsoft.com/office/drawing/2014/main" id="{00000000-0008-0000-0100-0000D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38" name="Drop Down 1" hidden="1">
          <a:extLst>
            <a:ext uri="{FF2B5EF4-FFF2-40B4-BE49-F238E27FC236}">
              <a16:creationId xmlns:a16="http://schemas.microsoft.com/office/drawing/2014/main" id="{00000000-0008-0000-0100-0000D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39" name="Drop Down -1022" hidden="1">
          <a:extLst>
            <a:ext uri="{FF2B5EF4-FFF2-40B4-BE49-F238E27FC236}">
              <a16:creationId xmlns:a16="http://schemas.microsoft.com/office/drawing/2014/main" id="{00000000-0008-0000-0100-0000D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40" name="Drop Down 1" hidden="1">
          <a:extLst>
            <a:ext uri="{FF2B5EF4-FFF2-40B4-BE49-F238E27FC236}">
              <a16:creationId xmlns:a16="http://schemas.microsoft.com/office/drawing/2014/main" id="{00000000-0008-0000-0100-0000E0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41" name="Drop Down 1" hidden="1">
          <a:extLst>
            <a:ext uri="{FF2B5EF4-FFF2-40B4-BE49-F238E27FC236}">
              <a16:creationId xmlns:a16="http://schemas.microsoft.com/office/drawing/2014/main" id="{00000000-0008-0000-0100-0000E1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42" name="Drop Down 1" hidden="1">
          <a:extLst>
            <a:ext uri="{FF2B5EF4-FFF2-40B4-BE49-F238E27FC236}">
              <a16:creationId xmlns:a16="http://schemas.microsoft.com/office/drawing/2014/main" id="{00000000-0008-0000-0100-0000E2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43" name="Drop Down 1" hidden="1">
          <a:extLst>
            <a:ext uri="{FF2B5EF4-FFF2-40B4-BE49-F238E27FC236}">
              <a16:creationId xmlns:a16="http://schemas.microsoft.com/office/drawing/2014/main" id="{00000000-0008-0000-0100-0000E3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44" name="Drop Down 2" hidden="1">
          <a:extLst>
            <a:ext uri="{FF2B5EF4-FFF2-40B4-BE49-F238E27FC236}">
              <a16:creationId xmlns:a16="http://schemas.microsoft.com/office/drawing/2014/main" id="{00000000-0008-0000-0100-0000E4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45" name="Drop Down 1" hidden="1">
          <a:extLst>
            <a:ext uri="{FF2B5EF4-FFF2-40B4-BE49-F238E27FC236}">
              <a16:creationId xmlns:a16="http://schemas.microsoft.com/office/drawing/2014/main" id="{00000000-0008-0000-0100-0000E5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46" name="Drop Down -1022" hidden="1">
          <a:extLst>
            <a:ext uri="{FF2B5EF4-FFF2-40B4-BE49-F238E27FC236}">
              <a16:creationId xmlns:a16="http://schemas.microsoft.com/office/drawing/2014/main" id="{00000000-0008-0000-0100-0000E6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47" name="Drop Down 1" hidden="1">
          <a:extLst>
            <a:ext uri="{FF2B5EF4-FFF2-40B4-BE49-F238E27FC236}">
              <a16:creationId xmlns:a16="http://schemas.microsoft.com/office/drawing/2014/main" id="{00000000-0008-0000-0100-0000E7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48" name="Drop Down 1" hidden="1">
          <a:extLst>
            <a:ext uri="{FF2B5EF4-FFF2-40B4-BE49-F238E27FC236}">
              <a16:creationId xmlns:a16="http://schemas.microsoft.com/office/drawing/2014/main" id="{00000000-0008-0000-0100-0000E8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49" name="Drop Down 1" hidden="1">
          <a:extLst>
            <a:ext uri="{FF2B5EF4-FFF2-40B4-BE49-F238E27FC236}">
              <a16:creationId xmlns:a16="http://schemas.microsoft.com/office/drawing/2014/main" id="{00000000-0008-0000-0100-0000E9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50" name="Drop Down 1" hidden="1">
          <a:extLst>
            <a:ext uri="{FF2B5EF4-FFF2-40B4-BE49-F238E27FC236}">
              <a16:creationId xmlns:a16="http://schemas.microsoft.com/office/drawing/2014/main" id="{00000000-0008-0000-0100-0000EA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51" name="Drop Down 2" hidden="1">
          <a:extLst>
            <a:ext uri="{FF2B5EF4-FFF2-40B4-BE49-F238E27FC236}">
              <a16:creationId xmlns:a16="http://schemas.microsoft.com/office/drawing/2014/main" id="{00000000-0008-0000-0100-0000EB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52" name="Drop Down 1" hidden="1">
          <a:extLst>
            <a:ext uri="{FF2B5EF4-FFF2-40B4-BE49-F238E27FC236}">
              <a16:creationId xmlns:a16="http://schemas.microsoft.com/office/drawing/2014/main" id="{00000000-0008-0000-0100-0000EC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53" name="Drop Down -1022" hidden="1">
          <a:extLst>
            <a:ext uri="{FF2B5EF4-FFF2-40B4-BE49-F238E27FC236}">
              <a16:creationId xmlns:a16="http://schemas.microsoft.com/office/drawing/2014/main" id="{00000000-0008-0000-0100-0000ED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54" name="Drop Down 1" hidden="1">
          <a:extLst>
            <a:ext uri="{FF2B5EF4-FFF2-40B4-BE49-F238E27FC236}">
              <a16:creationId xmlns:a16="http://schemas.microsoft.com/office/drawing/2014/main" id="{00000000-0008-0000-0100-0000EE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55" name="Drop Down 1" hidden="1">
          <a:extLst>
            <a:ext uri="{FF2B5EF4-FFF2-40B4-BE49-F238E27FC236}">
              <a16:creationId xmlns:a16="http://schemas.microsoft.com/office/drawing/2014/main" id="{00000000-0008-0000-0100-0000EF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56" name="Drop Down 1" hidden="1">
          <a:extLst>
            <a:ext uri="{FF2B5EF4-FFF2-40B4-BE49-F238E27FC236}">
              <a16:creationId xmlns:a16="http://schemas.microsoft.com/office/drawing/2014/main" id="{00000000-0008-0000-0100-0000F0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57" name="Drop Down 1" hidden="1">
          <a:extLst>
            <a:ext uri="{FF2B5EF4-FFF2-40B4-BE49-F238E27FC236}">
              <a16:creationId xmlns:a16="http://schemas.microsoft.com/office/drawing/2014/main" id="{00000000-0008-0000-0100-0000F1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58" name="Drop Down 2" hidden="1">
          <a:extLst>
            <a:ext uri="{FF2B5EF4-FFF2-40B4-BE49-F238E27FC236}">
              <a16:creationId xmlns:a16="http://schemas.microsoft.com/office/drawing/2014/main" id="{00000000-0008-0000-0100-0000F2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59" name="Drop Down 1" hidden="1">
          <a:extLst>
            <a:ext uri="{FF2B5EF4-FFF2-40B4-BE49-F238E27FC236}">
              <a16:creationId xmlns:a16="http://schemas.microsoft.com/office/drawing/2014/main" id="{00000000-0008-0000-0100-0000F3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60" name="Drop Down -1022" hidden="1">
          <a:extLst>
            <a:ext uri="{FF2B5EF4-FFF2-40B4-BE49-F238E27FC236}">
              <a16:creationId xmlns:a16="http://schemas.microsoft.com/office/drawing/2014/main" id="{00000000-0008-0000-0100-0000F4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61" name="Drop Down 1" hidden="1">
          <a:extLst>
            <a:ext uri="{FF2B5EF4-FFF2-40B4-BE49-F238E27FC236}">
              <a16:creationId xmlns:a16="http://schemas.microsoft.com/office/drawing/2014/main" id="{00000000-0008-0000-0100-0000F5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62" name="Drop Down 1" hidden="1">
          <a:extLst>
            <a:ext uri="{FF2B5EF4-FFF2-40B4-BE49-F238E27FC236}">
              <a16:creationId xmlns:a16="http://schemas.microsoft.com/office/drawing/2014/main" id="{00000000-0008-0000-0100-0000F6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63" name="Drop Down 1" hidden="1">
          <a:extLst>
            <a:ext uri="{FF2B5EF4-FFF2-40B4-BE49-F238E27FC236}">
              <a16:creationId xmlns:a16="http://schemas.microsoft.com/office/drawing/2014/main" id="{00000000-0008-0000-0100-0000F7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64" name="Drop Down 1" hidden="1">
          <a:extLst>
            <a:ext uri="{FF2B5EF4-FFF2-40B4-BE49-F238E27FC236}">
              <a16:creationId xmlns:a16="http://schemas.microsoft.com/office/drawing/2014/main" id="{00000000-0008-0000-0100-0000F8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65" name="Drop Down 2" hidden="1">
          <a:extLst>
            <a:ext uri="{FF2B5EF4-FFF2-40B4-BE49-F238E27FC236}">
              <a16:creationId xmlns:a16="http://schemas.microsoft.com/office/drawing/2014/main" id="{00000000-0008-0000-0100-0000F9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66" name="Drop Down 1" hidden="1">
          <a:extLst>
            <a:ext uri="{FF2B5EF4-FFF2-40B4-BE49-F238E27FC236}">
              <a16:creationId xmlns:a16="http://schemas.microsoft.com/office/drawing/2014/main" id="{00000000-0008-0000-0100-0000FA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067" name="Drop Down -1022" hidden="1">
          <a:extLst>
            <a:ext uri="{FF2B5EF4-FFF2-40B4-BE49-F238E27FC236}">
              <a16:creationId xmlns:a16="http://schemas.microsoft.com/office/drawing/2014/main" id="{00000000-0008-0000-0100-0000FB0B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68" name="Drop Down 1" hidden="1">
          <a:extLst>
            <a:ext uri="{FF2B5EF4-FFF2-40B4-BE49-F238E27FC236}">
              <a16:creationId xmlns:a16="http://schemas.microsoft.com/office/drawing/2014/main" id="{00000000-0008-0000-0100-0000FC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69" name="Drop Down 1" hidden="1">
          <a:extLst>
            <a:ext uri="{FF2B5EF4-FFF2-40B4-BE49-F238E27FC236}">
              <a16:creationId xmlns:a16="http://schemas.microsoft.com/office/drawing/2014/main" id="{00000000-0008-0000-0100-0000FD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70" name="Drop Down 1" hidden="1">
          <a:extLst>
            <a:ext uri="{FF2B5EF4-FFF2-40B4-BE49-F238E27FC236}">
              <a16:creationId xmlns:a16="http://schemas.microsoft.com/office/drawing/2014/main" id="{00000000-0008-0000-0100-0000FE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71" name="Drop Down 1" hidden="1">
          <a:extLst>
            <a:ext uri="{FF2B5EF4-FFF2-40B4-BE49-F238E27FC236}">
              <a16:creationId xmlns:a16="http://schemas.microsoft.com/office/drawing/2014/main" id="{00000000-0008-0000-0100-0000FF0B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72" name="Drop Down 2" hidden="1">
          <a:extLst>
            <a:ext uri="{FF2B5EF4-FFF2-40B4-BE49-F238E27FC236}">
              <a16:creationId xmlns:a16="http://schemas.microsoft.com/office/drawing/2014/main" id="{00000000-0008-0000-0100-00000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73" name="Drop Down 1" hidden="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74" name="Drop Down -1022" hidden="1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75" name="Drop Down 1" hidden="1">
          <a:extLst>
            <a:ext uri="{FF2B5EF4-FFF2-40B4-BE49-F238E27FC236}">
              <a16:creationId xmlns:a16="http://schemas.microsoft.com/office/drawing/2014/main" id="{00000000-0008-0000-0100-00000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76" name="Drop Down 1" hidden="1">
          <a:extLst>
            <a:ext uri="{FF2B5EF4-FFF2-40B4-BE49-F238E27FC236}">
              <a16:creationId xmlns:a16="http://schemas.microsoft.com/office/drawing/2014/main" id="{00000000-0008-0000-0100-00000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77" name="Drop Down 1" hidden="1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78" name="Drop Down 1" hidden="1">
          <a:extLst>
            <a:ext uri="{FF2B5EF4-FFF2-40B4-BE49-F238E27FC236}">
              <a16:creationId xmlns:a16="http://schemas.microsoft.com/office/drawing/2014/main" id="{00000000-0008-0000-0100-00000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79" name="Drop Down 2" hidden="1">
          <a:extLst>
            <a:ext uri="{FF2B5EF4-FFF2-40B4-BE49-F238E27FC236}">
              <a16:creationId xmlns:a16="http://schemas.microsoft.com/office/drawing/2014/main" id="{00000000-0008-0000-0100-00000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80" name="Drop Down 1" hidden="1">
          <a:extLst>
            <a:ext uri="{FF2B5EF4-FFF2-40B4-BE49-F238E27FC236}">
              <a16:creationId xmlns:a16="http://schemas.microsoft.com/office/drawing/2014/main" id="{00000000-0008-0000-0100-00000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81" name="Drop Down -1022" hidden="1">
          <a:extLst>
            <a:ext uri="{FF2B5EF4-FFF2-40B4-BE49-F238E27FC236}">
              <a16:creationId xmlns:a16="http://schemas.microsoft.com/office/drawing/2014/main" id="{00000000-0008-0000-0100-00000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82" name="Drop Down 1" hidden="1">
          <a:extLst>
            <a:ext uri="{FF2B5EF4-FFF2-40B4-BE49-F238E27FC236}">
              <a16:creationId xmlns:a16="http://schemas.microsoft.com/office/drawing/2014/main" id="{00000000-0008-0000-0100-00000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83" name="Drop Down 1" hidden="1">
          <a:extLst>
            <a:ext uri="{FF2B5EF4-FFF2-40B4-BE49-F238E27FC236}">
              <a16:creationId xmlns:a16="http://schemas.microsoft.com/office/drawing/2014/main" id="{00000000-0008-0000-0100-00000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84" name="Drop Down 1" hidden="1">
          <a:extLst>
            <a:ext uri="{FF2B5EF4-FFF2-40B4-BE49-F238E27FC236}">
              <a16:creationId xmlns:a16="http://schemas.microsoft.com/office/drawing/2014/main" id="{00000000-0008-0000-0100-00000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85" name="Drop Down 1" hidden="1">
          <a:extLst>
            <a:ext uri="{FF2B5EF4-FFF2-40B4-BE49-F238E27FC236}">
              <a16:creationId xmlns:a16="http://schemas.microsoft.com/office/drawing/2014/main" id="{00000000-0008-0000-0100-00000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86" name="Drop Down 2" hidden="1">
          <a:extLst>
            <a:ext uri="{FF2B5EF4-FFF2-40B4-BE49-F238E27FC236}">
              <a16:creationId xmlns:a16="http://schemas.microsoft.com/office/drawing/2014/main" id="{00000000-0008-0000-0100-00000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87" name="Drop Down 1" hidden="1">
          <a:extLst>
            <a:ext uri="{FF2B5EF4-FFF2-40B4-BE49-F238E27FC236}">
              <a16:creationId xmlns:a16="http://schemas.microsoft.com/office/drawing/2014/main" id="{00000000-0008-0000-0100-00000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088" name="Drop Down -1022" hidden="1">
          <a:extLst>
            <a:ext uri="{FF2B5EF4-FFF2-40B4-BE49-F238E27FC236}">
              <a16:creationId xmlns:a16="http://schemas.microsoft.com/office/drawing/2014/main" id="{00000000-0008-0000-0100-00001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89" name="Drop Down 1" hidden="1">
          <a:extLst>
            <a:ext uri="{FF2B5EF4-FFF2-40B4-BE49-F238E27FC236}">
              <a16:creationId xmlns:a16="http://schemas.microsoft.com/office/drawing/2014/main" id="{00000000-0008-0000-0100-00001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90" name="Drop Down 1" hidden="1">
          <a:extLst>
            <a:ext uri="{FF2B5EF4-FFF2-40B4-BE49-F238E27FC236}">
              <a16:creationId xmlns:a16="http://schemas.microsoft.com/office/drawing/2014/main" id="{00000000-0008-0000-0100-00001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91" name="Drop Down 1" hidden="1">
          <a:extLst>
            <a:ext uri="{FF2B5EF4-FFF2-40B4-BE49-F238E27FC236}">
              <a16:creationId xmlns:a16="http://schemas.microsoft.com/office/drawing/2014/main" id="{00000000-0008-0000-0100-00001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92" name="Drop Down 1" hidden="1">
          <a:extLst>
            <a:ext uri="{FF2B5EF4-FFF2-40B4-BE49-F238E27FC236}">
              <a16:creationId xmlns:a16="http://schemas.microsoft.com/office/drawing/2014/main" id="{00000000-0008-0000-0100-00001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93" name="Drop Down 2" hidden="1">
          <a:extLst>
            <a:ext uri="{FF2B5EF4-FFF2-40B4-BE49-F238E27FC236}">
              <a16:creationId xmlns:a16="http://schemas.microsoft.com/office/drawing/2014/main" id="{00000000-0008-0000-0100-00001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94" name="Drop Down 1" hidden="1">
          <a:extLst>
            <a:ext uri="{FF2B5EF4-FFF2-40B4-BE49-F238E27FC236}">
              <a16:creationId xmlns:a16="http://schemas.microsoft.com/office/drawing/2014/main" id="{00000000-0008-0000-0100-00001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095" name="Drop Down -1022" hidden="1">
          <a:extLst>
            <a:ext uri="{FF2B5EF4-FFF2-40B4-BE49-F238E27FC236}">
              <a16:creationId xmlns:a16="http://schemas.microsoft.com/office/drawing/2014/main" id="{00000000-0008-0000-0100-00001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96" name="Drop Down 1" hidden="1">
          <a:extLst>
            <a:ext uri="{FF2B5EF4-FFF2-40B4-BE49-F238E27FC236}">
              <a16:creationId xmlns:a16="http://schemas.microsoft.com/office/drawing/2014/main" id="{00000000-0008-0000-0100-000018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97" name="Drop Down 1" hidden="1">
          <a:extLst>
            <a:ext uri="{FF2B5EF4-FFF2-40B4-BE49-F238E27FC236}">
              <a16:creationId xmlns:a16="http://schemas.microsoft.com/office/drawing/2014/main" id="{00000000-0008-0000-0100-000019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98" name="Drop Down 1" hidden="1">
          <a:extLst>
            <a:ext uri="{FF2B5EF4-FFF2-40B4-BE49-F238E27FC236}">
              <a16:creationId xmlns:a16="http://schemas.microsoft.com/office/drawing/2014/main" id="{00000000-0008-0000-0100-00001A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099" name="Drop Down 1" hidden="1">
          <a:extLst>
            <a:ext uri="{FF2B5EF4-FFF2-40B4-BE49-F238E27FC236}">
              <a16:creationId xmlns:a16="http://schemas.microsoft.com/office/drawing/2014/main" id="{00000000-0008-0000-0100-00001B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00" name="Drop Down 2" hidden="1">
          <a:extLst>
            <a:ext uri="{FF2B5EF4-FFF2-40B4-BE49-F238E27FC236}">
              <a16:creationId xmlns:a16="http://schemas.microsoft.com/office/drawing/2014/main" id="{00000000-0008-0000-0100-00001C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01" name="Drop Down 1" hidden="1">
          <a:extLst>
            <a:ext uri="{FF2B5EF4-FFF2-40B4-BE49-F238E27FC236}">
              <a16:creationId xmlns:a16="http://schemas.microsoft.com/office/drawing/2014/main" id="{00000000-0008-0000-0100-00001D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02" name="Drop Down -1022" hidden="1">
          <a:extLst>
            <a:ext uri="{FF2B5EF4-FFF2-40B4-BE49-F238E27FC236}">
              <a16:creationId xmlns:a16="http://schemas.microsoft.com/office/drawing/2014/main" id="{00000000-0008-0000-0100-00001E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03" name="Drop Down 1" hidden="1">
          <a:extLst>
            <a:ext uri="{FF2B5EF4-FFF2-40B4-BE49-F238E27FC236}">
              <a16:creationId xmlns:a16="http://schemas.microsoft.com/office/drawing/2014/main" id="{00000000-0008-0000-0100-00001F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04" name="Drop Down 1" hidden="1">
          <a:extLst>
            <a:ext uri="{FF2B5EF4-FFF2-40B4-BE49-F238E27FC236}">
              <a16:creationId xmlns:a16="http://schemas.microsoft.com/office/drawing/2014/main" id="{00000000-0008-0000-0100-000020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05" name="Drop Down 1" hidden="1">
          <a:extLst>
            <a:ext uri="{FF2B5EF4-FFF2-40B4-BE49-F238E27FC236}">
              <a16:creationId xmlns:a16="http://schemas.microsoft.com/office/drawing/2014/main" id="{00000000-0008-0000-0100-000021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06" name="Drop Down 1" hidden="1">
          <a:extLst>
            <a:ext uri="{FF2B5EF4-FFF2-40B4-BE49-F238E27FC236}">
              <a16:creationId xmlns:a16="http://schemas.microsoft.com/office/drawing/2014/main" id="{00000000-0008-0000-0100-000022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07" name="Drop Down 2" hidden="1">
          <a:extLst>
            <a:ext uri="{FF2B5EF4-FFF2-40B4-BE49-F238E27FC236}">
              <a16:creationId xmlns:a16="http://schemas.microsoft.com/office/drawing/2014/main" id="{00000000-0008-0000-0100-000023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08" name="Drop Down 1" hidden="1">
          <a:extLst>
            <a:ext uri="{FF2B5EF4-FFF2-40B4-BE49-F238E27FC236}">
              <a16:creationId xmlns:a16="http://schemas.microsoft.com/office/drawing/2014/main" id="{00000000-0008-0000-0100-000024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09" name="Drop Down -1022" hidden="1">
          <a:extLst>
            <a:ext uri="{FF2B5EF4-FFF2-40B4-BE49-F238E27FC236}">
              <a16:creationId xmlns:a16="http://schemas.microsoft.com/office/drawing/2014/main" id="{00000000-0008-0000-0100-000025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10" name="Drop Down 1" hidden="1">
          <a:extLst>
            <a:ext uri="{FF2B5EF4-FFF2-40B4-BE49-F238E27FC236}">
              <a16:creationId xmlns:a16="http://schemas.microsoft.com/office/drawing/2014/main" id="{00000000-0008-0000-0100-000026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11" name="Drop Down 1" hidden="1">
          <a:extLst>
            <a:ext uri="{FF2B5EF4-FFF2-40B4-BE49-F238E27FC236}">
              <a16:creationId xmlns:a16="http://schemas.microsoft.com/office/drawing/2014/main" id="{00000000-0008-0000-0100-000027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12" name="Drop Down 1" hidden="1">
          <a:extLst>
            <a:ext uri="{FF2B5EF4-FFF2-40B4-BE49-F238E27FC236}">
              <a16:creationId xmlns:a16="http://schemas.microsoft.com/office/drawing/2014/main" id="{00000000-0008-0000-0100-000028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13" name="Drop Down 1" hidden="1">
          <a:extLst>
            <a:ext uri="{FF2B5EF4-FFF2-40B4-BE49-F238E27FC236}">
              <a16:creationId xmlns:a16="http://schemas.microsoft.com/office/drawing/2014/main" id="{00000000-0008-0000-0100-000029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14" name="Drop Down 2" hidden="1">
          <a:extLs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15" name="Drop Down 1" hidden="1">
          <a:extLs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116" name="Drop Down -1022" hidden="1">
          <a:extLs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17" name="Drop Down 1" hidden="1">
          <a:extLs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18" name="Drop Down 1" hidden="1">
          <a:extLs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19" name="Drop Down 1" hidden="1">
          <a:extLs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20" name="Drop Down 1" hidden="1">
          <a:extLs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21" name="Drop Down 2" hidden="1">
          <a:extLs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22" name="Drop Down 1" hidden="1">
          <a:extLs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123" name="Drop Down -1022" hidden="1">
          <a:extLst>
            <a:ext uri="{FF2B5EF4-FFF2-40B4-BE49-F238E27FC236}">
              <a16:creationId xmlns:a16="http://schemas.microsoft.com/office/drawing/2014/main" id="{00000000-0008-0000-0100-000033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124" name="Drop Down 1" hidden="1">
          <a:extLs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125" name="Drop Down 1" hidden="1">
          <a:extLs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126" name="Drop Down 1" hidden="1">
          <a:extLs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127" name="Drop Down 1" hidden="1">
          <a:extLs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128" name="Drop Down 2" hidden="1">
          <a:extLst>
            <a:ext uri="{FF2B5EF4-FFF2-40B4-BE49-F238E27FC236}">
              <a16:creationId xmlns:a16="http://schemas.microsoft.com/office/drawing/2014/main" id="{00000000-0008-0000-0100-00003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129" name="Drop Down 1" hidden="1">
          <a:extLst>
            <a:ext uri="{FF2B5EF4-FFF2-40B4-BE49-F238E27FC236}">
              <a16:creationId xmlns:a16="http://schemas.microsoft.com/office/drawing/2014/main" id="{00000000-0008-0000-0100-00003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130" name="Drop Down -1022" hidden="1">
          <a:extLst>
            <a:ext uri="{FF2B5EF4-FFF2-40B4-BE49-F238E27FC236}">
              <a16:creationId xmlns:a16="http://schemas.microsoft.com/office/drawing/2014/main" id="{00000000-0008-0000-0100-00003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131" name="Drop Down 1" hidden="1">
          <a:extLs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132" name="Drop Down 1" hidden="1">
          <a:extLst>
            <a:ext uri="{FF2B5EF4-FFF2-40B4-BE49-F238E27FC236}">
              <a16:creationId xmlns:a16="http://schemas.microsoft.com/office/drawing/2014/main" id="{00000000-0008-0000-0100-00003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133" name="Drop Down 1" hidden="1">
          <a:extLs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134" name="Drop Down 1" hidden="1">
          <a:extLst>
            <a:ext uri="{FF2B5EF4-FFF2-40B4-BE49-F238E27FC236}">
              <a16:creationId xmlns:a16="http://schemas.microsoft.com/office/drawing/2014/main" id="{00000000-0008-0000-0100-00003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135" name="Drop Down 2" hidden="1">
          <a:extLs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136" name="Drop Down 1" hidden="1">
          <a:extLst>
            <a:ext uri="{FF2B5EF4-FFF2-40B4-BE49-F238E27FC236}">
              <a16:creationId xmlns:a16="http://schemas.microsoft.com/office/drawing/2014/main" id="{00000000-0008-0000-0100-00004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137" name="Drop Down -1022" hidden="1">
          <a:extLst>
            <a:ext uri="{FF2B5EF4-FFF2-40B4-BE49-F238E27FC236}">
              <a16:creationId xmlns:a16="http://schemas.microsoft.com/office/drawing/2014/main" id="{00000000-0008-0000-0100-00004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38" name="Drop Down 1" hidden="1">
          <a:extLst>
            <a:ext uri="{FF2B5EF4-FFF2-40B4-BE49-F238E27FC236}">
              <a16:creationId xmlns:a16="http://schemas.microsoft.com/office/drawing/2014/main" id="{00000000-0008-0000-0100-00004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39" name="Drop Down 1" hidden="1">
          <a:extLst>
            <a:ext uri="{FF2B5EF4-FFF2-40B4-BE49-F238E27FC236}">
              <a16:creationId xmlns:a16="http://schemas.microsoft.com/office/drawing/2014/main" id="{00000000-0008-0000-0100-00004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40" name="Drop Down 1" hidden="1">
          <a:extLst>
            <a:ext uri="{FF2B5EF4-FFF2-40B4-BE49-F238E27FC236}">
              <a16:creationId xmlns:a16="http://schemas.microsoft.com/office/drawing/2014/main" id="{00000000-0008-0000-0100-00004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41" name="Drop Down 1" hidden="1">
          <a:extLst>
            <a:ext uri="{FF2B5EF4-FFF2-40B4-BE49-F238E27FC236}">
              <a16:creationId xmlns:a16="http://schemas.microsoft.com/office/drawing/2014/main" id="{00000000-0008-0000-0100-00004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42" name="Drop Down 2" hidden="1">
          <a:extLs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43" name="Drop Down 1" hidden="1">
          <a:extLs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44" name="Drop Down -1022" hidden="1">
          <a:extLs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45" name="Drop Down 1" hidden="1">
          <a:extLs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46" name="Drop Down 1" hidden="1">
          <a:extLs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47" name="Drop Down 1" hidden="1">
          <a:extLs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48" name="Drop Down 1" hidden="1">
          <a:extLs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49" name="Drop Down 2" hidden="1">
          <a:extLs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50" name="Drop Down 1" hidden="1">
          <a:extLst>
            <a:ext uri="{FF2B5EF4-FFF2-40B4-BE49-F238E27FC236}">
              <a16:creationId xmlns:a16="http://schemas.microsoft.com/office/drawing/2014/main" id="{00000000-0008-0000-0100-00004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51" name="Drop Down -1022" hidden="1">
          <a:extLst>
            <a:ext uri="{FF2B5EF4-FFF2-40B4-BE49-F238E27FC236}">
              <a16:creationId xmlns:a16="http://schemas.microsoft.com/office/drawing/2014/main" id="{00000000-0008-0000-0100-00004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52" name="Drop Down 1" hidden="1">
          <a:extLst>
            <a:ext uri="{FF2B5EF4-FFF2-40B4-BE49-F238E27FC236}">
              <a16:creationId xmlns:a16="http://schemas.microsoft.com/office/drawing/2014/main" id="{00000000-0008-0000-0100-00005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53" name="Drop Down 1" hidden="1">
          <a:extLst>
            <a:ext uri="{FF2B5EF4-FFF2-40B4-BE49-F238E27FC236}">
              <a16:creationId xmlns:a16="http://schemas.microsoft.com/office/drawing/2014/main" id="{00000000-0008-0000-0100-00005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54" name="Drop Down 1" hidden="1">
          <a:extLst>
            <a:ext uri="{FF2B5EF4-FFF2-40B4-BE49-F238E27FC236}">
              <a16:creationId xmlns:a16="http://schemas.microsoft.com/office/drawing/2014/main" id="{00000000-0008-0000-0100-00005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55" name="Drop Down 1" hidden="1">
          <a:extLst>
            <a:ext uri="{FF2B5EF4-FFF2-40B4-BE49-F238E27FC236}">
              <a16:creationId xmlns:a16="http://schemas.microsoft.com/office/drawing/2014/main" id="{00000000-0008-0000-0100-00005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56" name="Drop Down 2" hidden="1">
          <a:extLst>
            <a:ext uri="{FF2B5EF4-FFF2-40B4-BE49-F238E27FC236}">
              <a16:creationId xmlns:a16="http://schemas.microsoft.com/office/drawing/2014/main" id="{00000000-0008-0000-0100-00005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57" name="Drop Down 1" hidden="1">
          <a:extLst>
            <a:ext uri="{FF2B5EF4-FFF2-40B4-BE49-F238E27FC236}">
              <a16:creationId xmlns:a16="http://schemas.microsoft.com/office/drawing/2014/main" id="{00000000-0008-0000-0100-00005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58" name="Drop Down -1022" hidden="1">
          <a:extLs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59" name="Drop Down 1" hidden="1">
          <a:extLs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60" name="Drop Down 1" hidden="1">
          <a:extLs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61" name="Drop Down 1" hidden="1">
          <a:extLs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62" name="Drop Down 1" hidden="1">
          <a:extLs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63" name="Drop Down 2" hidden="1">
          <a:extLs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64" name="Drop Down 1" hidden="1">
          <a:extLs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65" name="Drop Down -1022" hidden="1">
          <a:extLs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66" name="Drop Down 1" hidden="1">
          <a:extLst>
            <a:ext uri="{FF2B5EF4-FFF2-40B4-BE49-F238E27FC236}">
              <a16:creationId xmlns:a16="http://schemas.microsoft.com/office/drawing/2014/main" id="{00000000-0008-0000-0100-00005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67" name="Drop Down 1" hidden="1">
          <a:extLst>
            <a:ext uri="{FF2B5EF4-FFF2-40B4-BE49-F238E27FC236}">
              <a16:creationId xmlns:a16="http://schemas.microsoft.com/office/drawing/2014/main" id="{00000000-0008-0000-0100-00005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68" name="Drop Down 1" hidden="1">
          <a:extLs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69" name="Drop Down 1" hidden="1">
          <a:extLs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70" name="Drop Down 2" hidden="1">
          <a:extLs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71" name="Drop Down 1" hidden="1">
          <a:extLst>
            <a:ext uri="{FF2B5EF4-FFF2-40B4-BE49-F238E27FC236}">
              <a16:creationId xmlns:a16="http://schemas.microsoft.com/office/drawing/2014/main" id="{00000000-0008-0000-0100-00006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72" name="Drop Down -1022" hidden="1">
          <a:extLst>
            <a:ext uri="{FF2B5EF4-FFF2-40B4-BE49-F238E27FC236}">
              <a16:creationId xmlns:a16="http://schemas.microsoft.com/office/drawing/2014/main" id="{00000000-0008-0000-0100-00006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73" name="Drop Down 1" hidden="1">
          <a:extLst>
            <a:ext uri="{FF2B5EF4-FFF2-40B4-BE49-F238E27FC236}">
              <a16:creationId xmlns:a16="http://schemas.microsoft.com/office/drawing/2014/main" id="{00000000-0008-0000-0100-00006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74" name="Drop Down 1" hidden="1">
          <a:extLst>
            <a:ext uri="{FF2B5EF4-FFF2-40B4-BE49-F238E27FC236}">
              <a16:creationId xmlns:a16="http://schemas.microsoft.com/office/drawing/2014/main" id="{00000000-0008-0000-0100-00006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75" name="Drop Down 1" hidden="1">
          <a:extLst>
            <a:ext uri="{FF2B5EF4-FFF2-40B4-BE49-F238E27FC236}">
              <a16:creationId xmlns:a16="http://schemas.microsoft.com/office/drawing/2014/main" id="{00000000-0008-0000-0100-00006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76" name="Drop Down 1" hidden="1">
          <a:extLst>
            <a:ext uri="{FF2B5EF4-FFF2-40B4-BE49-F238E27FC236}">
              <a16:creationId xmlns:a16="http://schemas.microsoft.com/office/drawing/2014/main" id="{00000000-0008-0000-0100-00006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77" name="Drop Down 2" hidden="1">
          <a:extLst>
            <a:ext uri="{FF2B5EF4-FFF2-40B4-BE49-F238E27FC236}">
              <a16:creationId xmlns:a16="http://schemas.microsoft.com/office/drawing/2014/main" id="{00000000-0008-0000-0100-00006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78" name="Drop Down 1" hidden="1">
          <a:extLst>
            <a:ext uri="{FF2B5EF4-FFF2-40B4-BE49-F238E27FC236}">
              <a16:creationId xmlns:a16="http://schemas.microsoft.com/office/drawing/2014/main" id="{00000000-0008-0000-0100-00006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79" name="Drop Down -1022" hidden="1">
          <a:extLst>
            <a:ext uri="{FF2B5EF4-FFF2-40B4-BE49-F238E27FC236}">
              <a16:creationId xmlns:a16="http://schemas.microsoft.com/office/drawing/2014/main" id="{00000000-0008-0000-0100-00006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80" name="Drop Down 1" hidden="1">
          <a:extLst>
            <a:ext uri="{FF2B5EF4-FFF2-40B4-BE49-F238E27FC236}">
              <a16:creationId xmlns:a16="http://schemas.microsoft.com/office/drawing/2014/main" id="{00000000-0008-0000-0100-00006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81" name="Drop Down 1" hidden="1">
          <a:extLst>
            <a:ext uri="{FF2B5EF4-FFF2-40B4-BE49-F238E27FC236}">
              <a16:creationId xmlns:a16="http://schemas.microsoft.com/office/drawing/2014/main" id="{00000000-0008-0000-0100-00006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82" name="Drop Down 1" hidden="1">
          <a:extLst>
            <a:ext uri="{FF2B5EF4-FFF2-40B4-BE49-F238E27FC236}">
              <a16:creationId xmlns:a16="http://schemas.microsoft.com/office/drawing/2014/main" id="{00000000-0008-0000-0100-00006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83" name="Drop Down 1" hidden="1">
          <a:extLst>
            <a:ext uri="{FF2B5EF4-FFF2-40B4-BE49-F238E27FC236}">
              <a16:creationId xmlns:a16="http://schemas.microsoft.com/office/drawing/2014/main" id="{00000000-0008-0000-0100-00006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84" name="Drop Down 2" hidden="1">
          <a:extLst>
            <a:ext uri="{FF2B5EF4-FFF2-40B4-BE49-F238E27FC236}">
              <a16:creationId xmlns:a16="http://schemas.microsoft.com/office/drawing/2014/main" id="{00000000-0008-0000-0100-00007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85" name="Drop Down 1" hidden="1">
          <a:extLst>
            <a:ext uri="{FF2B5EF4-FFF2-40B4-BE49-F238E27FC236}">
              <a16:creationId xmlns:a16="http://schemas.microsoft.com/office/drawing/2014/main" id="{00000000-0008-0000-0100-00007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86" name="Drop Down -1022" hidden="1">
          <a:extLst>
            <a:ext uri="{FF2B5EF4-FFF2-40B4-BE49-F238E27FC236}">
              <a16:creationId xmlns:a16="http://schemas.microsoft.com/office/drawing/2014/main" id="{00000000-0008-0000-0100-00007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87" name="Drop Down 1" hidden="1">
          <a:extLst>
            <a:ext uri="{FF2B5EF4-FFF2-40B4-BE49-F238E27FC236}">
              <a16:creationId xmlns:a16="http://schemas.microsoft.com/office/drawing/2014/main" id="{00000000-0008-0000-0100-00007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88" name="Drop Down 1" hidden="1">
          <a:extLst>
            <a:ext uri="{FF2B5EF4-FFF2-40B4-BE49-F238E27FC236}">
              <a16:creationId xmlns:a16="http://schemas.microsoft.com/office/drawing/2014/main" id="{00000000-0008-0000-0100-00007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89" name="Drop Down 1" hidden="1">
          <a:extLst>
            <a:ext uri="{FF2B5EF4-FFF2-40B4-BE49-F238E27FC236}">
              <a16:creationId xmlns:a16="http://schemas.microsoft.com/office/drawing/2014/main" id="{00000000-0008-0000-0100-00007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90" name="Drop Down 1" hidden="1">
          <a:extLst>
            <a:ext uri="{FF2B5EF4-FFF2-40B4-BE49-F238E27FC236}">
              <a16:creationId xmlns:a16="http://schemas.microsoft.com/office/drawing/2014/main" id="{00000000-0008-0000-0100-00007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91" name="Drop Down 2" hidden="1">
          <a:extLst>
            <a:ext uri="{FF2B5EF4-FFF2-40B4-BE49-F238E27FC236}">
              <a16:creationId xmlns:a16="http://schemas.microsoft.com/office/drawing/2014/main" id="{00000000-0008-0000-0100-00007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92" name="Drop Down 1" hidden="1">
          <a:extLst>
            <a:ext uri="{FF2B5EF4-FFF2-40B4-BE49-F238E27FC236}">
              <a16:creationId xmlns:a16="http://schemas.microsoft.com/office/drawing/2014/main" id="{00000000-0008-0000-0100-00007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193" name="Drop Down -1022" hidden="1">
          <a:extLst>
            <a:ext uri="{FF2B5EF4-FFF2-40B4-BE49-F238E27FC236}">
              <a16:creationId xmlns:a16="http://schemas.microsoft.com/office/drawing/2014/main" id="{00000000-0008-0000-0100-00007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94" name="Drop Down 1" hidden="1">
          <a:extLst>
            <a:ext uri="{FF2B5EF4-FFF2-40B4-BE49-F238E27FC236}">
              <a16:creationId xmlns:a16="http://schemas.microsoft.com/office/drawing/2014/main" id="{00000000-0008-0000-0100-00007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95" name="Drop Down 1" hidden="1">
          <a:extLst>
            <a:ext uri="{FF2B5EF4-FFF2-40B4-BE49-F238E27FC236}">
              <a16:creationId xmlns:a16="http://schemas.microsoft.com/office/drawing/2014/main" id="{00000000-0008-0000-0100-00007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96" name="Drop Down 1" hidden="1">
          <a:extLst>
            <a:ext uri="{FF2B5EF4-FFF2-40B4-BE49-F238E27FC236}">
              <a16:creationId xmlns:a16="http://schemas.microsoft.com/office/drawing/2014/main" id="{00000000-0008-0000-0100-00007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97" name="Drop Down 1" hidden="1">
          <a:extLst>
            <a:ext uri="{FF2B5EF4-FFF2-40B4-BE49-F238E27FC236}">
              <a16:creationId xmlns:a16="http://schemas.microsoft.com/office/drawing/2014/main" id="{00000000-0008-0000-0100-00007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98" name="Drop Down 2" hidden="1">
          <a:extLst>
            <a:ext uri="{FF2B5EF4-FFF2-40B4-BE49-F238E27FC236}">
              <a16:creationId xmlns:a16="http://schemas.microsoft.com/office/drawing/2014/main" id="{00000000-0008-0000-0100-00007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199" name="Drop Down 1" hidden="1">
          <a:extLst>
            <a:ext uri="{FF2B5EF4-FFF2-40B4-BE49-F238E27FC236}">
              <a16:creationId xmlns:a16="http://schemas.microsoft.com/office/drawing/2014/main" id="{00000000-0008-0000-0100-00007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00" name="Drop Down -1022" hidden="1">
          <a:extLst>
            <a:ext uri="{FF2B5EF4-FFF2-40B4-BE49-F238E27FC236}">
              <a16:creationId xmlns:a16="http://schemas.microsoft.com/office/drawing/2014/main" id="{00000000-0008-0000-0100-00008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01" name="Drop Down 1" hidden="1">
          <a:extLst>
            <a:ext uri="{FF2B5EF4-FFF2-40B4-BE49-F238E27FC236}">
              <a16:creationId xmlns:a16="http://schemas.microsoft.com/office/drawing/2014/main" id="{00000000-0008-0000-0100-00008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02" name="Drop Down 1" hidden="1">
          <a:extLst>
            <a:ext uri="{FF2B5EF4-FFF2-40B4-BE49-F238E27FC236}">
              <a16:creationId xmlns:a16="http://schemas.microsoft.com/office/drawing/2014/main" id="{00000000-0008-0000-0100-00008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03" name="Drop Down 1" hidden="1">
          <a:extLst>
            <a:ext uri="{FF2B5EF4-FFF2-40B4-BE49-F238E27FC236}">
              <a16:creationId xmlns:a16="http://schemas.microsoft.com/office/drawing/2014/main" id="{00000000-0008-0000-0100-00008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04" name="Drop Down 1" hidden="1">
          <a:extLst>
            <a:ext uri="{FF2B5EF4-FFF2-40B4-BE49-F238E27FC236}">
              <a16:creationId xmlns:a16="http://schemas.microsoft.com/office/drawing/2014/main" id="{00000000-0008-0000-0100-00008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05" name="Drop Down 2" hidden="1">
          <a:extLst>
            <a:ext uri="{FF2B5EF4-FFF2-40B4-BE49-F238E27FC236}">
              <a16:creationId xmlns:a16="http://schemas.microsoft.com/office/drawing/2014/main" id="{00000000-0008-0000-0100-00008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06" name="Drop Down 1" hidden="1">
          <a:extLst>
            <a:ext uri="{FF2B5EF4-FFF2-40B4-BE49-F238E27FC236}">
              <a16:creationId xmlns:a16="http://schemas.microsoft.com/office/drawing/2014/main" id="{00000000-0008-0000-0100-00008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07" name="Drop Down -1022" hidden="1">
          <a:extLst>
            <a:ext uri="{FF2B5EF4-FFF2-40B4-BE49-F238E27FC236}">
              <a16:creationId xmlns:a16="http://schemas.microsoft.com/office/drawing/2014/main" id="{00000000-0008-0000-0100-00008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208" name="Drop Down 1" hidden="1">
          <a:extLst>
            <a:ext uri="{FF2B5EF4-FFF2-40B4-BE49-F238E27FC236}">
              <a16:creationId xmlns:a16="http://schemas.microsoft.com/office/drawing/2014/main" id="{00000000-0008-0000-0100-00008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209" name="Drop Down 1" hidden="1">
          <a:extLst>
            <a:ext uri="{FF2B5EF4-FFF2-40B4-BE49-F238E27FC236}">
              <a16:creationId xmlns:a16="http://schemas.microsoft.com/office/drawing/2014/main" id="{00000000-0008-0000-0100-00008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210" name="Drop Down 1" hidden="1">
          <a:extLst>
            <a:ext uri="{FF2B5EF4-FFF2-40B4-BE49-F238E27FC236}">
              <a16:creationId xmlns:a16="http://schemas.microsoft.com/office/drawing/2014/main" id="{00000000-0008-0000-0100-00008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211" name="Drop Down 1" hidden="1">
          <a:extLst>
            <a:ext uri="{FF2B5EF4-FFF2-40B4-BE49-F238E27FC236}">
              <a16:creationId xmlns:a16="http://schemas.microsoft.com/office/drawing/2014/main" id="{00000000-0008-0000-0100-00008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212" name="Drop Down 2" hidden="1">
          <a:extLst>
            <a:ext uri="{FF2B5EF4-FFF2-40B4-BE49-F238E27FC236}">
              <a16:creationId xmlns:a16="http://schemas.microsoft.com/office/drawing/2014/main" id="{00000000-0008-0000-0100-00008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213" name="Drop Down 1" hidden="1">
          <a:extLst>
            <a:ext uri="{FF2B5EF4-FFF2-40B4-BE49-F238E27FC236}">
              <a16:creationId xmlns:a16="http://schemas.microsoft.com/office/drawing/2014/main" id="{00000000-0008-0000-0100-00008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214" name="Drop Down -1022" hidden="1">
          <a:extLst>
            <a:ext uri="{FF2B5EF4-FFF2-40B4-BE49-F238E27FC236}">
              <a16:creationId xmlns:a16="http://schemas.microsoft.com/office/drawing/2014/main" id="{00000000-0008-0000-0100-00008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215" name="Drop Down 1" hidden="1">
          <a:extLst>
            <a:ext uri="{FF2B5EF4-FFF2-40B4-BE49-F238E27FC236}">
              <a16:creationId xmlns:a16="http://schemas.microsoft.com/office/drawing/2014/main" id="{00000000-0008-0000-0100-00008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216" name="Drop Down 1" hidden="1">
          <a:extLst>
            <a:ext uri="{FF2B5EF4-FFF2-40B4-BE49-F238E27FC236}">
              <a16:creationId xmlns:a16="http://schemas.microsoft.com/office/drawing/2014/main" id="{00000000-0008-0000-0100-00009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217" name="Drop Down 1" hidden="1">
          <a:extLst>
            <a:ext uri="{FF2B5EF4-FFF2-40B4-BE49-F238E27FC236}">
              <a16:creationId xmlns:a16="http://schemas.microsoft.com/office/drawing/2014/main" id="{00000000-0008-0000-0100-00009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218" name="Drop Down 1" hidden="1">
          <a:extLst>
            <a:ext uri="{FF2B5EF4-FFF2-40B4-BE49-F238E27FC236}">
              <a16:creationId xmlns:a16="http://schemas.microsoft.com/office/drawing/2014/main" id="{00000000-0008-0000-0100-00009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219" name="Drop Down 2" hidden="1">
          <a:extLst>
            <a:ext uri="{FF2B5EF4-FFF2-40B4-BE49-F238E27FC236}">
              <a16:creationId xmlns:a16="http://schemas.microsoft.com/office/drawing/2014/main" id="{00000000-0008-0000-0100-00009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220" name="Drop Down 1" hidden="1">
          <a:extLst>
            <a:ext uri="{FF2B5EF4-FFF2-40B4-BE49-F238E27FC236}">
              <a16:creationId xmlns:a16="http://schemas.microsoft.com/office/drawing/2014/main" id="{00000000-0008-0000-0100-00009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221" name="Drop Down -1022" hidden="1">
          <a:extLst>
            <a:ext uri="{FF2B5EF4-FFF2-40B4-BE49-F238E27FC236}">
              <a16:creationId xmlns:a16="http://schemas.microsoft.com/office/drawing/2014/main" id="{00000000-0008-0000-0100-00009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22" name="Drop Down 1" hidden="1">
          <a:extLst>
            <a:ext uri="{FF2B5EF4-FFF2-40B4-BE49-F238E27FC236}">
              <a16:creationId xmlns:a16="http://schemas.microsoft.com/office/drawing/2014/main" id="{00000000-0008-0000-0100-00009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23" name="Drop Down 1" hidden="1">
          <a:extLst>
            <a:ext uri="{FF2B5EF4-FFF2-40B4-BE49-F238E27FC236}">
              <a16:creationId xmlns:a16="http://schemas.microsoft.com/office/drawing/2014/main" id="{00000000-0008-0000-0100-00009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24" name="Drop Down 1" hidden="1">
          <a:extLst>
            <a:ext uri="{FF2B5EF4-FFF2-40B4-BE49-F238E27FC236}">
              <a16:creationId xmlns:a16="http://schemas.microsoft.com/office/drawing/2014/main" id="{00000000-0008-0000-0100-00009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25" name="Drop Down 1" hidden="1">
          <a:extLst>
            <a:ext uri="{FF2B5EF4-FFF2-40B4-BE49-F238E27FC236}">
              <a16:creationId xmlns:a16="http://schemas.microsoft.com/office/drawing/2014/main" id="{00000000-0008-0000-0100-00009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26" name="Drop Down 2" hidden="1">
          <a:extLst>
            <a:ext uri="{FF2B5EF4-FFF2-40B4-BE49-F238E27FC236}">
              <a16:creationId xmlns:a16="http://schemas.microsoft.com/office/drawing/2014/main" id="{00000000-0008-0000-0100-00009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27" name="Drop Down 1" hidden="1">
          <a:extLst>
            <a:ext uri="{FF2B5EF4-FFF2-40B4-BE49-F238E27FC236}">
              <a16:creationId xmlns:a16="http://schemas.microsoft.com/office/drawing/2014/main" id="{00000000-0008-0000-0100-00009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28" name="Drop Down -1022" hidden="1">
          <a:extLst>
            <a:ext uri="{FF2B5EF4-FFF2-40B4-BE49-F238E27FC236}">
              <a16:creationId xmlns:a16="http://schemas.microsoft.com/office/drawing/2014/main" id="{00000000-0008-0000-0100-00009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29" name="Drop Down 1" hidden="1">
          <a:extLst>
            <a:ext uri="{FF2B5EF4-FFF2-40B4-BE49-F238E27FC236}">
              <a16:creationId xmlns:a16="http://schemas.microsoft.com/office/drawing/2014/main" id="{00000000-0008-0000-0100-00009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30" name="Drop Down 1" hidden="1">
          <a:extLst>
            <a:ext uri="{FF2B5EF4-FFF2-40B4-BE49-F238E27FC236}">
              <a16:creationId xmlns:a16="http://schemas.microsoft.com/office/drawing/2014/main" id="{00000000-0008-0000-0100-00009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31" name="Drop Down 1" hidden="1">
          <a:extLst>
            <a:ext uri="{FF2B5EF4-FFF2-40B4-BE49-F238E27FC236}">
              <a16:creationId xmlns:a16="http://schemas.microsoft.com/office/drawing/2014/main" id="{00000000-0008-0000-0100-00009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32" name="Drop Down 1" hidden="1">
          <a:extLst>
            <a:ext uri="{FF2B5EF4-FFF2-40B4-BE49-F238E27FC236}">
              <a16:creationId xmlns:a16="http://schemas.microsoft.com/office/drawing/2014/main" id="{00000000-0008-0000-0100-0000A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33" name="Drop Down 2" hidden="1">
          <a:extLst>
            <a:ext uri="{FF2B5EF4-FFF2-40B4-BE49-F238E27FC236}">
              <a16:creationId xmlns:a16="http://schemas.microsoft.com/office/drawing/2014/main" id="{00000000-0008-0000-0100-0000A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34" name="Drop Down 1" hidden="1">
          <a:extLst>
            <a:ext uri="{FF2B5EF4-FFF2-40B4-BE49-F238E27FC236}">
              <a16:creationId xmlns:a16="http://schemas.microsoft.com/office/drawing/2014/main" id="{00000000-0008-0000-0100-0000A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35" name="Drop Down -1022" hidden="1">
          <a:extLst>
            <a:ext uri="{FF2B5EF4-FFF2-40B4-BE49-F238E27FC236}">
              <a16:creationId xmlns:a16="http://schemas.microsoft.com/office/drawing/2014/main" id="{00000000-0008-0000-0100-0000A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36" name="Drop Down 1" hidden="1">
          <a:extLst>
            <a:ext uri="{FF2B5EF4-FFF2-40B4-BE49-F238E27FC236}">
              <a16:creationId xmlns:a16="http://schemas.microsoft.com/office/drawing/2014/main" id="{00000000-0008-0000-0100-0000A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37" name="Drop Down 1" hidden="1">
          <a:extLst>
            <a:ext uri="{FF2B5EF4-FFF2-40B4-BE49-F238E27FC236}">
              <a16:creationId xmlns:a16="http://schemas.microsoft.com/office/drawing/2014/main" id="{00000000-0008-0000-0100-0000A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38" name="Drop Down 1" hidden="1">
          <a:extLst>
            <a:ext uri="{FF2B5EF4-FFF2-40B4-BE49-F238E27FC236}">
              <a16:creationId xmlns:a16="http://schemas.microsoft.com/office/drawing/2014/main" id="{00000000-0008-0000-0100-0000A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39" name="Drop Down 1" hidden="1">
          <a:extLst>
            <a:ext uri="{FF2B5EF4-FFF2-40B4-BE49-F238E27FC236}">
              <a16:creationId xmlns:a16="http://schemas.microsoft.com/office/drawing/2014/main" id="{00000000-0008-0000-0100-0000A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40" name="Drop Down 2" hidden="1">
          <a:extLst>
            <a:ext uri="{FF2B5EF4-FFF2-40B4-BE49-F238E27FC236}">
              <a16:creationId xmlns:a16="http://schemas.microsoft.com/office/drawing/2014/main" id="{00000000-0008-0000-0100-0000A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41" name="Drop Down 1" hidden="1">
          <a:extLst>
            <a:ext uri="{FF2B5EF4-FFF2-40B4-BE49-F238E27FC236}">
              <a16:creationId xmlns:a16="http://schemas.microsoft.com/office/drawing/2014/main" id="{00000000-0008-0000-0100-0000A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42" name="Drop Down -1022" hidden="1">
          <a:extLst>
            <a:ext uri="{FF2B5EF4-FFF2-40B4-BE49-F238E27FC236}">
              <a16:creationId xmlns:a16="http://schemas.microsoft.com/office/drawing/2014/main" id="{00000000-0008-0000-0100-0000A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43" name="Drop Down 1" hidden="1">
          <a:extLst>
            <a:ext uri="{FF2B5EF4-FFF2-40B4-BE49-F238E27FC236}">
              <a16:creationId xmlns:a16="http://schemas.microsoft.com/office/drawing/2014/main" id="{00000000-0008-0000-0100-0000A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44" name="Drop Down 1" hidden="1">
          <a:extLst>
            <a:ext uri="{FF2B5EF4-FFF2-40B4-BE49-F238E27FC236}">
              <a16:creationId xmlns:a16="http://schemas.microsoft.com/office/drawing/2014/main" id="{00000000-0008-0000-0100-0000A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45" name="Drop Down 1" hidden="1">
          <a:extLst>
            <a:ext uri="{FF2B5EF4-FFF2-40B4-BE49-F238E27FC236}">
              <a16:creationId xmlns:a16="http://schemas.microsoft.com/office/drawing/2014/main" id="{00000000-0008-0000-0100-0000A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46" name="Drop Down 1" hidden="1">
          <a:extLst>
            <a:ext uri="{FF2B5EF4-FFF2-40B4-BE49-F238E27FC236}">
              <a16:creationId xmlns:a16="http://schemas.microsoft.com/office/drawing/2014/main" id="{00000000-0008-0000-0100-0000A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47" name="Drop Down 2" hidden="1">
          <a:extLst>
            <a:ext uri="{FF2B5EF4-FFF2-40B4-BE49-F238E27FC236}">
              <a16:creationId xmlns:a16="http://schemas.microsoft.com/office/drawing/2014/main" id="{00000000-0008-0000-0100-0000A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48" name="Drop Down 1" hidden="1">
          <a:extLst>
            <a:ext uri="{FF2B5EF4-FFF2-40B4-BE49-F238E27FC236}">
              <a16:creationId xmlns:a16="http://schemas.microsoft.com/office/drawing/2014/main" id="{00000000-0008-0000-0100-0000B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49" name="Drop Down -1022" hidden="1">
          <a:extLst>
            <a:ext uri="{FF2B5EF4-FFF2-40B4-BE49-F238E27FC236}">
              <a16:creationId xmlns:a16="http://schemas.microsoft.com/office/drawing/2014/main" id="{00000000-0008-0000-0100-0000B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50" name="Drop Down 1" hidden="1">
          <a:extLst>
            <a:ext uri="{FF2B5EF4-FFF2-40B4-BE49-F238E27FC236}">
              <a16:creationId xmlns:a16="http://schemas.microsoft.com/office/drawing/2014/main" id="{00000000-0008-0000-0100-0000B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51" name="Drop Down 1" hidden="1">
          <a:extLst>
            <a:ext uri="{FF2B5EF4-FFF2-40B4-BE49-F238E27FC236}">
              <a16:creationId xmlns:a16="http://schemas.microsoft.com/office/drawing/2014/main" id="{00000000-0008-0000-0100-0000B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52" name="Drop Down 1" hidden="1">
          <a:extLst>
            <a:ext uri="{FF2B5EF4-FFF2-40B4-BE49-F238E27FC236}">
              <a16:creationId xmlns:a16="http://schemas.microsoft.com/office/drawing/2014/main" id="{00000000-0008-0000-0100-0000B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53" name="Drop Down 1" hidden="1">
          <a:extLst>
            <a:ext uri="{FF2B5EF4-FFF2-40B4-BE49-F238E27FC236}">
              <a16:creationId xmlns:a16="http://schemas.microsoft.com/office/drawing/2014/main" id="{00000000-0008-0000-0100-0000B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54" name="Drop Down 2" hidden="1">
          <a:extLst>
            <a:ext uri="{FF2B5EF4-FFF2-40B4-BE49-F238E27FC236}">
              <a16:creationId xmlns:a16="http://schemas.microsoft.com/office/drawing/2014/main" id="{00000000-0008-0000-0100-0000B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55" name="Drop Down 1" hidden="1">
          <a:extLst>
            <a:ext uri="{FF2B5EF4-FFF2-40B4-BE49-F238E27FC236}">
              <a16:creationId xmlns:a16="http://schemas.microsoft.com/office/drawing/2014/main" id="{00000000-0008-0000-0100-0000B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56" name="Drop Down -1022" hidden="1">
          <a:extLst>
            <a:ext uri="{FF2B5EF4-FFF2-40B4-BE49-F238E27FC236}">
              <a16:creationId xmlns:a16="http://schemas.microsoft.com/office/drawing/2014/main" id="{00000000-0008-0000-0100-0000B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57" name="Drop Down 1" hidden="1">
          <a:extLst>
            <a:ext uri="{FF2B5EF4-FFF2-40B4-BE49-F238E27FC236}">
              <a16:creationId xmlns:a16="http://schemas.microsoft.com/office/drawing/2014/main" id="{00000000-0008-0000-0100-0000B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58" name="Drop Down 1" hidden="1">
          <a:extLst>
            <a:ext uri="{FF2B5EF4-FFF2-40B4-BE49-F238E27FC236}">
              <a16:creationId xmlns:a16="http://schemas.microsoft.com/office/drawing/2014/main" id="{00000000-0008-0000-0100-0000B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59" name="Drop Down 1" hidden="1">
          <a:extLst>
            <a:ext uri="{FF2B5EF4-FFF2-40B4-BE49-F238E27FC236}">
              <a16:creationId xmlns:a16="http://schemas.microsoft.com/office/drawing/2014/main" id="{00000000-0008-0000-0100-0000B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60" name="Drop Down 1" hidden="1">
          <a:extLst>
            <a:ext uri="{FF2B5EF4-FFF2-40B4-BE49-F238E27FC236}">
              <a16:creationId xmlns:a16="http://schemas.microsoft.com/office/drawing/2014/main" id="{00000000-0008-0000-0100-0000B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61" name="Drop Down 2" hidden="1">
          <a:extLst>
            <a:ext uri="{FF2B5EF4-FFF2-40B4-BE49-F238E27FC236}">
              <a16:creationId xmlns:a16="http://schemas.microsoft.com/office/drawing/2014/main" id="{00000000-0008-0000-0100-0000B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62" name="Drop Down 1" hidden="1">
          <a:extLst>
            <a:ext uri="{FF2B5EF4-FFF2-40B4-BE49-F238E27FC236}">
              <a16:creationId xmlns:a16="http://schemas.microsoft.com/office/drawing/2014/main" id="{00000000-0008-0000-0100-0000B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63" name="Drop Down -1022" hidden="1">
          <a:extLst>
            <a:ext uri="{FF2B5EF4-FFF2-40B4-BE49-F238E27FC236}">
              <a16:creationId xmlns:a16="http://schemas.microsoft.com/office/drawing/2014/main" id="{00000000-0008-0000-0100-0000B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64" name="Drop Down 1" hidden="1">
          <a:extLst>
            <a:ext uri="{FF2B5EF4-FFF2-40B4-BE49-F238E27FC236}">
              <a16:creationId xmlns:a16="http://schemas.microsoft.com/office/drawing/2014/main" id="{00000000-0008-0000-0100-0000C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65" name="Drop Down 1" hidden="1">
          <a:extLst>
            <a:ext uri="{FF2B5EF4-FFF2-40B4-BE49-F238E27FC236}">
              <a16:creationId xmlns:a16="http://schemas.microsoft.com/office/drawing/2014/main" id="{00000000-0008-0000-0100-0000C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66" name="Drop Down 1" hidden="1">
          <a:extLst>
            <a:ext uri="{FF2B5EF4-FFF2-40B4-BE49-F238E27FC236}">
              <a16:creationId xmlns:a16="http://schemas.microsoft.com/office/drawing/2014/main" id="{00000000-0008-0000-0100-0000C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67" name="Drop Down 1" hidden="1">
          <a:extLst>
            <a:ext uri="{FF2B5EF4-FFF2-40B4-BE49-F238E27FC236}">
              <a16:creationId xmlns:a16="http://schemas.microsoft.com/office/drawing/2014/main" id="{00000000-0008-0000-0100-0000C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68" name="Drop Down 2" hidden="1">
          <a:extLst>
            <a:ext uri="{FF2B5EF4-FFF2-40B4-BE49-F238E27FC236}">
              <a16:creationId xmlns:a16="http://schemas.microsoft.com/office/drawing/2014/main" id="{00000000-0008-0000-0100-0000C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69" name="Drop Down 1" hidden="1">
          <a:extLst>
            <a:ext uri="{FF2B5EF4-FFF2-40B4-BE49-F238E27FC236}">
              <a16:creationId xmlns:a16="http://schemas.microsoft.com/office/drawing/2014/main" id="{00000000-0008-0000-0100-0000C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70" name="Drop Down -1022" hidden="1">
          <a:extLst>
            <a:ext uri="{FF2B5EF4-FFF2-40B4-BE49-F238E27FC236}">
              <a16:creationId xmlns:a16="http://schemas.microsoft.com/office/drawing/2014/main" id="{00000000-0008-0000-0100-0000C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71" name="Drop Down 1" hidden="1">
          <a:extLst>
            <a:ext uri="{FF2B5EF4-FFF2-40B4-BE49-F238E27FC236}">
              <a16:creationId xmlns:a16="http://schemas.microsoft.com/office/drawing/2014/main" id="{00000000-0008-0000-0100-0000C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72" name="Drop Down 1" hidden="1">
          <a:extLst>
            <a:ext uri="{FF2B5EF4-FFF2-40B4-BE49-F238E27FC236}">
              <a16:creationId xmlns:a16="http://schemas.microsoft.com/office/drawing/2014/main" id="{00000000-0008-0000-0100-0000C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73" name="Drop Down 1" hidden="1">
          <a:extLst>
            <a:ext uri="{FF2B5EF4-FFF2-40B4-BE49-F238E27FC236}">
              <a16:creationId xmlns:a16="http://schemas.microsoft.com/office/drawing/2014/main" id="{00000000-0008-0000-0100-0000C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74" name="Drop Down 1" hidden="1">
          <a:extLst>
            <a:ext uri="{FF2B5EF4-FFF2-40B4-BE49-F238E27FC236}">
              <a16:creationId xmlns:a16="http://schemas.microsoft.com/office/drawing/2014/main" id="{00000000-0008-0000-0100-0000C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75" name="Drop Down 2" hidden="1">
          <a:extLst>
            <a:ext uri="{FF2B5EF4-FFF2-40B4-BE49-F238E27FC236}">
              <a16:creationId xmlns:a16="http://schemas.microsoft.com/office/drawing/2014/main" id="{00000000-0008-0000-0100-0000C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76" name="Drop Down 1" hidden="1">
          <a:extLst>
            <a:ext uri="{FF2B5EF4-FFF2-40B4-BE49-F238E27FC236}">
              <a16:creationId xmlns:a16="http://schemas.microsoft.com/office/drawing/2014/main" id="{00000000-0008-0000-0100-0000C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77" name="Drop Down -1022" hidden="1">
          <a:extLst>
            <a:ext uri="{FF2B5EF4-FFF2-40B4-BE49-F238E27FC236}">
              <a16:creationId xmlns:a16="http://schemas.microsoft.com/office/drawing/2014/main" id="{00000000-0008-0000-0100-0000C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78" name="Drop Down 1" hidden="1">
          <a:extLst>
            <a:ext uri="{FF2B5EF4-FFF2-40B4-BE49-F238E27FC236}">
              <a16:creationId xmlns:a16="http://schemas.microsoft.com/office/drawing/2014/main" id="{00000000-0008-0000-0100-0000C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79" name="Drop Down 1" hidden="1">
          <a:extLst>
            <a:ext uri="{FF2B5EF4-FFF2-40B4-BE49-F238E27FC236}">
              <a16:creationId xmlns:a16="http://schemas.microsoft.com/office/drawing/2014/main" id="{00000000-0008-0000-0100-0000C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80" name="Drop Down 1" hidden="1">
          <a:extLst>
            <a:ext uri="{FF2B5EF4-FFF2-40B4-BE49-F238E27FC236}">
              <a16:creationId xmlns:a16="http://schemas.microsoft.com/office/drawing/2014/main" id="{00000000-0008-0000-0100-0000D0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81" name="Drop Down 1" hidden="1">
          <a:extLst>
            <a:ext uri="{FF2B5EF4-FFF2-40B4-BE49-F238E27FC236}">
              <a16:creationId xmlns:a16="http://schemas.microsoft.com/office/drawing/2014/main" id="{00000000-0008-0000-0100-0000D1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82" name="Drop Down 2" hidden="1">
          <a:extLst>
            <a:ext uri="{FF2B5EF4-FFF2-40B4-BE49-F238E27FC236}">
              <a16:creationId xmlns:a16="http://schemas.microsoft.com/office/drawing/2014/main" id="{00000000-0008-0000-0100-0000D2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83" name="Drop Down 1" hidden="1">
          <a:extLst>
            <a:ext uri="{FF2B5EF4-FFF2-40B4-BE49-F238E27FC236}">
              <a16:creationId xmlns:a16="http://schemas.microsoft.com/office/drawing/2014/main" id="{00000000-0008-0000-0100-0000D3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284" name="Drop Down -1022" hidden="1">
          <a:extLst>
            <a:ext uri="{FF2B5EF4-FFF2-40B4-BE49-F238E27FC236}">
              <a16:creationId xmlns:a16="http://schemas.microsoft.com/office/drawing/2014/main" id="{00000000-0008-0000-0100-0000D4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85" name="Drop Down 1" hidden="1">
          <a:extLst>
            <a:ext uri="{FF2B5EF4-FFF2-40B4-BE49-F238E27FC236}">
              <a16:creationId xmlns:a16="http://schemas.microsoft.com/office/drawing/2014/main" id="{00000000-0008-0000-0100-0000D5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86" name="Drop Down 1" hidden="1">
          <a:extLst>
            <a:ext uri="{FF2B5EF4-FFF2-40B4-BE49-F238E27FC236}">
              <a16:creationId xmlns:a16="http://schemas.microsoft.com/office/drawing/2014/main" id="{00000000-0008-0000-0100-0000D6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87" name="Drop Down 1" hidden="1">
          <a:extLst>
            <a:ext uri="{FF2B5EF4-FFF2-40B4-BE49-F238E27FC236}">
              <a16:creationId xmlns:a16="http://schemas.microsoft.com/office/drawing/2014/main" id="{00000000-0008-0000-0100-0000D7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88" name="Drop Down 1" hidden="1">
          <a:extLst>
            <a:ext uri="{FF2B5EF4-FFF2-40B4-BE49-F238E27FC236}">
              <a16:creationId xmlns:a16="http://schemas.microsoft.com/office/drawing/2014/main" id="{00000000-0008-0000-0100-0000D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89" name="Drop Down 2" hidden="1">
          <a:extLst>
            <a:ext uri="{FF2B5EF4-FFF2-40B4-BE49-F238E27FC236}">
              <a16:creationId xmlns:a16="http://schemas.microsoft.com/office/drawing/2014/main" id="{00000000-0008-0000-0100-0000D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90" name="Drop Down 1" hidden="1">
          <a:extLst>
            <a:ext uri="{FF2B5EF4-FFF2-40B4-BE49-F238E27FC236}">
              <a16:creationId xmlns:a16="http://schemas.microsoft.com/office/drawing/2014/main" id="{00000000-0008-0000-0100-0000D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291" name="Drop Down -1022" hidden="1">
          <a:extLst>
            <a:ext uri="{FF2B5EF4-FFF2-40B4-BE49-F238E27FC236}">
              <a16:creationId xmlns:a16="http://schemas.microsoft.com/office/drawing/2014/main" id="{00000000-0008-0000-0100-0000D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292" name="Drop Down 1" hidden="1">
          <a:extLst>
            <a:ext uri="{FF2B5EF4-FFF2-40B4-BE49-F238E27FC236}">
              <a16:creationId xmlns:a16="http://schemas.microsoft.com/office/drawing/2014/main" id="{00000000-0008-0000-0100-0000DC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293" name="Drop Down 1" hidden="1">
          <a:extLst>
            <a:ext uri="{FF2B5EF4-FFF2-40B4-BE49-F238E27FC236}">
              <a16:creationId xmlns:a16="http://schemas.microsoft.com/office/drawing/2014/main" id="{00000000-0008-0000-0100-0000DD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294" name="Drop Down 1" hidden="1">
          <a:extLst>
            <a:ext uri="{FF2B5EF4-FFF2-40B4-BE49-F238E27FC236}">
              <a16:creationId xmlns:a16="http://schemas.microsoft.com/office/drawing/2014/main" id="{00000000-0008-0000-0100-0000DE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295" name="Drop Down 1" hidden="1">
          <a:extLst>
            <a:ext uri="{FF2B5EF4-FFF2-40B4-BE49-F238E27FC236}">
              <a16:creationId xmlns:a16="http://schemas.microsoft.com/office/drawing/2014/main" id="{00000000-0008-0000-0100-0000DF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296" name="Drop Down 2" hidden="1">
          <a:extLst>
            <a:ext uri="{FF2B5EF4-FFF2-40B4-BE49-F238E27FC236}">
              <a16:creationId xmlns:a16="http://schemas.microsoft.com/office/drawing/2014/main" id="{00000000-0008-0000-0100-0000E0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297" name="Drop Down 1" hidden="1">
          <a:extLst>
            <a:ext uri="{FF2B5EF4-FFF2-40B4-BE49-F238E27FC236}">
              <a16:creationId xmlns:a16="http://schemas.microsoft.com/office/drawing/2014/main" id="{00000000-0008-0000-0100-0000E1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298" name="Drop Down -1022" hidden="1">
          <a:extLst>
            <a:ext uri="{FF2B5EF4-FFF2-40B4-BE49-F238E27FC236}">
              <a16:creationId xmlns:a16="http://schemas.microsoft.com/office/drawing/2014/main" id="{00000000-0008-0000-0100-0000E2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299" name="Drop Down 1" hidden="1">
          <a:extLst>
            <a:ext uri="{FF2B5EF4-FFF2-40B4-BE49-F238E27FC236}">
              <a16:creationId xmlns:a16="http://schemas.microsoft.com/office/drawing/2014/main" id="{00000000-0008-0000-0100-0000E3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300" name="Drop Down 1" hidden="1">
          <a:extLst>
            <a:ext uri="{FF2B5EF4-FFF2-40B4-BE49-F238E27FC236}">
              <a16:creationId xmlns:a16="http://schemas.microsoft.com/office/drawing/2014/main" id="{00000000-0008-0000-0100-0000E4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301" name="Drop Down 1" hidden="1">
          <a:extLst>
            <a:ext uri="{FF2B5EF4-FFF2-40B4-BE49-F238E27FC236}">
              <a16:creationId xmlns:a16="http://schemas.microsoft.com/office/drawing/2014/main" id="{00000000-0008-0000-0100-0000E5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302" name="Drop Down 1" hidden="1">
          <a:extLst>
            <a:ext uri="{FF2B5EF4-FFF2-40B4-BE49-F238E27FC236}">
              <a16:creationId xmlns:a16="http://schemas.microsoft.com/office/drawing/2014/main" id="{00000000-0008-0000-0100-0000E6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303" name="Drop Down 2" hidden="1">
          <a:extLst>
            <a:ext uri="{FF2B5EF4-FFF2-40B4-BE49-F238E27FC236}">
              <a16:creationId xmlns:a16="http://schemas.microsoft.com/office/drawing/2014/main" id="{00000000-0008-0000-0100-0000E7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304" name="Drop Down 1" hidden="1">
          <a:extLst>
            <a:ext uri="{FF2B5EF4-FFF2-40B4-BE49-F238E27FC236}">
              <a16:creationId xmlns:a16="http://schemas.microsoft.com/office/drawing/2014/main" id="{00000000-0008-0000-0100-0000E8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305" name="Drop Down -1022" hidden="1">
          <a:extLst>
            <a:ext uri="{FF2B5EF4-FFF2-40B4-BE49-F238E27FC236}">
              <a16:creationId xmlns:a16="http://schemas.microsoft.com/office/drawing/2014/main" id="{00000000-0008-0000-0100-0000E9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06" name="Drop Down 1" hidden="1">
          <a:extLst>
            <a:ext uri="{FF2B5EF4-FFF2-40B4-BE49-F238E27FC236}">
              <a16:creationId xmlns:a16="http://schemas.microsoft.com/office/drawing/2014/main" id="{00000000-0008-0000-0100-0000EA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07" name="Drop Down 1" hidden="1">
          <a:extLst>
            <a:ext uri="{FF2B5EF4-FFF2-40B4-BE49-F238E27FC236}">
              <a16:creationId xmlns:a16="http://schemas.microsoft.com/office/drawing/2014/main" id="{00000000-0008-0000-0100-0000EB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08" name="Drop Down 1" hidden="1">
          <a:extLst>
            <a:ext uri="{FF2B5EF4-FFF2-40B4-BE49-F238E27FC236}">
              <a16:creationId xmlns:a16="http://schemas.microsoft.com/office/drawing/2014/main" id="{00000000-0008-0000-0100-0000EC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09" name="Drop Down 1" hidden="1">
          <a:extLst>
            <a:ext uri="{FF2B5EF4-FFF2-40B4-BE49-F238E27FC236}">
              <a16:creationId xmlns:a16="http://schemas.microsoft.com/office/drawing/2014/main" id="{00000000-0008-0000-0100-0000ED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10" name="Drop Down 2" hidden="1">
          <a:extLst>
            <a:ext uri="{FF2B5EF4-FFF2-40B4-BE49-F238E27FC236}">
              <a16:creationId xmlns:a16="http://schemas.microsoft.com/office/drawing/2014/main" id="{00000000-0008-0000-0100-0000EE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11" name="Drop Down 1" hidden="1">
          <a:extLst>
            <a:ext uri="{FF2B5EF4-FFF2-40B4-BE49-F238E27FC236}">
              <a16:creationId xmlns:a16="http://schemas.microsoft.com/office/drawing/2014/main" id="{00000000-0008-0000-0100-0000EF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12" name="Drop Down -1022" hidden="1">
          <a:extLst>
            <a:ext uri="{FF2B5EF4-FFF2-40B4-BE49-F238E27FC236}">
              <a16:creationId xmlns:a16="http://schemas.microsoft.com/office/drawing/2014/main" id="{00000000-0008-0000-0100-0000F0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13" name="Drop Down 1" hidden="1">
          <a:extLst>
            <a:ext uri="{FF2B5EF4-FFF2-40B4-BE49-F238E27FC236}">
              <a16:creationId xmlns:a16="http://schemas.microsoft.com/office/drawing/2014/main" id="{00000000-0008-0000-0100-0000F1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14" name="Drop Down 1" hidden="1">
          <a:extLst>
            <a:ext uri="{FF2B5EF4-FFF2-40B4-BE49-F238E27FC236}">
              <a16:creationId xmlns:a16="http://schemas.microsoft.com/office/drawing/2014/main" id="{00000000-0008-0000-0100-0000F2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15" name="Drop Down 1" hidden="1">
          <a:extLst>
            <a:ext uri="{FF2B5EF4-FFF2-40B4-BE49-F238E27FC236}">
              <a16:creationId xmlns:a16="http://schemas.microsoft.com/office/drawing/2014/main" id="{00000000-0008-0000-0100-0000F3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16" name="Drop Down 1" hidden="1">
          <a:extLst>
            <a:ext uri="{FF2B5EF4-FFF2-40B4-BE49-F238E27FC236}">
              <a16:creationId xmlns:a16="http://schemas.microsoft.com/office/drawing/2014/main" id="{00000000-0008-0000-0100-0000F4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17" name="Drop Down 2" hidden="1">
          <a:extLst>
            <a:ext uri="{FF2B5EF4-FFF2-40B4-BE49-F238E27FC236}">
              <a16:creationId xmlns:a16="http://schemas.microsoft.com/office/drawing/2014/main" id="{00000000-0008-0000-0100-0000F5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18" name="Drop Down 1" hidden="1">
          <a:extLst>
            <a:ext uri="{FF2B5EF4-FFF2-40B4-BE49-F238E27FC236}">
              <a16:creationId xmlns:a16="http://schemas.microsoft.com/office/drawing/2014/main" id="{00000000-0008-0000-0100-0000F6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19" name="Drop Down -1022" hidden="1">
          <a:extLst>
            <a:ext uri="{FF2B5EF4-FFF2-40B4-BE49-F238E27FC236}">
              <a16:creationId xmlns:a16="http://schemas.microsoft.com/office/drawing/2014/main" id="{00000000-0008-0000-0100-0000F70C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20" name="Drop Down 1" hidden="1">
          <a:extLst>
            <a:ext uri="{FF2B5EF4-FFF2-40B4-BE49-F238E27FC236}">
              <a16:creationId xmlns:a16="http://schemas.microsoft.com/office/drawing/2014/main" id="{00000000-0008-0000-0100-0000F8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21" name="Drop Down 1" hidden="1">
          <a:extLst>
            <a:ext uri="{FF2B5EF4-FFF2-40B4-BE49-F238E27FC236}">
              <a16:creationId xmlns:a16="http://schemas.microsoft.com/office/drawing/2014/main" id="{00000000-0008-0000-0100-0000F9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22" name="Drop Down 1" hidden="1">
          <a:extLst>
            <a:ext uri="{FF2B5EF4-FFF2-40B4-BE49-F238E27FC236}">
              <a16:creationId xmlns:a16="http://schemas.microsoft.com/office/drawing/2014/main" id="{00000000-0008-0000-0100-0000FA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23" name="Drop Down 1" hidden="1">
          <a:extLst>
            <a:ext uri="{FF2B5EF4-FFF2-40B4-BE49-F238E27FC236}">
              <a16:creationId xmlns:a16="http://schemas.microsoft.com/office/drawing/2014/main" id="{00000000-0008-0000-0100-0000FB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24" name="Drop Down 2" hidden="1">
          <a:extLst>
            <a:ext uri="{FF2B5EF4-FFF2-40B4-BE49-F238E27FC236}">
              <a16:creationId xmlns:a16="http://schemas.microsoft.com/office/drawing/2014/main" id="{00000000-0008-0000-0100-0000FC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25" name="Drop Down 1" hidden="1">
          <a:extLst>
            <a:ext uri="{FF2B5EF4-FFF2-40B4-BE49-F238E27FC236}">
              <a16:creationId xmlns:a16="http://schemas.microsoft.com/office/drawing/2014/main" id="{00000000-0008-0000-0100-0000FD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26" name="Drop Down -1022" hidden="1">
          <a:extLst>
            <a:ext uri="{FF2B5EF4-FFF2-40B4-BE49-F238E27FC236}">
              <a16:creationId xmlns:a16="http://schemas.microsoft.com/office/drawing/2014/main" id="{00000000-0008-0000-0100-0000FE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27" name="Drop Down 1" hidden="1">
          <a:extLst>
            <a:ext uri="{FF2B5EF4-FFF2-40B4-BE49-F238E27FC236}">
              <a16:creationId xmlns:a16="http://schemas.microsoft.com/office/drawing/2014/main" id="{00000000-0008-0000-0100-0000FF0C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28" name="Drop Down 1" hidden="1">
          <a:extLst>
            <a:ext uri="{FF2B5EF4-FFF2-40B4-BE49-F238E27FC236}">
              <a16:creationId xmlns:a16="http://schemas.microsoft.com/office/drawing/2014/main" id="{00000000-0008-0000-0100-00000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29" name="Drop Down 1" hidden="1">
          <a:extLst>
            <a:ext uri="{FF2B5EF4-FFF2-40B4-BE49-F238E27FC236}">
              <a16:creationId xmlns:a16="http://schemas.microsoft.com/office/drawing/2014/main" id="{00000000-0008-0000-0100-00000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30" name="Drop Down 1" hidden="1">
          <a:extLst>
            <a:ext uri="{FF2B5EF4-FFF2-40B4-BE49-F238E27FC236}">
              <a16:creationId xmlns:a16="http://schemas.microsoft.com/office/drawing/2014/main" id="{00000000-0008-0000-0100-00000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31" name="Drop Down 2" hidden="1">
          <a:extLst>
            <a:ext uri="{FF2B5EF4-FFF2-40B4-BE49-F238E27FC236}">
              <a16:creationId xmlns:a16="http://schemas.microsoft.com/office/drawing/2014/main" id="{00000000-0008-0000-0100-00000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32" name="Drop Down 1" hidden="1">
          <a:extLst>
            <a:ext uri="{FF2B5EF4-FFF2-40B4-BE49-F238E27FC236}">
              <a16:creationId xmlns:a16="http://schemas.microsoft.com/office/drawing/2014/main" id="{00000000-0008-0000-0100-00000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33" name="Drop Down -1022" hidden="1">
          <a:extLst>
            <a:ext uri="{FF2B5EF4-FFF2-40B4-BE49-F238E27FC236}">
              <a16:creationId xmlns:a16="http://schemas.microsoft.com/office/drawing/2014/main" id="{00000000-0008-0000-0100-00000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34" name="Drop Down 1" hidden="1">
          <a:extLst>
            <a:ext uri="{FF2B5EF4-FFF2-40B4-BE49-F238E27FC236}">
              <a16:creationId xmlns:a16="http://schemas.microsoft.com/office/drawing/2014/main" id="{00000000-0008-0000-0100-00000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35" name="Drop Down 1" hidden="1">
          <a:extLst>
            <a:ext uri="{FF2B5EF4-FFF2-40B4-BE49-F238E27FC236}">
              <a16:creationId xmlns:a16="http://schemas.microsoft.com/office/drawing/2014/main" id="{00000000-0008-0000-0100-00000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36" name="Drop Down 1" hidden="1">
          <a:extLst>
            <a:ext uri="{FF2B5EF4-FFF2-40B4-BE49-F238E27FC236}">
              <a16:creationId xmlns:a16="http://schemas.microsoft.com/office/drawing/2014/main" id="{00000000-0008-0000-0100-000008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37" name="Drop Down 1" hidden="1">
          <a:extLst>
            <a:ext uri="{FF2B5EF4-FFF2-40B4-BE49-F238E27FC236}">
              <a16:creationId xmlns:a16="http://schemas.microsoft.com/office/drawing/2014/main" id="{00000000-0008-0000-0100-000009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38" name="Drop Down 2" hidden="1">
          <a:extLst>
            <a:ext uri="{FF2B5EF4-FFF2-40B4-BE49-F238E27FC236}">
              <a16:creationId xmlns:a16="http://schemas.microsoft.com/office/drawing/2014/main" id="{00000000-0008-0000-0100-00000A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39" name="Drop Down 1" hidden="1">
          <a:extLst>
            <a:ext uri="{FF2B5EF4-FFF2-40B4-BE49-F238E27FC236}">
              <a16:creationId xmlns:a16="http://schemas.microsoft.com/office/drawing/2014/main" id="{00000000-0008-0000-0100-00000B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40" name="Drop Down -1022" hidden="1">
          <a:extLst>
            <a:ext uri="{FF2B5EF4-FFF2-40B4-BE49-F238E27FC236}">
              <a16:creationId xmlns:a16="http://schemas.microsoft.com/office/drawing/2014/main" id="{00000000-0008-0000-0100-00000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41" name="Drop Down 1" hidden="1">
          <a:extLst>
            <a:ext uri="{FF2B5EF4-FFF2-40B4-BE49-F238E27FC236}">
              <a16:creationId xmlns:a16="http://schemas.microsoft.com/office/drawing/2014/main" id="{00000000-0008-0000-0100-00000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42" name="Drop Down 1" hidden="1">
          <a:extLst>
            <a:ext uri="{FF2B5EF4-FFF2-40B4-BE49-F238E27FC236}">
              <a16:creationId xmlns:a16="http://schemas.microsoft.com/office/drawing/2014/main" id="{00000000-0008-0000-0100-00000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43" name="Drop Down 1" hidden="1">
          <a:extLst>
            <a:ext uri="{FF2B5EF4-FFF2-40B4-BE49-F238E27FC236}">
              <a16:creationId xmlns:a16="http://schemas.microsoft.com/office/drawing/2014/main" id="{00000000-0008-0000-0100-00000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44" name="Drop Down 1" hidden="1">
          <a:extLst>
            <a:ext uri="{FF2B5EF4-FFF2-40B4-BE49-F238E27FC236}">
              <a16:creationId xmlns:a16="http://schemas.microsoft.com/office/drawing/2014/main" id="{00000000-0008-0000-0100-00001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45" name="Drop Down 2" hidden="1">
          <a:extLst>
            <a:ext uri="{FF2B5EF4-FFF2-40B4-BE49-F238E27FC236}">
              <a16:creationId xmlns:a16="http://schemas.microsoft.com/office/drawing/2014/main" id="{00000000-0008-0000-0100-00001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46" name="Drop Down 1" hidden="1">
          <a:extLst>
            <a:ext uri="{FF2B5EF4-FFF2-40B4-BE49-F238E27FC236}">
              <a16:creationId xmlns:a16="http://schemas.microsoft.com/office/drawing/2014/main" id="{00000000-0008-0000-0100-00001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47" name="Drop Down -1022" hidden="1">
          <a:extLst>
            <a:ext uri="{FF2B5EF4-FFF2-40B4-BE49-F238E27FC236}">
              <a16:creationId xmlns:a16="http://schemas.microsoft.com/office/drawing/2014/main" id="{00000000-0008-0000-0100-00001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48" name="Drop Down 1" hidden="1">
          <a:extLst>
            <a:ext uri="{FF2B5EF4-FFF2-40B4-BE49-F238E27FC236}">
              <a16:creationId xmlns:a16="http://schemas.microsoft.com/office/drawing/2014/main" id="{00000000-0008-0000-0100-00001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49" name="Drop Down 1" hidden="1">
          <a:extLst>
            <a:ext uri="{FF2B5EF4-FFF2-40B4-BE49-F238E27FC236}">
              <a16:creationId xmlns:a16="http://schemas.microsoft.com/office/drawing/2014/main" id="{00000000-0008-0000-0100-00001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50" name="Drop Down 1" hidden="1">
          <a:extLst>
            <a:ext uri="{FF2B5EF4-FFF2-40B4-BE49-F238E27FC236}">
              <a16:creationId xmlns:a16="http://schemas.microsoft.com/office/drawing/2014/main" id="{00000000-0008-0000-0100-00001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51" name="Drop Down 1" hidden="1">
          <a:extLst>
            <a:ext uri="{FF2B5EF4-FFF2-40B4-BE49-F238E27FC236}">
              <a16:creationId xmlns:a16="http://schemas.microsoft.com/office/drawing/2014/main" id="{00000000-0008-0000-0100-00001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52" name="Drop Down 2" hidden="1">
          <a:extLst>
            <a:ext uri="{FF2B5EF4-FFF2-40B4-BE49-F238E27FC236}">
              <a16:creationId xmlns:a16="http://schemas.microsoft.com/office/drawing/2014/main" id="{00000000-0008-0000-0100-000018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53" name="Drop Down 1" hidden="1">
          <a:extLst>
            <a:ext uri="{FF2B5EF4-FFF2-40B4-BE49-F238E27FC236}">
              <a16:creationId xmlns:a16="http://schemas.microsoft.com/office/drawing/2014/main" id="{00000000-0008-0000-0100-000019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54" name="Drop Down -1022" hidden="1">
          <a:extLst>
            <a:ext uri="{FF2B5EF4-FFF2-40B4-BE49-F238E27FC236}">
              <a16:creationId xmlns:a16="http://schemas.microsoft.com/office/drawing/2014/main" id="{00000000-0008-0000-0100-00001A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55" name="Drop Down 1" hidden="1">
          <a:extLst>
            <a:ext uri="{FF2B5EF4-FFF2-40B4-BE49-F238E27FC236}">
              <a16:creationId xmlns:a16="http://schemas.microsoft.com/office/drawing/2014/main" id="{00000000-0008-0000-0100-00001B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56" name="Drop Down 1" hidden="1">
          <a:extLst>
            <a:ext uri="{FF2B5EF4-FFF2-40B4-BE49-F238E27FC236}">
              <a16:creationId xmlns:a16="http://schemas.microsoft.com/office/drawing/2014/main" id="{00000000-0008-0000-0100-00001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57" name="Drop Down 1" hidden="1">
          <a:extLst>
            <a:ext uri="{FF2B5EF4-FFF2-40B4-BE49-F238E27FC236}">
              <a16:creationId xmlns:a16="http://schemas.microsoft.com/office/drawing/2014/main" id="{00000000-0008-0000-0100-00001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58" name="Drop Down 1" hidden="1">
          <a:extLst>
            <a:ext uri="{FF2B5EF4-FFF2-40B4-BE49-F238E27FC236}">
              <a16:creationId xmlns:a16="http://schemas.microsoft.com/office/drawing/2014/main" id="{00000000-0008-0000-0100-00001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59" name="Drop Down 2" hidden="1">
          <a:extLst>
            <a:ext uri="{FF2B5EF4-FFF2-40B4-BE49-F238E27FC236}">
              <a16:creationId xmlns:a16="http://schemas.microsoft.com/office/drawing/2014/main" id="{00000000-0008-0000-0100-00001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60" name="Drop Down 1" hidden="1">
          <a:extLst>
            <a:ext uri="{FF2B5EF4-FFF2-40B4-BE49-F238E27FC236}">
              <a16:creationId xmlns:a16="http://schemas.microsoft.com/office/drawing/2014/main" id="{00000000-0008-0000-0100-00002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61" name="Drop Down -1022" hidden="1">
          <a:extLst>
            <a:ext uri="{FF2B5EF4-FFF2-40B4-BE49-F238E27FC236}">
              <a16:creationId xmlns:a16="http://schemas.microsoft.com/office/drawing/2014/main" id="{00000000-0008-0000-0100-00002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62" name="Drop Down 1" hidden="1">
          <a:extLst>
            <a:ext uri="{FF2B5EF4-FFF2-40B4-BE49-F238E27FC236}">
              <a16:creationId xmlns:a16="http://schemas.microsoft.com/office/drawing/2014/main" id="{00000000-0008-0000-0100-00002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63" name="Drop Down 1" hidden="1">
          <a:extLst>
            <a:ext uri="{FF2B5EF4-FFF2-40B4-BE49-F238E27FC236}">
              <a16:creationId xmlns:a16="http://schemas.microsoft.com/office/drawing/2014/main" id="{00000000-0008-0000-0100-00002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64" name="Drop Down 1" hidden="1">
          <a:extLst>
            <a:ext uri="{FF2B5EF4-FFF2-40B4-BE49-F238E27FC236}">
              <a16:creationId xmlns:a16="http://schemas.microsoft.com/office/drawing/2014/main" id="{00000000-0008-0000-0100-00002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65" name="Drop Down 1" hidden="1">
          <a:extLst>
            <a:ext uri="{FF2B5EF4-FFF2-40B4-BE49-F238E27FC236}">
              <a16:creationId xmlns:a16="http://schemas.microsoft.com/office/drawing/2014/main" id="{00000000-0008-0000-0100-00002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66" name="Drop Down 2" hidden="1">
          <a:extLst>
            <a:ext uri="{FF2B5EF4-FFF2-40B4-BE49-F238E27FC236}">
              <a16:creationId xmlns:a16="http://schemas.microsoft.com/office/drawing/2014/main" id="{00000000-0008-0000-0100-00002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67" name="Drop Down 1" hidden="1">
          <a:extLst>
            <a:ext uri="{FF2B5EF4-FFF2-40B4-BE49-F238E27FC236}">
              <a16:creationId xmlns:a16="http://schemas.microsoft.com/office/drawing/2014/main" id="{00000000-0008-0000-0100-00002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368" name="Drop Down -1022" hidden="1">
          <a:extLst>
            <a:ext uri="{FF2B5EF4-FFF2-40B4-BE49-F238E27FC236}">
              <a16:creationId xmlns:a16="http://schemas.microsoft.com/office/drawing/2014/main" id="{00000000-0008-0000-0100-000028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69" name="Drop Down 1" hidden="1">
          <a:extLst>
            <a:ext uri="{FF2B5EF4-FFF2-40B4-BE49-F238E27FC236}">
              <a16:creationId xmlns:a16="http://schemas.microsoft.com/office/drawing/2014/main" id="{00000000-0008-0000-0100-000029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70" name="Drop Down 1" hidden="1">
          <a:extLst>
            <a:ext uri="{FF2B5EF4-FFF2-40B4-BE49-F238E27FC236}">
              <a16:creationId xmlns:a16="http://schemas.microsoft.com/office/drawing/2014/main" id="{00000000-0008-0000-0100-00002A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71" name="Drop Down 1" hidden="1">
          <a:extLst>
            <a:ext uri="{FF2B5EF4-FFF2-40B4-BE49-F238E27FC236}">
              <a16:creationId xmlns:a16="http://schemas.microsoft.com/office/drawing/2014/main" id="{00000000-0008-0000-0100-00002B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72" name="Drop Down 1" hidden="1">
          <a:extLst>
            <a:ext uri="{FF2B5EF4-FFF2-40B4-BE49-F238E27FC236}">
              <a16:creationId xmlns:a16="http://schemas.microsoft.com/office/drawing/2014/main" id="{00000000-0008-0000-0100-00002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73" name="Drop Down 2" hidden="1">
          <a:extLst>
            <a:ext uri="{FF2B5EF4-FFF2-40B4-BE49-F238E27FC236}">
              <a16:creationId xmlns:a16="http://schemas.microsoft.com/office/drawing/2014/main" id="{00000000-0008-0000-0100-00002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74" name="Drop Down 1" hidden="1">
          <a:extLst>
            <a:ext uri="{FF2B5EF4-FFF2-40B4-BE49-F238E27FC236}">
              <a16:creationId xmlns:a16="http://schemas.microsoft.com/office/drawing/2014/main" id="{00000000-0008-0000-0100-00002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375" name="Drop Down -1022" hidden="1">
          <a:extLst>
            <a:ext uri="{FF2B5EF4-FFF2-40B4-BE49-F238E27FC236}">
              <a16:creationId xmlns:a16="http://schemas.microsoft.com/office/drawing/2014/main" id="{00000000-0008-0000-0100-00002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76" name="Drop Down 1" hidden="1">
          <a:extLst>
            <a:ext uri="{FF2B5EF4-FFF2-40B4-BE49-F238E27FC236}">
              <a16:creationId xmlns:a16="http://schemas.microsoft.com/office/drawing/2014/main" id="{00000000-0008-0000-0100-000030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77" name="Drop Down 1" hidden="1">
          <a:extLst>
            <a:ext uri="{FF2B5EF4-FFF2-40B4-BE49-F238E27FC236}">
              <a16:creationId xmlns:a16="http://schemas.microsoft.com/office/drawing/2014/main" id="{00000000-0008-0000-0100-000031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78" name="Drop Down 1" hidden="1">
          <a:extLst>
            <a:ext uri="{FF2B5EF4-FFF2-40B4-BE49-F238E27FC236}">
              <a16:creationId xmlns:a16="http://schemas.microsoft.com/office/drawing/2014/main" id="{00000000-0008-0000-0100-000032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79" name="Drop Down 1" hidden="1">
          <a:extLst>
            <a:ext uri="{FF2B5EF4-FFF2-40B4-BE49-F238E27FC236}">
              <a16:creationId xmlns:a16="http://schemas.microsoft.com/office/drawing/2014/main" id="{00000000-0008-0000-0100-000033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80" name="Drop Down 2" hidden="1">
          <a:extLst>
            <a:ext uri="{FF2B5EF4-FFF2-40B4-BE49-F238E27FC236}">
              <a16:creationId xmlns:a16="http://schemas.microsoft.com/office/drawing/2014/main" id="{00000000-0008-0000-0100-000034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81" name="Drop Down 1" hidden="1">
          <a:extLst>
            <a:ext uri="{FF2B5EF4-FFF2-40B4-BE49-F238E27FC236}">
              <a16:creationId xmlns:a16="http://schemas.microsoft.com/office/drawing/2014/main" id="{00000000-0008-0000-0100-000035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82" name="Drop Down -1022" hidden="1">
          <a:extLst>
            <a:ext uri="{FF2B5EF4-FFF2-40B4-BE49-F238E27FC236}">
              <a16:creationId xmlns:a16="http://schemas.microsoft.com/office/drawing/2014/main" id="{00000000-0008-0000-0100-000036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83" name="Drop Down 1" hidden="1">
          <a:extLst>
            <a:ext uri="{FF2B5EF4-FFF2-40B4-BE49-F238E27FC236}">
              <a16:creationId xmlns:a16="http://schemas.microsoft.com/office/drawing/2014/main" id="{00000000-0008-0000-0100-000037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84" name="Drop Down 1" hidden="1">
          <a:extLst>
            <a:ext uri="{FF2B5EF4-FFF2-40B4-BE49-F238E27FC236}">
              <a16:creationId xmlns:a16="http://schemas.microsoft.com/office/drawing/2014/main" id="{00000000-0008-0000-0100-000038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85" name="Drop Down 1" hidden="1">
          <a:extLst>
            <a:ext uri="{FF2B5EF4-FFF2-40B4-BE49-F238E27FC236}">
              <a16:creationId xmlns:a16="http://schemas.microsoft.com/office/drawing/2014/main" id="{00000000-0008-0000-0100-000039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86" name="Drop Down 1" hidden="1">
          <a:extLst>
            <a:ext uri="{FF2B5EF4-FFF2-40B4-BE49-F238E27FC236}">
              <a16:creationId xmlns:a16="http://schemas.microsoft.com/office/drawing/2014/main" id="{00000000-0008-0000-0100-00003A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87" name="Drop Down 2" hidden="1">
          <a:extLst>
            <a:ext uri="{FF2B5EF4-FFF2-40B4-BE49-F238E27FC236}">
              <a16:creationId xmlns:a16="http://schemas.microsoft.com/office/drawing/2014/main" id="{00000000-0008-0000-0100-00003B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88" name="Drop Down 1" hidden="1">
          <a:extLst>
            <a:ext uri="{FF2B5EF4-FFF2-40B4-BE49-F238E27FC236}">
              <a16:creationId xmlns:a16="http://schemas.microsoft.com/office/drawing/2014/main" id="{00000000-0008-0000-0100-00003C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89" name="Drop Down -1022" hidden="1">
          <a:extLst>
            <a:ext uri="{FF2B5EF4-FFF2-40B4-BE49-F238E27FC236}">
              <a16:creationId xmlns:a16="http://schemas.microsoft.com/office/drawing/2014/main" id="{00000000-0008-0000-0100-00003D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90" name="Drop Down 1" hidden="1">
          <a:extLst>
            <a:ext uri="{FF2B5EF4-FFF2-40B4-BE49-F238E27FC236}">
              <a16:creationId xmlns:a16="http://schemas.microsoft.com/office/drawing/2014/main" id="{00000000-0008-0000-0100-00003E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91" name="Drop Down 1" hidden="1">
          <a:extLst>
            <a:ext uri="{FF2B5EF4-FFF2-40B4-BE49-F238E27FC236}">
              <a16:creationId xmlns:a16="http://schemas.microsoft.com/office/drawing/2014/main" id="{00000000-0008-0000-0100-00003F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92" name="Drop Down 1" hidden="1">
          <a:extLst>
            <a:ext uri="{FF2B5EF4-FFF2-40B4-BE49-F238E27FC236}">
              <a16:creationId xmlns:a16="http://schemas.microsoft.com/office/drawing/2014/main" id="{00000000-0008-0000-0100-000040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93" name="Drop Down 1" hidden="1">
          <a:extLst>
            <a:ext uri="{FF2B5EF4-FFF2-40B4-BE49-F238E27FC236}">
              <a16:creationId xmlns:a16="http://schemas.microsoft.com/office/drawing/2014/main" id="{00000000-0008-0000-0100-000041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94" name="Drop Down 2" hidden="1">
          <a:extLst>
            <a:ext uri="{FF2B5EF4-FFF2-40B4-BE49-F238E27FC236}">
              <a16:creationId xmlns:a16="http://schemas.microsoft.com/office/drawing/2014/main" id="{00000000-0008-0000-0100-000042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95" name="Drop Down 1" hidden="1">
          <a:extLst>
            <a:ext uri="{FF2B5EF4-FFF2-40B4-BE49-F238E27FC236}">
              <a16:creationId xmlns:a16="http://schemas.microsoft.com/office/drawing/2014/main" id="{00000000-0008-0000-0100-000043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396" name="Drop Down -1022" hidden="1">
          <a:extLst>
            <a:ext uri="{FF2B5EF4-FFF2-40B4-BE49-F238E27FC236}">
              <a16:creationId xmlns:a16="http://schemas.microsoft.com/office/drawing/2014/main" id="{00000000-0008-0000-0100-000044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97" name="Drop Down 1" hidden="1">
          <a:extLst>
            <a:ext uri="{FF2B5EF4-FFF2-40B4-BE49-F238E27FC236}">
              <a16:creationId xmlns:a16="http://schemas.microsoft.com/office/drawing/2014/main" id="{00000000-0008-0000-0100-000045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98" name="Drop Down 1" hidden="1">
          <a:extLst>
            <a:ext uri="{FF2B5EF4-FFF2-40B4-BE49-F238E27FC236}">
              <a16:creationId xmlns:a16="http://schemas.microsoft.com/office/drawing/2014/main" id="{00000000-0008-0000-0100-000046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399" name="Drop Down 1" hidden="1">
          <a:extLst>
            <a:ext uri="{FF2B5EF4-FFF2-40B4-BE49-F238E27FC236}">
              <a16:creationId xmlns:a16="http://schemas.microsoft.com/office/drawing/2014/main" id="{00000000-0008-0000-0100-000047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00" name="Drop Down 1" hidden="1">
          <a:extLst>
            <a:ext uri="{FF2B5EF4-FFF2-40B4-BE49-F238E27FC236}">
              <a16:creationId xmlns:a16="http://schemas.microsoft.com/office/drawing/2014/main" id="{00000000-0008-0000-0100-000048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01" name="Drop Down 2" hidden="1">
          <a:extLst>
            <a:ext uri="{FF2B5EF4-FFF2-40B4-BE49-F238E27FC236}">
              <a16:creationId xmlns:a16="http://schemas.microsoft.com/office/drawing/2014/main" id="{00000000-0008-0000-0100-000049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02" name="Drop Down 1" hidden="1">
          <a:extLst>
            <a:ext uri="{FF2B5EF4-FFF2-40B4-BE49-F238E27FC236}">
              <a16:creationId xmlns:a16="http://schemas.microsoft.com/office/drawing/2014/main" id="{00000000-0008-0000-0100-00004A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03" name="Drop Down -1022" hidden="1">
          <a:extLst>
            <a:ext uri="{FF2B5EF4-FFF2-40B4-BE49-F238E27FC236}">
              <a16:creationId xmlns:a16="http://schemas.microsoft.com/office/drawing/2014/main" id="{00000000-0008-0000-0100-00004B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04" name="Drop Down 1" hidden="1">
          <a:extLst>
            <a:ext uri="{FF2B5EF4-FFF2-40B4-BE49-F238E27FC236}">
              <a16:creationId xmlns:a16="http://schemas.microsoft.com/office/drawing/2014/main" id="{00000000-0008-0000-0100-00004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05" name="Drop Down 1" hidden="1">
          <a:extLst>
            <a:ext uri="{FF2B5EF4-FFF2-40B4-BE49-F238E27FC236}">
              <a16:creationId xmlns:a16="http://schemas.microsoft.com/office/drawing/2014/main" id="{00000000-0008-0000-0100-00004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06" name="Drop Down 1" hidden="1">
          <a:extLst>
            <a:ext uri="{FF2B5EF4-FFF2-40B4-BE49-F238E27FC236}">
              <a16:creationId xmlns:a16="http://schemas.microsoft.com/office/drawing/2014/main" id="{00000000-0008-0000-0100-00004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07" name="Drop Down 1" hidden="1">
          <a:extLst>
            <a:ext uri="{FF2B5EF4-FFF2-40B4-BE49-F238E27FC236}">
              <a16:creationId xmlns:a16="http://schemas.microsoft.com/office/drawing/2014/main" id="{00000000-0008-0000-0100-00004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08" name="Drop Down 2" hidden="1">
          <a:extLst>
            <a:ext uri="{FF2B5EF4-FFF2-40B4-BE49-F238E27FC236}">
              <a16:creationId xmlns:a16="http://schemas.microsoft.com/office/drawing/2014/main" id="{00000000-0008-0000-0100-00005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09" name="Drop Down 1" hidden="1">
          <a:extLst>
            <a:ext uri="{FF2B5EF4-FFF2-40B4-BE49-F238E27FC236}">
              <a16:creationId xmlns:a16="http://schemas.microsoft.com/office/drawing/2014/main" id="{00000000-0008-0000-0100-00005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10" name="Drop Down -1022" hidden="1">
          <a:extLst>
            <a:ext uri="{FF2B5EF4-FFF2-40B4-BE49-F238E27FC236}">
              <a16:creationId xmlns:a16="http://schemas.microsoft.com/office/drawing/2014/main" id="{00000000-0008-0000-0100-00005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11" name="Drop Down 1" hidden="1">
          <a:extLst>
            <a:ext uri="{FF2B5EF4-FFF2-40B4-BE49-F238E27FC236}">
              <a16:creationId xmlns:a16="http://schemas.microsoft.com/office/drawing/2014/main" id="{00000000-0008-0000-0100-00005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12" name="Drop Down 1" hidden="1">
          <a:extLst>
            <a:ext uri="{FF2B5EF4-FFF2-40B4-BE49-F238E27FC236}">
              <a16:creationId xmlns:a16="http://schemas.microsoft.com/office/drawing/2014/main" id="{00000000-0008-0000-0100-00005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13" name="Drop Down 1" hidden="1">
          <a:extLst>
            <a:ext uri="{FF2B5EF4-FFF2-40B4-BE49-F238E27FC236}">
              <a16:creationId xmlns:a16="http://schemas.microsoft.com/office/drawing/2014/main" id="{00000000-0008-0000-0100-00005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14" name="Drop Down 1" hidden="1">
          <a:extLst>
            <a:ext uri="{FF2B5EF4-FFF2-40B4-BE49-F238E27FC236}">
              <a16:creationId xmlns:a16="http://schemas.microsoft.com/office/drawing/2014/main" id="{00000000-0008-0000-0100-00005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15" name="Drop Down 2" hidden="1">
          <a:extLst>
            <a:ext uri="{FF2B5EF4-FFF2-40B4-BE49-F238E27FC236}">
              <a16:creationId xmlns:a16="http://schemas.microsoft.com/office/drawing/2014/main" id="{00000000-0008-0000-0100-00005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16" name="Drop Down 1" hidden="1">
          <a:extLst>
            <a:ext uri="{FF2B5EF4-FFF2-40B4-BE49-F238E27FC236}">
              <a16:creationId xmlns:a16="http://schemas.microsoft.com/office/drawing/2014/main" id="{00000000-0008-0000-0100-000058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17" name="Drop Down -1022" hidden="1">
          <a:extLst>
            <a:ext uri="{FF2B5EF4-FFF2-40B4-BE49-F238E27FC236}">
              <a16:creationId xmlns:a16="http://schemas.microsoft.com/office/drawing/2014/main" id="{00000000-0008-0000-0100-000059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18" name="Drop Down 1" hidden="1">
          <a:extLst>
            <a:ext uri="{FF2B5EF4-FFF2-40B4-BE49-F238E27FC236}">
              <a16:creationId xmlns:a16="http://schemas.microsoft.com/office/drawing/2014/main" id="{00000000-0008-0000-0100-00005A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19" name="Drop Down 1" hidden="1">
          <a:extLst>
            <a:ext uri="{FF2B5EF4-FFF2-40B4-BE49-F238E27FC236}">
              <a16:creationId xmlns:a16="http://schemas.microsoft.com/office/drawing/2014/main" id="{00000000-0008-0000-0100-00005B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20" name="Drop Down 1" hidden="1">
          <a:extLst>
            <a:ext uri="{FF2B5EF4-FFF2-40B4-BE49-F238E27FC236}">
              <a16:creationId xmlns:a16="http://schemas.microsoft.com/office/drawing/2014/main" id="{00000000-0008-0000-0100-00005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21" name="Drop Down 1" hidden="1">
          <a:extLst>
            <a:ext uri="{FF2B5EF4-FFF2-40B4-BE49-F238E27FC236}">
              <a16:creationId xmlns:a16="http://schemas.microsoft.com/office/drawing/2014/main" id="{00000000-0008-0000-0100-00005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22" name="Drop Down 2" hidden="1">
          <a:extLst>
            <a:ext uri="{FF2B5EF4-FFF2-40B4-BE49-F238E27FC236}">
              <a16:creationId xmlns:a16="http://schemas.microsoft.com/office/drawing/2014/main" id="{00000000-0008-0000-0100-00005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23" name="Drop Down 1" hidden="1">
          <a:extLst>
            <a:ext uri="{FF2B5EF4-FFF2-40B4-BE49-F238E27FC236}">
              <a16:creationId xmlns:a16="http://schemas.microsoft.com/office/drawing/2014/main" id="{00000000-0008-0000-0100-00005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24" name="Drop Down -1022" hidden="1">
          <a:extLst>
            <a:ext uri="{FF2B5EF4-FFF2-40B4-BE49-F238E27FC236}">
              <a16:creationId xmlns:a16="http://schemas.microsoft.com/office/drawing/2014/main" id="{00000000-0008-0000-0100-00006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25" name="Drop Down 1" hidden="1">
          <a:extLst>
            <a:ext uri="{FF2B5EF4-FFF2-40B4-BE49-F238E27FC236}">
              <a16:creationId xmlns:a16="http://schemas.microsoft.com/office/drawing/2014/main" id="{00000000-0008-0000-0100-00006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26" name="Drop Down 1" hidden="1">
          <a:extLst>
            <a:ext uri="{FF2B5EF4-FFF2-40B4-BE49-F238E27FC236}">
              <a16:creationId xmlns:a16="http://schemas.microsoft.com/office/drawing/2014/main" id="{00000000-0008-0000-0100-00006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27" name="Drop Down 1" hidden="1">
          <a:extLst>
            <a:ext uri="{FF2B5EF4-FFF2-40B4-BE49-F238E27FC236}">
              <a16:creationId xmlns:a16="http://schemas.microsoft.com/office/drawing/2014/main" id="{00000000-0008-0000-0100-00006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28" name="Drop Down 1" hidden="1">
          <a:extLst>
            <a:ext uri="{FF2B5EF4-FFF2-40B4-BE49-F238E27FC236}">
              <a16:creationId xmlns:a16="http://schemas.microsoft.com/office/drawing/2014/main" id="{00000000-0008-0000-0100-00006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29" name="Drop Down 2" hidden="1">
          <a:extLst>
            <a:ext uri="{FF2B5EF4-FFF2-40B4-BE49-F238E27FC236}">
              <a16:creationId xmlns:a16="http://schemas.microsoft.com/office/drawing/2014/main" id="{00000000-0008-0000-0100-00006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30" name="Drop Down 1" hidden="1">
          <a:extLst>
            <a:ext uri="{FF2B5EF4-FFF2-40B4-BE49-F238E27FC236}">
              <a16:creationId xmlns:a16="http://schemas.microsoft.com/office/drawing/2014/main" id="{00000000-0008-0000-0100-00006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31" name="Drop Down -1022" hidden="1">
          <a:extLst>
            <a:ext uri="{FF2B5EF4-FFF2-40B4-BE49-F238E27FC236}">
              <a16:creationId xmlns:a16="http://schemas.microsoft.com/office/drawing/2014/main" id="{00000000-0008-0000-0100-00006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32" name="Drop Down 1" hidden="1">
          <a:extLst>
            <a:ext uri="{FF2B5EF4-FFF2-40B4-BE49-F238E27FC236}">
              <a16:creationId xmlns:a16="http://schemas.microsoft.com/office/drawing/2014/main" id="{00000000-0008-0000-0100-000068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33" name="Drop Down 1" hidden="1">
          <a:extLst>
            <a:ext uri="{FF2B5EF4-FFF2-40B4-BE49-F238E27FC236}">
              <a16:creationId xmlns:a16="http://schemas.microsoft.com/office/drawing/2014/main" id="{00000000-0008-0000-0100-000069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34" name="Drop Down 1" hidden="1">
          <a:extLst>
            <a:ext uri="{FF2B5EF4-FFF2-40B4-BE49-F238E27FC236}">
              <a16:creationId xmlns:a16="http://schemas.microsoft.com/office/drawing/2014/main" id="{00000000-0008-0000-0100-00006A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35" name="Drop Down 1" hidden="1">
          <a:extLst>
            <a:ext uri="{FF2B5EF4-FFF2-40B4-BE49-F238E27FC236}">
              <a16:creationId xmlns:a16="http://schemas.microsoft.com/office/drawing/2014/main" id="{00000000-0008-0000-0100-00006B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36" name="Drop Down 2" hidden="1">
          <a:extLst>
            <a:ext uri="{FF2B5EF4-FFF2-40B4-BE49-F238E27FC236}">
              <a16:creationId xmlns:a16="http://schemas.microsoft.com/office/drawing/2014/main" id="{00000000-0008-0000-0100-00006C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37" name="Drop Down 1" hidden="1">
          <a:extLst>
            <a:ext uri="{FF2B5EF4-FFF2-40B4-BE49-F238E27FC236}">
              <a16:creationId xmlns:a16="http://schemas.microsoft.com/office/drawing/2014/main" id="{00000000-0008-0000-0100-00006D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38" name="Drop Down -1022" hidden="1">
          <a:extLst>
            <a:ext uri="{FF2B5EF4-FFF2-40B4-BE49-F238E27FC236}">
              <a16:creationId xmlns:a16="http://schemas.microsoft.com/office/drawing/2014/main" id="{00000000-0008-0000-0100-00006E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39" name="Drop Down 1" hidden="1">
          <a:extLst>
            <a:ext uri="{FF2B5EF4-FFF2-40B4-BE49-F238E27FC236}">
              <a16:creationId xmlns:a16="http://schemas.microsoft.com/office/drawing/2014/main" id="{00000000-0008-0000-0100-00006F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40" name="Drop Down 1" hidden="1">
          <a:extLst>
            <a:ext uri="{FF2B5EF4-FFF2-40B4-BE49-F238E27FC236}">
              <a16:creationId xmlns:a16="http://schemas.microsoft.com/office/drawing/2014/main" id="{00000000-0008-0000-0100-000070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41" name="Drop Down 1" hidden="1">
          <a:extLst>
            <a:ext uri="{FF2B5EF4-FFF2-40B4-BE49-F238E27FC236}">
              <a16:creationId xmlns:a16="http://schemas.microsoft.com/office/drawing/2014/main" id="{00000000-0008-0000-0100-000071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42" name="Drop Down 1" hidden="1">
          <a:extLst>
            <a:ext uri="{FF2B5EF4-FFF2-40B4-BE49-F238E27FC236}">
              <a16:creationId xmlns:a16="http://schemas.microsoft.com/office/drawing/2014/main" id="{00000000-0008-0000-0100-000072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43" name="Drop Down 2" hidden="1">
          <a:extLst>
            <a:ext uri="{FF2B5EF4-FFF2-40B4-BE49-F238E27FC236}">
              <a16:creationId xmlns:a16="http://schemas.microsoft.com/office/drawing/2014/main" id="{00000000-0008-0000-0100-000073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44" name="Drop Down 1" hidden="1">
          <a:extLst>
            <a:ext uri="{FF2B5EF4-FFF2-40B4-BE49-F238E27FC236}">
              <a16:creationId xmlns:a16="http://schemas.microsoft.com/office/drawing/2014/main" id="{00000000-0008-0000-0100-000074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45" name="Drop Down -1022" hidden="1">
          <a:extLst>
            <a:ext uri="{FF2B5EF4-FFF2-40B4-BE49-F238E27FC236}">
              <a16:creationId xmlns:a16="http://schemas.microsoft.com/office/drawing/2014/main" id="{00000000-0008-0000-0100-000075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46" name="Drop Down 1" hidden="1">
          <a:extLst>
            <a:ext uri="{FF2B5EF4-FFF2-40B4-BE49-F238E27FC236}">
              <a16:creationId xmlns:a16="http://schemas.microsoft.com/office/drawing/2014/main" id="{00000000-0008-0000-0100-000076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47" name="Drop Down 1" hidden="1">
          <a:extLst>
            <a:ext uri="{FF2B5EF4-FFF2-40B4-BE49-F238E27FC236}">
              <a16:creationId xmlns:a16="http://schemas.microsoft.com/office/drawing/2014/main" id="{00000000-0008-0000-0100-000077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48" name="Drop Down 1" hidden="1">
          <a:extLst>
            <a:ext uri="{FF2B5EF4-FFF2-40B4-BE49-F238E27FC236}">
              <a16:creationId xmlns:a16="http://schemas.microsoft.com/office/drawing/2014/main" id="{00000000-0008-0000-0100-000078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49" name="Drop Down 1" hidden="1">
          <a:extLst>
            <a:ext uri="{FF2B5EF4-FFF2-40B4-BE49-F238E27FC236}">
              <a16:creationId xmlns:a16="http://schemas.microsoft.com/office/drawing/2014/main" id="{00000000-0008-0000-0100-000079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50" name="Drop Down 2" hidden="1">
          <a:extLst>
            <a:ext uri="{FF2B5EF4-FFF2-40B4-BE49-F238E27FC236}">
              <a16:creationId xmlns:a16="http://schemas.microsoft.com/office/drawing/2014/main" id="{00000000-0008-0000-0100-00007A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51" name="Drop Down 1" hidden="1">
          <a:extLst>
            <a:ext uri="{FF2B5EF4-FFF2-40B4-BE49-F238E27FC236}">
              <a16:creationId xmlns:a16="http://schemas.microsoft.com/office/drawing/2014/main" id="{00000000-0008-0000-0100-00007B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52" name="Drop Down -1022" hidden="1">
          <a:extLst>
            <a:ext uri="{FF2B5EF4-FFF2-40B4-BE49-F238E27FC236}">
              <a16:creationId xmlns:a16="http://schemas.microsoft.com/office/drawing/2014/main" id="{00000000-0008-0000-0100-00007C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53" name="Drop Down 1" hidden="1">
          <a:extLst>
            <a:ext uri="{FF2B5EF4-FFF2-40B4-BE49-F238E27FC236}">
              <a16:creationId xmlns:a16="http://schemas.microsoft.com/office/drawing/2014/main" id="{00000000-0008-0000-0100-00007D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54" name="Drop Down 1" hidden="1">
          <a:extLst>
            <a:ext uri="{FF2B5EF4-FFF2-40B4-BE49-F238E27FC236}">
              <a16:creationId xmlns:a16="http://schemas.microsoft.com/office/drawing/2014/main" id="{00000000-0008-0000-0100-00007E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55" name="Drop Down 1" hidden="1">
          <a:extLst>
            <a:ext uri="{FF2B5EF4-FFF2-40B4-BE49-F238E27FC236}">
              <a16:creationId xmlns:a16="http://schemas.microsoft.com/office/drawing/2014/main" id="{00000000-0008-0000-0100-00007F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56" name="Drop Down 1" hidden="1">
          <a:extLst>
            <a:ext uri="{FF2B5EF4-FFF2-40B4-BE49-F238E27FC236}">
              <a16:creationId xmlns:a16="http://schemas.microsoft.com/office/drawing/2014/main" id="{00000000-0008-0000-0100-000080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57" name="Drop Down 2" hidden="1">
          <a:extLst>
            <a:ext uri="{FF2B5EF4-FFF2-40B4-BE49-F238E27FC236}">
              <a16:creationId xmlns:a16="http://schemas.microsoft.com/office/drawing/2014/main" id="{00000000-0008-0000-0100-000081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58" name="Drop Down 1" hidden="1">
          <a:extLst>
            <a:ext uri="{FF2B5EF4-FFF2-40B4-BE49-F238E27FC236}">
              <a16:creationId xmlns:a16="http://schemas.microsoft.com/office/drawing/2014/main" id="{00000000-0008-0000-0100-000082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59" name="Drop Down -1022" hidden="1">
          <a:extLst>
            <a:ext uri="{FF2B5EF4-FFF2-40B4-BE49-F238E27FC236}">
              <a16:creationId xmlns:a16="http://schemas.microsoft.com/office/drawing/2014/main" id="{00000000-0008-0000-0100-000083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460" name="Drop Down 1" hidden="1">
          <a:extLst>
            <a:ext uri="{FF2B5EF4-FFF2-40B4-BE49-F238E27FC236}">
              <a16:creationId xmlns:a16="http://schemas.microsoft.com/office/drawing/2014/main" id="{00000000-0008-0000-0100-000084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461" name="Drop Down 1" hidden="1">
          <a:extLst>
            <a:ext uri="{FF2B5EF4-FFF2-40B4-BE49-F238E27FC236}">
              <a16:creationId xmlns:a16="http://schemas.microsoft.com/office/drawing/2014/main" id="{00000000-0008-0000-0100-000085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462" name="Drop Down 1" hidden="1">
          <a:extLst>
            <a:ext uri="{FF2B5EF4-FFF2-40B4-BE49-F238E27FC236}">
              <a16:creationId xmlns:a16="http://schemas.microsoft.com/office/drawing/2014/main" id="{00000000-0008-0000-0100-000086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463" name="Drop Down 1" hidden="1">
          <a:extLst>
            <a:ext uri="{FF2B5EF4-FFF2-40B4-BE49-F238E27FC236}">
              <a16:creationId xmlns:a16="http://schemas.microsoft.com/office/drawing/2014/main" id="{00000000-0008-0000-0100-000087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464" name="Drop Down 2" hidden="1">
          <a:extLst>
            <a:ext uri="{FF2B5EF4-FFF2-40B4-BE49-F238E27FC236}">
              <a16:creationId xmlns:a16="http://schemas.microsoft.com/office/drawing/2014/main" id="{00000000-0008-0000-0100-000088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465" name="Drop Down 1" hidden="1">
          <a:extLst>
            <a:ext uri="{FF2B5EF4-FFF2-40B4-BE49-F238E27FC236}">
              <a16:creationId xmlns:a16="http://schemas.microsoft.com/office/drawing/2014/main" id="{00000000-0008-0000-0100-000089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3466" name="Drop Down -1022" hidden="1">
          <a:extLst>
            <a:ext uri="{FF2B5EF4-FFF2-40B4-BE49-F238E27FC236}">
              <a16:creationId xmlns:a16="http://schemas.microsoft.com/office/drawing/2014/main" id="{00000000-0008-0000-0100-00008A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467" name="Drop Down 1" hidden="1">
          <a:extLst>
            <a:ext uri="{FF2B5EF4-FFF2-40B4-BE49-F238E27FC236}">
              <a16:creationId xmlns:a16="http://schemas.microsoft.com/office/drawing/2014/main" id="{00000000-0008-0000-0100-00008B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468" name="Drop Down 1" hidden="1">
          <a:extLst>
            <a:ext uri="{FF2B5EF4-FFF2-40B4-BE49-F238E27FC236}">
              <a16:creationId xmlns:a16="http://schemas.microsoft.com/office/drawing/2014/main" id="{00000000-0008-0000-0100-00008C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469" name="Drop Down 1" hidden="1">
          <a:extLst>
            <a:ext uri="{FF2B5EF4-FFF2-40B4-BE49-F238E27FC236}">
              <a16:creationId xmlns:a16="http://schemas.microsoft.com/office/drawing/2014/main" id="{00000000-0008-0000-0100-00008D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470" name="Drop Down 1" hidden="1">
          <a:extLst>
            <a:ext uri="{FF2B5EF4-FFF2-40B4-BE49-F238E27FC236}">
              <a16:creationId xmlns:a16="http://schemas.microsoft.com/office/drawing/2014/main" id="{00000000-0008-0000-0100-00008E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471" name="Drop Down 2" hidden="1">
          <a:extLst>
            <a:ext uri="{FF2B5EF4-FFF2-40B4-BE49-F238E27FC236}">
              <a16:creationId xmlns:a16="http://schemas.microsoft.com/office/drawing/2014/main" id="{00000000-0008-0000-0100-00008F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472" name="Drop Down 1" hidden="1">
          <a:extLst>
            <a:ext uri="{FF2B5EF4-FFF2-40B4-BE49-F238E27FC236}">
              <a16:creationId xmlns:a16="http://schemas.microsoft.com/office/drawing/2014/main" id="{00000000-0008-0000-0100-000090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3473" name="Drop Down -1022" hidden="1">
          <a:extLst>
            <a:ext uri="{FF2B5EF4-FFF2-40B4-BE49-F238E27FC236}">
              <a16:creationId xmlns:a16="http://schemas.microsoft.com/office/drawing/2014/main" id="{00000000-0008-0000-0100-000091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74" name="Drop Down 1" hidden="1">
          <a:extLst>
            <a:ext uri="{FF2B5EF4-FFF2-40B4-BE49-F238E27FC236}">
              <a16:creationId xmlns:a16="http://schemas.microsoft.com/office/drawing/2014/main" id="{00000000-0008-0000-0100-000092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75" name="Drop Down 1" hidden="1">
          <a:extLst>
            <a:ext uri="{FF2B5EF4-FFF2-40B4-BE49-F238E27FC236}">
              <a16:creationId xmlns:a16="http://schemas.microsoft.com/office/drawing/2014/main" id="{00000000-0008-0000-0100-000093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76" name="Drop Down 1" hidden="1">
          <a:extLst>
            <a:ext uri="{FF2B5EF4-FFF2-40B4-BE49-F238E27FC236}">
              <a16:creationId xmlns:a16="http://schemas.microsoft.com/office/drawing/2014/main" id="{00000000-0008-0000-0100-000094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77" name="Drop Down 1" hidden="1">
          <a:extLst>
            <a:ext uri="{FF2B5EF4-FFF2-40B4-BE49-F238E27FC236}">
              <a16:creationId xmlns:a16="http://schemas.microsoft.com/office/drawing/2014/main" id="{00000000-0008-0000-0100-000095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78" name="Drop Down 2" hidden="1">
          <a:extLst>
            <a:ext uri="{FF2B5EF4-FFF2-40B4-BE49-F238E27FC236}">
              <a16:creationId xmlns:a16="http://schemas.microsoft.com/office/drawing/2014/main" id="{00000000-0008-0000-0100-000096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79" name="Drop Down 1" hidden="1">
          <a:extLst>
            <a:ext uri="{FF2B5EF4-FFF2-40B4-BE49-F238E27FC236}">
              <a16:creationId xmlns:a16="http://schemas.microsoft.com/office/drawing/2014/main" id="{00000000-0008-0000-0100-000097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480" name="Drop Down -1022" hidden="1">
          <a:extLst>
            <a:ext uri="{FF2B5EF4-FFF2-40B4-BE49-F238E27FC236}">
              <a16:creationId xmlns:a16="http://schemas.microsoft.com/office/drawing/2014/main" id="{00000000-0008-0000-0100-000098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81" name="Drop Down 1" hidden="1">
          <a:extLst>
            <a:ext uri="{FF2B5EF4-FFF2-40B4-BE49-F238E27FC236}">
              <a16:creationId xmlns:a16="http://schemas.microsoft.com/office/drawing/2014/main" id="{00000000-0008-0000-0100-000099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82" name="Drop Down 1" hidden="1">
          <a:extLst>
            <a:ext uri="{FF2B5EF4-FFF2-40B4-BE49-F238E27FC236}">
              <a16:creationId xmlns:a16="http://schemas.microsoft.com/office/drawing/2014/main" id="{00000000-0008-0000-0100-00009A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83" name="Drop Down 1" hidden="1">
          <a:extLst>
            <a:ext uri="{FF2B5EF4-FFF2-40B4-BE49-F238E27FC236}">
              <a16:creationId xmlns:a16="http://schemas.microsoft.com/office/drawing/2014/main" id="{00000000-0008-0000-0100-00009B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84" name="Drop Down 1" hidden="1">
          <a:extLst>
            <a:ext uri="{FF2B5EF4-FFF2-40B4-BE49-F238E27FC236}">
              <a16:creationId xmlns:a16="http://schemas.microsoft.com/office/drawing/2014/main" id="{00000000-0008-0000-0100-00009C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85" name="Drop Down 2" hidden="1">
          <a:extLst>
            <a:ext uri="{FF2B5EF4-FFF2-40B4-BE49-F238E27FC236}">
              <a16:creationId xmlns:a16="http://schemas.microsoft.com/office/drawing/2014/main" id="{00000000-0008-0000-0100-00009D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86" name="Drop Down 1" hidden="1">
          <a:extLst>
            <a:ext uri="{FF2B5EF4-FFF2-40B4-BE49-F238E27FC236}">
              <a16:creationId xmlns:a16="http://schemas.microsoft.com/office/drawing/2014/main" id="{00000000-0008-0000-0100-00009E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487" name="Drop Down -1022" hidden="1">
          <a:extLst>
            <a:ext uri="{FF2B5EF4-FFF2-40B4-BE49-F238E27FC236}">
              <a16:creationId xmlns:a16="http://schemas.microsoft.com/office/drawing/2014/main" id="{00000000-0008-0000-0100-00009F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88" name="Drop Down 1" hidden="1">
          <a:extLst>
            <a:ext uri="{FF2B5EF4-FFF2-40B4-BE49-F238E27FC236}">
              <a16:creationId xmlns:a16="http://schemas.microsoft.com/office/drawing/2014/main" id="{00000000-0008-0000-0100-0000A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89" name="Drop Down 1" hidden="1">
          <a:extLst>
            <a:ext uri="{FF2B5EF4-FFF2-40B4-BE49-F238E27FC236}">
              <a16:creationId xmlns:a16="http://schemas.microsoft.com/office/drawing/2014/main" id="{00000000-0008-0000-0100-0000A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90" name="Drop Down 1" hidden="1">
          <a:extLst>
            <a:ext uri="{FF2B5EF4-FFF2-40B4-BE49-F238E27FC236}">
              <a16:creationId xmlns:a16="http://schemas.microsoft.com/office/drawing/2014/main" id="{00000000-0008-0000-0100-0000A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91" name="Drop Down 1" hidden="1">
          <a:extLst>
            <a:ext uri="{FF2B5EF4-FFF2-40B4-BE49-F238E27FC236}">
              <a16:creationId xmlns:a16="http://schemas.microsoft.com/office/drawing/2014/main" id="{00000000-0008-0000-0100-0000A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92" name="Drop Down 2" hidden="1">
          <a:extLst>
            <a:ext uri="{FF2B5EF4-FFF2-40B4-BE49-F238E27FC236}">
              <a16:creationId xmlns:a16="http://schemas.microsoft.com/office/drawing/2014/main" id="{00000000-0008-0000-0100-0000A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93" name="Drop Down 1" hidden="1">
          <a:extLst>
            <a:ext uri="{FF2B5EF4-FFF2-40B4-BE49-F238E27FC236}">
              <a16:creationId xmlns:a16="http://schemas.microsoft.com/office/drawing/2014/main" id="{00000000-0008-0000-0100-0000A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494" name="Drop Down -1022" hidden="1">
          <a:extLst>
            <a:ext uri="{FF2B5EF4-FFF2-40B4-BE49-F238E27FC236}">
              <a16:creationId xmlns:a16="http://schemas.microsoft.com/office/drawing/2014/main" id="{00000000-0008-0000-0100-0000A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95" name="Drop Down 1" hidden="1">
          <a:extLst>
            <a:ext uri="{FF2B5EF4-FFF2-40B4-BE49-F238E27FC236}">
              <a16:creationId xmlns:a16="http://schemas.microsoft.com/office/drawing/2014/main" id="{00000000-0008-0000-0100-0000A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96" name="Drop Down 1" hidden="1">
          <a:extLst>
            <a:ext uri="{FF2B5EF4-FFF2-40B4-BE49-F238E27FC236}">
              <a16:creationId xmlns:a16="http://schemas.microsoft.com/office/drawing/2014/main" id="{00000000-0008-0000-0100-0000A8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97" name="Drop Down 1" hidden="1">
          <a:extLst>
            <a:ext uri="{FF2B5EF4-FFF2-40B4-BE49-F238E27FC236}">
              <a16:creationId xmlns:a16="http://schemas.microsoft.com/office/drawing/2014/main" id="{00000000-0008-0000-0100-0000A9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98" name="Drop Down 1" hidden="1">
          <a:extLst>
            <a:ext uri="{FF2B5EF4-FFF2-40B4-BE49-F238E27FC236}">
              <a16:creationId xmlns:a16="http://schemas.microsoft.com/office/drawing/2014/main" id="{00000000-0008-0000-0100-0000AA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499" name="Drop Down 2" hidden="1">
          <a:extLst>
            <a:ext uri="{FF2B5EF4-FFF2-40B4-BE49-F238E27FC236}">
              <a16:creationId xmlns:a16="http://schemas.microsoft.com/office/drawing/2014/main" id="{00000000-0008-0000-0100-0000AB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00" name="Drop Down 1" hidden="1">
          <a:extLst>
            <a:ext uri="{FF2B5EF4-FFF2-40B4-BE49-F238E27FC236}">
              <a16:creationId xmlns:a16="http://schemas.microsoft.com/office/drawing/2014/main" id="{00000000-0008-0000-0100-0000A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01" name="Drop Down -1022" hidden="1">
          <a:extLst>
            <a:ext uri="{FF2B5EF4-FFF2-40B4-BE49-F238E27FC236}">
              <a16:creationId xmlns:a16="http://schemas.microsoft.com/office/drawing/2014/main" id="{00000000-0008-0000-0100-0000A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02" name="Drop Down 1" hidden="1">
          <a:extLst>
            <a:ext uri="{FF2B5EF4-FFF2-40B4-BE49-F238E27FC236}">
              <a16:creationId xmlns:a16="http://schemas.microsoft.com/office/drawing/2014/main" id="{00000000-0008-0000-0100-0000A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03" name="Drop Down 1" hidden="1">
          <a:extLst>
            <a:ext uri="{FF2B5EF4-FFF2-40B4-BE49-F238E27FC236}">
              <a16:creationId xmlns:a16="http://schemas.microsoft.com/office/drawing/2014/main" id="{00000000-0008-0000-0100-0000A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04" name="Drop Down 1" hidden="1">
          <a:extLst>
            <a:ext uri="{FF2B5EF4-FFF2-40B4-BE49-F238E27FC236}">
              <a16:creationId xmlns:a16="http://schemas.microsoft.com/office/drawing/2014/main" id="{00000000-0008-0000-0100-0000B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05" name="Drop Down 1" hidden="1">
          <a:extLst>
            <a:ext uri="{FF2B5EF4-FFF2-40B4-BE49-F238E27FC236}">
              <a16:creationId xmlns:a16="http://schemas.microsoft.com/office/drawing/2014/main" id="{00000000-0008-0000-0100-0000B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06" name="Drop Down 2" hidden="1">
          <a:extLst>
            <a:ext uri="{FF2B5EF4-FFF2-40B4-BE49-F238E27FC236}">
              <a16:creationId xmlns:a16="http://schemas.microsoft.com/office/drawing/2014/main" id="{00000000-0008-0000-0100-0000B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07" name="Drop Down 1" hidden="1">
          <a:extLst>
            <a:ext uri="{FF2B5EF4-FFF2-40B4-BE49-F238E27FC236}">
              <a16:creationId xmlns:a16="http://schemas.microsoft.com/office/drawing/2014/main" id="{00000000-0008-0000-0100-0000B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08" name="Drop Down -1022" hidden="1">
          <a:extLst>
            <a:ext uri="{FF2B5EF4-FFF2-40B4-BE49-F238E27FC236}">
              <a16:creationId xmlns:a16="http://schemas.microsoft.com/office/drawing/2014/main" id="{00000000-0008-0000-0100-0000B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09" name="Drop Down 1" hidden="1">
          <a:extLst>
            <a:ext uri="{FF2B5EF4-FFF2-40B4-BE49-F238E27FC236}">
              <a16:creationId xmlns:a16="http://schemas.microsoft.com/office/drawing/2014/main" id="{00000000-0008-0000-0100-0000B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10" name="Drop Down 1" hidden="1">
          <a:extLst>
            <a:ext uri="{FF2B5EF4-FFF2-40B4-BE49-F238E27FC236}">
              <a16:creationId xmlns:a16="http://schemas.microsoft.com/office/drawing/2014/main" id="{00000000-0008-0000-0100-0000B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11" name="Drop Down 1" hidden="1">
          <a:extLst>
            <a:ext uri="{FF2B5EF4-FFF2-40B4-BE49-F238E27FC236}">
              <a16:creationId xmlns:a16="http://schemas.microsoft.com/office/drawing/2014/main" id="{00000000-0008-0000-0100-0000B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12" name="Drop Down 1" hidden="1">
          <a:extLst>
            <a:ext uri="{FF2B5EF4-FFF2-40B4-BE49-F238E27FC236}">
              <a16:creationId xmlns:a16="http://schemas.microsoft.com/office/drawing/2014/main" id="{00000000-0008-0000-0100-0000B8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13" name="Drop Down 2" hidden="1">
          <a:extLst>
            <a:ext uri="{FF2B5EF4-FFF2-40B4-BE49-F238E27FC236}">
              <a16:creationId xmlns:a16="http://schemas.microsoft.com/office/drawing/2014/main" id="{00000000-0008-0000-0100-0000B9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14" name="Drop Down 1" hidden="1">
          <a:extLst>
            <a:ext uri="{FF2B5EF4-FFF2-40B4-BE49-F238E27FC236}">
              <a16:creationId xmlns:a16="http://schemas.microsoft.com/office/drawing/2014/main" id="{00000000-0008-0000-0100-0000BA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15" name="Drop Down -1022" hidden="1">
          <a:extLst>
            <a:ext uri="{FF2B5EF4-FFF2-40B4-BE49-F238E27FC236}">
              <a16:creationId xmlns:a16="http://schemas.microsoft.com/office/drawing/2014/main" id="{00000000-0008-0000-0100-0000BB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16" name="Drop Down 1" hidden="1">
          <a:extLst>
            <a:ext uri="{FF2B5EF4-FFF2-40B4-BE49-F238E27FC236}">
              <a16:creationId xmlns:a16="http://schemas.microsoft.com/office/drawing/2014/main" id="{00000000-0008-0000-0100-0000B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17" name="Drop Down 1" hidden="1">
          <a:extLst>
            <a:ext uri="{FF2B5EF4-FFF2-40B4-BE49-F238E27FC236}">
              <a16:creationId xmlns:a16="http://schemas.microsoft.com/office/drawing/2014/main" id="{00000000-0008-0000-0100-0000B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18" name="Drop Down 1" hidden="1">
          <a:extLst>
            <a:ext uri="{FF2B5EF4-FFF2-40B4-BE49-F238E27FC236}">
              <a16:creationId xmlns:a16="http://schemas.microsoft.com/office/drawing/2014/main" id="{00000000-0008-0000-0100-0000B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19" name="Drop Down 1" hidden="1">
          <a:extLst>
            <a:ext uri="{FF2B5EF4-FFF2-40B4-BE49-F238E27FC236}">
              <a16:creationId xmlns:a16="http://schemas.microsoft.com/office/drawing/2014/main" id="{00000000-0008-0000-0100-0000B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20" name="Drop Down 2" hidden="1">
          <a:extLst>
            <a:ext uri="{FF2B5EF4-FFF2-40B4-BE49-F238E27FC236}">
              <a16:creationId xmlns:a16="http://schemas.microsoft.com/office/drawing/2014/main" id="{00000000-0008-0000-0100-0000C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21" name="Drop Down 1" hidden="1">
          <a:extLst>
            <a:ext uri="{FF2B5EF4-FFF2-40B4-BE49-F238E27FC236}">
              <a16:creationId xmlns:a16="http://schemas.microsoft.com/office/drawing/2014/main" id="{00000000-0008-0000-0100-0000C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22" name="Drop Down -1022" hidden="1">
          <a:extLst>
            <a:ext uri="{FF2B5EF4-FFF2-40B4-BE49-F238E27FC236}">
              <a16:creationId xmlns:a16="http://schemas.microsoft.com/office/drawing/2014/main" id="{00000000-0008-0000-0100-0000C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23" name="Drop Down 1" hidden="1">
          <a:extLst>
            <a:ext uri="{FF2B5EF4-FFF2-40B4-BE49-F238E27FC236}">
              <a16:creationId xmlns:a16="http://schemas.microsoft.com/office/drawing/2014/main" id="{00000000-0008-0000-0100-0000C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24" name="Drop Down 1" hidden="1">
          <a:extLst>
            <a:ext uri="{FF2B5EF4-FFF2-40B4-BE49-F238E27FC236}">
              <a16:creationId xmlns:a16="http://schemas.microsoft.com/office/drawing/2014/main" id="{00000000-0008-0000-0100-0000C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25" name="Drop Down 1" hidden="1">
          <a:extLst>
            <a:ext uri="{FF2B5EF4-FFF2-40B4-BE49-F238E27FC236}">
              <a16:creationId xmlns:a16="http://schemas.microsoft.com/office/drawing/2014/main" id="{00000000-0008-0000-0100-0000C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26" name="Drop Down 1" hidden="1">
          <a:extLst>
            <a:ext uri="{FF2B5EF4-FFF2-40B4-BE49-F238E27FC236}">
              <a16:creationId xmlns:a16="http://schemas.microsoft.com/office/drawing/2014/main" id="{00000000-0008-0000-0100-0000C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27" name="Drop Down 2" hidden="1">
          <a:extLst>
            <a:ext uri="{FF2B5EF4-FFF2-40B4-BE49-F238E27FC236}">
              <a16:creationId xmlns:a16="http://schemas.microsoft.com/office/drawing/2014/main" id="{00000000-0008-0000-0100-0000C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28" name="Drop Down 1" hidden="1">
          <a:extLst>
            <a:ext uri="{FF2B5EF4-FFF2-40B4-BE49-F238E27FC236}">
              <a16:creationId xmlns:a16="http://schemas.microsoft.com/office/drawing/2014/main" id="{00000000-0008-0000-0100-0000C8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29" name="Drop Down -1022" hidden="1">
          <a:extLst>
            <a:ext uri="{FF2B5EF4-FFF2-40B4-BE49-F238E27FC236}">
              <a16:creationId xmlns:a16="http://schemas.microsoft.com/office/drawing/2014/main" id="{00000000-0008-0000-0100-0000C9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30" name="Drop Down 1" hidden="1">
          <a:extLst>
            <a:ext uri="{FF2B5EF4-FFF2-40B4-BE49-F238E27FC236}">
              <a16:creationId xmlns:a16="http://schemas.microsoft.com/office/drawing/2014/main" id="{00000000-0008-0000-0100-0000CA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31" name="Drop Down 1" hidden="1">
          <a:extLst>
            <a:ext uri="{FF2B5EF4-FFF2-40B4-BE49-F238E27FC236}">
              <a16:creationId xmlns:a16="http://schemas.microsoft.com/office/drawing/2014/main" id="{00000000-0008-0000-0100-0000CB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32" name="Drop Down 1" hidden="1">
          <a:extLst>
            <a:ext uri="{FF2B5EF4-FFF2-40B4-BE49-F238E27FC236}">
              <a16:creationId xmlns:a16="http://schemas.microsoft.com/office/drawing/2014/main" id="{00000000-0008-0000-0100-0000C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33" name="Drop Down 1" hidden="1">
          <a:extLst>
            <a:ext uri="{FF2B5EF4-FFF2-40B4-BE49-F238E27FC236}">
              <a16:creationId xmlns:a16="http://schemas.microsoft.com/office/drawing/2014/main" id="{00000000-0008-0000-0100-0000C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34" name="Drop Down 2" hidden="1">
          <a:extLst>
            <a:ext uri="{FF2B5EF4-FFF2-40B4-BE49-F238E27FC236}">
              <a16:creationId xmlns:a16="http://schemas.microsoft.com/office/drawing/2014/main" id="{00000000-0008-0000-0100-0000C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35" name="Drop Down 1" hidden="1">
          <a:extLst>
            <a:ext uri="{FF2B5EF4-FFF2-40B4-BE49-F238E27FC236}">
              <a16:creationId xmlns:a16="http://schemas.microsoft.com/office/drawing/2014/main" id="{00000000-0008-0000-0100-0000C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36" name="Drop Down -1022" hidden="1">
          <a:extLst>
            <a:ext uri="{FF2B5EF4-FFF2-40B4-BE49-F238E27FC236}">
              <a16:creationId xmlns:a16="http://schemas.microsoft.com/office/drawing/2014/main" id="{00000000-0008-0000-0100-0000D0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37" name="Drop Down 1" hidden="1">
          <a:extLst>
            <a:ext uri="{FF2B5EF4-FFF2-40B4-BE49-F238E27FC236}">
              <a16:creationId xmlns:a16="http://schemas.microsoft.com/office/drawing/2014/main" id="{00000000-0008-0000-0100-0000D1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38" name="Drop Down 1" hidden="1">
          <a:extLst>
            <a:ext uri="{FF2B5EF4-FFF2-40B4-BE49-F238E27FC236}">
              <a16:creationId xmlns:a16="http://schemas.microsoft.com/office/drawing/2014/main" id="{00000000-0008-0000-0100-0000D2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39" name="Drop Down 1" hidden="1">
          <a:extLst>
            <a:ext uri="{FF2B5EF4-FFF2-40B4-BE49-F238E27FC236}">
              <a16:creationId xmlns:a16="http://schemas.microsoft.com/office/drawing/2014/main" id="{00000000-0008-0000-0100-0000D3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40" name="Drop Down 1" hidden="1">
          <a:extLst>
            <a:ext uri="{FF2B5EF4-FFF2-40B4-BE49-F238E27FC236}">
              <a16:creationId xmlns:a16="http://schemas.microsoft.com/office/drawing/2014/main" id="{00000000-0008-0000-0100-0000D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41" name="Drop Down 2" hidden="1">
          <a:extLst>
            <a:ext uri="{FF2B5EF4-FFF2-40B4-BE49-F238E27FC236}">
              <a16:creationId xmlns:a16="http://schemas.microsoft.com/office/drawing/2014/main" id="{00000000-0008-0000-0100-0000D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42" name="Drop Down 1" hidden="1">
          <a:extLst>
            <a:ext uri="{FF2B5EF4-FFF2-40B4-BE49-F238E27FC236}">
              <a16:creationId xmlns:a16="http://schemas.microsoft.com/office/drawing/2014/main" id="{00000000-0008-0000-0100-0000D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43" name="Drop Down -1022" hidden="1">
          <a:extLst>
            <a:ext uri="{FF2B5EF4-FFF2-40B4-BE49-F238E27FC236}">
              <a16:creationId xmlns:a16="http://schemas.microsoft.com/office/drawing/2014/main" id="{00000000-0008-0000-0100-0000D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44" name="Drop Down 1" hidden="1">
          <a:extLst>
            <a:ext uri="{FF2B5EF4-FFF2-40B4-BE49-F238E27FC236}">
              <a16:creationId xmlns:a16="http://schemas.microsoft.com/office/drawing/2014/main" id="{00000000-0008-0000-0100-0000D8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45" name="Drop Down 1" hidden="1">
          <a:extLst>
            <a:ext uri="{FF2B5EF4-FFF2-40B4-BE49-F238E27FC236}">
              <a16:creationId xmlns:a16="http://schemas.microsoft.com/office/drawing/2014/main" id="{00000000-0008-0000-0100-0000D9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46" name="Drop Down 1" hidden="1">
          <a:extLst>
            <a:ext uri="{FF2B5EF4-FFF2-40B4-BE49-F238E27FC236}">
              <a16:creationId xmlns:a16="http://schemas.microsoft.com/office/drawing/2014/main" id="{00000000-0008-0000-0100-0000DA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47" name="Drop Down 1" hidden="1">
          <a:extLst>
            <a:ext uri="{FF2B5EF4-FFF2-40B4-BE49-F238E27FC236}">
              <a16:creationId xmlns:a16="http://schemas.microsoft.com/office/drawing/2014/main" id="{00000000-0008-0000-0100-0000DB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48" name="Drop Down 2" hidden="1">
          <a:extLst>
            <a:ext uri="{FF2B5EF4-FFF2-40B4-BE49-F238E27FC236}">
              <a16:creationId xmlns:a16="http://schemas.microsoft.com/office/drawing/2014/main" id="{00000000-0008-0000-0100-0000DC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49" name="Drop Down 1" hidden="1">
          <a:extLst>
            <a:ext uri="{FF2B5EF4-FFF2-40B4-BE49-F238E27FC236}">
              <a16:creationId xmlns:a16="http://schemas.microsoft.com/office/drawing/2014/main" id="{00000000-0008-0000-0100-0000DD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50" name="Drop Down -1022" hidden="1">
          <a:extLst>
            <a:ext uri="{FF2B5EF4-FFF2-40B4-BE49-F238E27FC236}">
              <a16:creationId xmlns:a16="http://schemas.microsoft.com/office/drawing/2014/main" id="{00000000-0008-0000-0100-0000DE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51" name="Drop Down 1" hidden="1">
          <a:extLst>
            <a:ext uri="{FF2B5EF4-FFF2-40B4-BE49-F238E27FC236}">
              <a16:creationId xmlns:a16="http://schemas.microsoft.com/office/drawing/2014/main" id="{00000000-0008-0000-0100-0000DF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52" name="Drop Down 1" hidden="1">
          <a:extLst>
            <a:ext uri="{FF2B5EF4-FFF2-40B4-BE49-F238E27FC236}">
              <a16:creationId xmlns:a16="http://schemas.microsoft.com/office/drawing/2014/main" id="{00000000-0008-0000-0100-0000E0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53" name="Drop Down 1" hidden="1">
          <a:extLst>
            <a:ext uri="{FF2B5EF4-FFF2-40B4-BE49-F238E27FC236}">
              <a16:creationId xmlns:a16="http://schemas.microsoft.com/office/drawing/2014/main" id="{00000000-0008-0000-0100-0000E1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54" name="Drop Down 1" hidden="1">
          <a:extLst>
            <a:ext uri="{FF2B5EF4-FFF2-40B4-BE49-F238E27FC236}">
              <a16:creationId xmlns:a16="http://schemas.microsoft.com/office/drawing/2014/main" id="{00000000-0008-0000-0100-0000E2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55" name="Drop Down 2" hidden="1">
          <a:extLst>
            <a:ext uri="{FF2B5EF4-FFF2-40B4-BE49-F238E27FC236}">
              <a16:creationId xmlns:a16="http://schemas.microsoft.com/office/drawing/2014/main" id="{00000000-0008-0000-0100-0000E3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56" name="Drop Down 1" hidden="1">
          <a:extLst>
            <a:ext uri="{FF2B5EF4-FFF2-40B4-BE49-F238E27FC236}">
              <a16:creationId xmlns:a16="http://schemas.microsoft.com/office/drawing/2014/main" id="{00000000-0008-0000-0100-0000E4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57" name="Drop Down -1022" hidden="1">
          <a:extLst>
            <a:ext uri="{FF2B5EF4-FFF2-40B4-BE49-F238E27FC236}">
              <a16:creationId xmlns:a16="http://schemas.microsoft.com/office/drawing/2014/main" id="{00000000-0008-0000-0100-0000E5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58" name="Drop Down 1" hidden="1">
          <a:extLst>
            <a:ext uri="{FF2B5EF4-FFF2-40B4-BE49-F238E27FC236}">
              <a16:creationId xmlns:a16="http://schemas.microsoft.com/office/drawing/2014/main" id="{00000000-0008-0000-0100-0000E6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59" name="Drop Down 1" hidden="1">
          <a:extLst>
            <a:ext uri="{FF2B5EF4-FFF2-40B4-BE49-F238E27FC236}">
              <a16:creationId xmlns:a16="http://schemas.microsoft.com/office/drawing/2014/main" id="{00000000-0008-0000-0100-0000E7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60" name="Drop Down 1" hidden="1">
          <a:extLst>
            <a:ext uri="{FF2B5EF4-FFF2-40B4-BE49-F238E27FC236}">
              <a16:creationId xmlns:a16="http://schemas.microsoft.com/office/drawing/2014/main" id="{00000000-0008-0000-0100-0000E8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61" name="Drop Down 1" hidden="1">
          <a:extLst>
            <a:ext uri="{FF2B5EF4-FFF2-40B4-BE49-F238E27FC236}">
              <a16:creationId xmlns:a16="http://schemas.microsoft.com/office/drawing/2014/main" id="{00000000-0008-0000-0100-0000E9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62" name="Drop Down 2" hidden="1">
          <a:extLst>
            <a:ext uri="{FF2B5EF4-FFF2-40B4-BE49-F238E27FC236}">
              <a16:creationId xmlns:a16="http://schemas.microsoft.com/office/drawing/2014/main" id="{00000000-0008-0000-0100-0000EA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63" name="Drop Down 1" hidden="1">
          <a:extLst>
            <a:ext uri="{FF2B5EF4-FFF2-40B4-BE49-F238E27FC236}">
              <a16:creationId xmlns:a16="http://schemas.microsoft.com/office/drawing/2014/main" id="{00000000-0008-0000-0100-0000EB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564" name="Drop Down -1022" hidden="1">
          <a:extLst>
            <a:ext uri="{FF2B5EF4-FFF2-40B4-BE49-F238E27FC236}">
              <a16:creationId xmlns:a16="http://schemas.microsoft.com/office/drawing/2014/main" id="{00000000-0008-0000-0100-0000EC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65" name="Drop Down 1" hidden="1">
          <a:extLst>
            <a:ext uri="{FF2B5EF4-FFF2-40B4-BE49-F238E27FC236}">
              <a16:creationId xmlns:a16="http://schemas.microsoft.com/office/drawing/2014/main" id="{00000000-0008-0000-0100-0000ED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66" name="Drop Down 1" hidden="1">
          <a:extLst>
            <a:ext uri="{FF2B5EF4-FFF2-40B4-BE49-F238E27FC236}">
              <a16:creationId xmlns:a16="http://schemas.microsoft.com/office/drawing/2014/main" id="{00000000-0008-0000-0100-0000EE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67" name="Drop Down 1" hidden="1">
          <a:extLst>
            <a:ext uri="{FF2B5EF4-FFF2-40B4-BE49-F238E27FC236}">
              <a16:creationId xmlns:a16="http://schemas.microsoft.com/office/drawing/2014/main" id="{00000000-0008-0000-0100-0000EF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68" name="Drop Down 1" hidden="1">
          <a:extLst>
            <a:ext uri="{FF2B5EF4-FFF2-40B4-BE49-F238E27FC236}">
              <a16:creationId xmlns:a16="http://schemas.microsoft.com/office/drawing/2014/main" id="{00000000-0008-0000-0100-0000F0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69" name="Drop Down 2" hidden="1">
          <a:extLst>
            <a:ext uri="{FF2B5EF4-FFF2-40B4-BE49-F238E27FC236}">
              <a16:creationId xmlns:a16="http://schemas.microsoft.com/office/drawing/2014/main" id="{00000000-0008-0000-0100-0000F1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70" name="Drop Down 1" hidden="1">
          <a:extLst>
            <a:ext uri="{FF2B5EF4-FFF2-40B4-BE49-F238E27FC236}">
              <a16:creationId xmlns:a16="http://schemas.microsoft.com/office/drawing/2014/main" id="{00000000-0008-0000-0100-0000F2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571" name="Drop Down -1022" hidden="1">
          <a:extLst>
            <a:ext uri="{FF2B5EF4-FFF2-40B4-BE49-F238E27FC236}">
              <a16:creationId xmlns:a16="http://schemas.microsoft.com/office/drawing/2014/main" id="{00000000-0008-0000-0100-0000F30D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72" name="Drop Down 1" hidden="1">
          <a:extLst>
            <a:ext uri="{FF2B5EF4-FFF2-40B4-BE49-F238E27FC236}">
              <a16:creationId xmlns:a16="http://schemas.microsoft.com/office/drawing/2014/main" id="{00000000-0008-0000-0100-0000F4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73" name="Drop Down 1" hidden="1">
          <a:extLst>
            <a:ext uri="{FF2B5EF4-FFF2-40B4-BE49-F238E27FC236}">
              <a16:creationId xmlns:a16="http://schemas.microsoft.com/office/drawing/2014/main" id="{00000000-0008-0000-0100-0000F5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74" name="Drop Down 1" hidden="1">
          <a:extLst>
            <a:ext uri="{FF2B5EF4-FFF2-40B4-BE49-F238E27FC236}">
              <a16:creationId xmlns:a16="http://schemas.microsoft.com/office/drawing/2014/main" id="{00000000-0008-0000-0100-0000F6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75" name="Drop Down 1" hidden="1">
          <a:extLst>
            <a:ext uri="{FF2B5EF4-FFF2-40B4-BE49-F238E27FC236}">
              <a16:creationId xmlns:a16="http://schemas.microsoft.com/office/drawing/2014/main" id="{00000000-0008-0000-0100-0000F7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76" name="Drop Down 2" hidden="1">
          <a:extLst>
            <a:ext uri="{FF2B5EF4-FFF2-40B4-BE49-F238E27FC236}">
              <a16:creationId xmlns:a16="http://schemas.microsoft.com/office/drawing/2014/main" id="{00000000-0008-0000-0100-0000F8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77" name="Drop Down 1" hidden="1">
          <a:extLst>
            <a:ext uri="{FF2B5EF4-FFF2-40B4-BE49-F238E27FC236}">
              <a16:creationId xmlns:a16="http://schemas.microsoft.com/office/drawing/2014/main" id="{00000000-0008-0000-0100-0000F9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78" name="Drop Down -1022" hidden="1">
          <a:extLst>
            <a:ext uri="{FF2B5EF4-FFF2-40B4-BE49-F238E27FC236}">
              <a16:creationId xmlns:a16="http://schemas.microsoft.com/office/drawing/2014/main" id="{00000000-0008-0000-0100-0000FA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79" name="Drop Down 1" hidden="1">
          <a:extLst>
            <a:ext uri="{FF2B5EF4-FFF2-40B4-BE49-F238E27FC236}">
              <a16:creationId xmlns:a16="http://schemas.microsoft.com/office/drawing/2014/main" id="{00000000-0008-0000-0100-0000FB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80" name="Drop Down 1" hidden="1">
          <a:extLst>
            <a:ext uri="{FF2B5EF4-FFF2-40B4-BE49-F238E27FC236}">
              <a16:creationId xmlns:a16="http://schemas.microsoft.com/office/drawing/2014/main" id="{00000000-0008-0000-0100-0000FC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81" name="Drop Down 1" hidden="1">
          <a:extLst>
            <a:ext uri="{FF2B5EF4-FFF2-40B4-BE49-F238E27FC236}">
              <a16:creationId xmlns:a16="http://schemas.microsoft.com/office/drawing/2014/main" id="{00000000-0008-0000-0100-0000FD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82" name="Drop Down 1" hidden="1">
          <a:extLst>
            <a:ext uri="{FF2B5EF4-FFF2-40B4-BE49-F238E27FC236}">
              <a16:creationId xmlns:a16="http://schemas.microsoft.com/office/drawing/2014/main" id="{00000000-0008-0000-0100-0000FE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83" name="Drop Down 2" hidden="1">
          <a:extLst>
            <a:ext uri="{FF2B5EF4-FFF2-40B4-BE49-F238E27FC236}">
              <a16:creationId xmlns:a16="http://schemas.microsoft.com/office/drawing/2014/main" id="{00000000-0008-0000-0100-0000FF0D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84" name="Drop Down 1" hidden="1">
          <a:extLst>
            <a:ext uri="{FF2B5EF4-FFF2-40B4-BE49-F238E27FC236}">
              <a16:creationId xmlns:a16="http://schemas.microsoft.com/office/drawing/2014/main" id="{00000000-0008-0000-0100-00000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85" name="Drop Down -1022" hidden="1">
          <a:extLst>
            <a:ext uri="{FF2B5EF4-FFF2-40B4-BE49-F238E27FC236}">
              <a16:creationId xmlns:a16="http://schemas.microsoft.com/office/drawing/2014/main" id="{00000000-0008-0000-0100-00000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86" name="Drop Down 1" hidden="1">
          <a:extLst>
            <a:ext uri="{FF2B5EF4-FFF2-40B4-BE49-F238E27FC236}">
              <a16:creationId xmlns:a16="http://schemas.microsoft.com/office/drawing/2014/main" id="{00000000-0008-0000-0100-00000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87" name="Drop Down 1" hidden="1">
          <a:extLst>
            <a:ext uri="{FF2B5EF4-FFF2-40B4-BE49-F238E27FC236}">
              <a16:creationId xmlns:a16="http://schemas.microsoft.com/office/drawing/2014/main" id="{00000000-0008-0000-0100-00000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88" name="Drop Down 1" hidden="1">
          <a:extLst>
            <a:ext uri="{FF2B5EF4-FFF2-40B4-BE49-F238E27FC236}">
              <a16:creationId xmlns:a16="http://schemas.microsoft.com/office/drawing/2014/main" id="{00000000-0008-0000-0100-00000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89" name="Drop Down 1" hidden="1">
          <a:extLst>
            <a:ext uri="{FF2B5EF4-FFF2-40B4-BE49-F238E27FC236}">
              <a16:creationId xmlns:a16="http://schemas.microsoft.com/office/drawing/2014/main" id="{00000000-0008-0000-0100-00000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90" name="Drop Down 2" hidden="1">
          <a:extLst>
            <a:ext uri="{FF2B5EF4-FFF2-40B4-BE49-F238E27FC236}">
              <a16:creationId xmlns:a16="http://schemas.microsoft.com/office/drawing/2014/main" id="{00000000-0008-0000-0100-00000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91" name="Drop Down 1" hidden="1">
          <a:extLst>
            <a:ext uri="{FF2B5EF4-FFF2-40B4-BE49-F238E27FC236}">
              <a16:creationId xmlns:a16="http://schemas.microsoft.com/office/drawing/2014/main" id="{00000000-0008-0000-0100-00000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592" name="Drop Down -1022" hidden="1">
          <a:extLst>
            <a:ext uri="{FF2B5EF4-FFF2-40B4-BE49-F238E27FC236}">
              <a16:creationId xmlns:a16="http://schemas.microsoft.com/office/drawing/2014/main" id="{00000000-0008-0000-0100-00000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93" name="Drop Down 1" hidden="1">
          <a:extLst>
            <a:ext uri="{FF2B5EF4-FFF2-40B4-BE49-F238E27FC236}">
              <a16:creationId xmlns:a16="http://schemas.microsoft.com/office/drawing/2014/main" id="{00000000-0008-0000-0100-00000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94" name="Drop Down 1" hidden="1">
          <a:extLst>
            <a:ext uri="{FF2B5EF4-FFF2-40B4-BE49-F238E27FC236}">
              <a16:creationId xmlns:a16="http://schemas.microsoft.com/office/drawing/2014/main" id="{00000000-0008-0000-0100-00000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95" name="Drop Down 1" hidden="1">
          <a:extLst>
            <a:ext uri="{FF2B5EF4-FFF2-40B4-BE49-F238E27FC236}">
              <a16:creationId xmlns:a16="http://schemas.microsoft.com/office/drawing/2014/main" id="{00000000-0008-0000-0100-00000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96" name="Drop Down 1" hidden="1">
          <a:extLst>
            <a:ext uri="{FF2B5EF4-FFF2-40B4-BE49-F238E27FC236}">
              <a16:creationId xmlns:a16="http://schemas.microsoft.com/office/drawing/2014/main" id="{00000000-0008-0000-0100-00000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97" name="Drop Down 2" hidden="1">
          <a:extLst>
            <a:ext uri="{FF2B5EF4-FFF2-40B4-BE49-F238E27FC236}">
              <a16:creationId xmlns:a16="http://schemas.microsoft.com/office/drawing/2014/main" id="{00000000-0008-0000-0100-00000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98" name="Drop Down 1" hidden="1">
          <a:extLst>
            <a:ext uri="{FF2B5EF4-FFF2-40B4-BE49-F238E27FC236}">
              <a16:creationId xmlns:a16="http://schemas.microsoft.com/office/drawing/2014/main" id="{00000000-0008-0000-0100-00000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599" name="Drop Down -1022" hidden="1">
          <a:extLst>
            <a:ext uri="{FF2B5EF4-FFF2-40B4-BE49-F238E27FC236}">
              <a16:creationId xmlns:a16="http://schemas.microsoft.com/office/drawing/2014/main" id="{00000000-0008-0000-0100-00000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00" name="Drop Down 1" hidden="1">
          <a:extLst>
            <a:ext uri="{FF2B5EF4-FFF2-40B4-BE49-F238E27FC236}">
              <a16:creationId xmlns:a16="http://schemas.microsoft.com/office/drawing/2014/main" id="{00000000-0008-0000-0100-000010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01" name="Drop Down 1" hidden="1">
          <a:extLst>
            <a:ext uri="{FF2B5EF4-FFF2-40B4-BE49-F238E27FC236}">
              <a16:creationId xmlns:a16="http://schemas.microsoft.com/office/drawing/2014/main" id="{00000000-0008-0000-0100-000011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02" name="Drop Down 1" hidden="1">
          <a:extLst>
            <a:ext uri="{FF2B5EF4-FFF2-40B4-BE49-F238E27FC236}">
              <a16:creationId xmlns:a16="http://schemas.microsoft.com/office/drawing/2014/main" id="{00000000-0008-0000-0100-000012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03" name="Drop Down 1" hidden="1">
          <a:extLst>
            <a:ext uri="{FF2B5EF4-FFF2-40B4-BE49-F238E27FC236}">
              <a16:creationId xmlns:a16="http://schemas.microsoft.com/office/drawing/2014/main" id="{00000000-0008-0000-0100-000013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04" name="Drop Down 2" hidden="1">
          <a:extLst>
            <a:ext uri="{FF2B5EF4-FFF2-40B4-BE49-F238E27FC236}">
              <a16:creationId xmlns:a16="http://schemas.microsoft.com/office/drawing/2014/main" id="{00000000-0008-0000-0100-000014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05" name="Drop Down 1" hidden="1">
          <a:extLst>
            <a:ext uri="{FF2B5EF4-FFF2-40B4-BE49-F238E27FC236}">
              <a16:creationId xmlns:a16="http://schemas.microsoft.com/office/drawing/2014/main" id="{00000000-0008-0000-0100-000015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06" name="Drop Down -1022" hidden="1">
          <a:extLst>
            <a:ext uri="{FF2B5EF4-FFF2-40B4-BE49-F238E27FC236}">
              <a16:creationId xmlns:a16="http://schemas.microsoft.com/office/drawing/2014/main" id="{00000000-0008-0000-0100-000016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07" name="Drop Down 1" hidden="1">
          <a:extLst>
            <a:ext uri="{FF2B5EF4-FFF2-40B4-BE49-F238E27FC236}">
              <a16:creationId xmlns:a16="http://schemas.microsoft.com/office/drawing/2014/main" id="{00000000-0008-0000-0100-000017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08" name="Drop Down 1" hidden="1">
          <a:extLst>
            <a:ext uri="{FF2B5EF4-FFF2-40B4-BE49-F238E27FC236}">
              <a16:creationId xmlns:a16="http://schemas.microsoft.com/office/drawing/2014/main" id="{00000000-0008-0000-0100-000018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09" name="Drop Down 1" hidden="1">
          <a:extLst>
            <a:ext uri="{FF2B5EF4-FFF2-40B4-BE49-F238E27FC236}">
              <a16:creationId xmlns:a16="http://schemas.microsoft.com/office/drawing/2014/main" id="{00000000-0008-0000-0100-000019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10" name="Drop Down 1" hidden="1">
          <a:extLst>
            <a:ext uri="{FF2B5EF4-FFF2-40B4-BE49-F238E27FC236}">
              <a16:creationId xmlns:a16="http://schemas.microsoft.com/office/drawing/2014/main" id="{00000000-0008-0000-0100-00001A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11" name="Drop Down 2" hidden="1">
          <a:extLst>
            <a:ext uri="{FF2B5EF4-FFF2-40B4-BE49-F238E27FC236}">
              <a16:creationId xmlns:a16="http://schemas.microsoft.com/office/drawing/2014/main" id="{00000000-0008-0000-0100-00001B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12" name="Drop Down 1" hidden="1">
          <a:extLst>
            <a:ext uri="{FF2B5EF4-FFF2-40B4-BE49-F238E27FC236}">
              <a16:creationId xmlns:a16="http://schemas.microsoft.com/office/drawing/2014/main" id="{00000000-0008-0000-0100-00001C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13" name="Drop Down -1022" hidden="1">
          <a:extLst>
            <a:ext uri="{FF2B5EF4-FFF2-40B4-BE49-F238E27FC236}">
              <a16:creationId xmlns:a16="http://schemas.microsoft.com/office/drawing/2014/main" id="{00000000-0008-0000-0100-00001D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14" name="Drop Down 1" hidden="1">
          <a:extLst>
            <a:ext uri="{FF2B5EF4-FFF2-40B4-BE49-F238E27FC236}">
              <a16:creationId xmlns:a16="http://schemas.microsoft.com/office/drawing/2014/main" id="{00000000-0008-0000-0100-00001E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15" name="Drop Down 1" hidden="1">
          <a:extLst>
            <a:ext uri="{FF2B5EF4-FFF2-40B4-BE49-F238E27FC236}">
              <a16:creationId xmlns:a16="http://schemas.microsoft.com/office/drawing/2014/main" id="{00000000-0008-0000-0100-00001F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16" name="Drop Down 1" hidden="1">
          <a:extLst>
            <a:ext uri="{FF2B5EF4-FFF2-40B4-BE49-F238E27FC236}">
              <a16:creationId xmlns:a16="http://schemas.microsoft.com/office/drawing/2014/main" id="{00000000-0008-0000-0100-000020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17" name="Drop Down 1" hidden="1">
          <a:extLst>
            <a:ext uri="{FF2B5EF4-FFF2-40B4-BE49-F238E27FC236}">
              <a16:creationId xmlns:a16="http://schemas.microsoft.com/office/drawing/2014/main" id="{00000000-0008-0000-0100-000021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18" name="Drop Down 2" hidden="1">
          <a:extLst>
            <a:ext uri="{FF2B5EF4-FFF2-40B4-BE49-F238E27FC236}">
              <a16:creationId xmlns:a16="http://schemas.microsoft.com/office/drawing/2014/main" id="{00000000-0008-0000-0100-000022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19" name="Drop Down 1" hidden="1">
          <a:extLst>
            <a:ext uri="{FF2B5EF4-FFF2-40B4-BE49-F238E27FC236}">
              <a16:creationId xmlns:a16="http://schemas.microsoft.com/office/drawing/2014/main" id="{00000000-0008-0000-0100-000023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3620" name="Drop Down -1022" hidden="1">
          <a:extLst>
            <a:ext uri="{FF2B5EF4-FFF2-40B4-BE49-F238E27FC236}">
              <a16:creationId xmlns:a16="http://schemas.microsoft.com/office/drawing/2014/main" id="{00000000-0008-0000-0100-000024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21" name="Drop Down 1" hidden="1">
          <a:extLst>
            <a:ext uri="{FF2B5EF4-FFF2-40B4-BE49-F238E27FC236}">
              <a16:creationId xmlns:a16="http://schemas.microsoft.com/office/drawing/2014/main" id="{00000000-0008-0000-0100-000025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22" name="Drop Down 1" hidden="1">
          <a:extLst>
            <a:ext uri="{FF2B5EF4-FFF2-40B4-BE49-F238E27FC236}">
              <a16:creationId xmlns:a16="http://schemas.microsoft.com/office/drawing/2014/main" id="{00000000-0008-0000-0100-000026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23" name="Drop Down 1" hidden="1">
          <a:extLst>
            <a:ext uri="{FF2B5EF4-FFF2-40B4-BE49-F238E27FC236}">
              <a16:creationId xmlns:a16="http://schemas.microsoft.com/office/drawing/2014/main" id="{00000000-0008-0000-0100-000027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24" name="Drop Down 1" hidden="1">
          <a:extLst>
            <a:ext uri="{FF2B5EF4-FFF2-40B4-BE49-F238E27FC236}">
              <a16:creationId xmlns:a16="http://schemas.microsoft.com/office/drawing/2014/main" id="{00000000-0008-0000-0100-000028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25" name="Drop Down 2" hidden="1">
          <a:extLst>
            <a:ext uri="{FF2B5EF4-FFF2-40B4-BE49-F238E27FC236}">
              <a16:creationId xmlns:a16="http://schemas.microsoft.com/office/drawing/2014/main" id="{00000000-0008-0000-0100-000029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26" name="Drop Down 1" hidden="1">
          <a:extLst>
            <a:ext uri="{FF2B5EF4-FFF2-40B4-BE49-F238E27FC236}">
              <a16:creationId xmlns:a16="http://schemas.microsoft.com/office/drawing/2014/main" id="{00000000-0008-0000-0100-00002A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3627" name="Drop Down -1022" hidden="1">
          <a:extLst>
            <a:ext uri="{FF2B5EF4-FFF2-40B4-BE49-F238E27FC236}">
              <a16:creationId xmlns:a16="http://schemas.microsoft.com/office/drawing/2014/main" id="{00000000-0008-0000-0100-00002B0E0000}"/>
            </a:ext>
          </a:extLst>
        </xdr:cNvPr>
        <xdr:cNvSpPr>
          <a:spLocks noChangeArrowheads="1"/>
        </xdr:cNvSpPr>
      </xdr:nvSpPr>
      <xdr:spPr bwMode="auto">
        <a:xfrm>
          <a:off x="4009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628" name="Drop Down 1" hidden="1">
          <a:extLst>
            <a:ext uri="{FF2B5EF4-FFF2-40B4-BE49-F238E27FC236}">
              <a16:creationId xmlns:a16="http://schemas.microsoft.com/office/drawing/2014/main" id="{00000000-0008-0000-0100-00002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629" name="Drop Down 1" hidden="1">
          <a:extLst>
            <a:ext uri="{FF2B5EF4-FFF2-40B4-BE49-F238E27FC236}">
              <a16:creationId xmlns:a16="http://schemas.microsoft.com/office/drawing/2014/main" id="{00000000-0008-0000-0100-00002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630" name="Drop Down 1" hidden="1">
          <a:extLst>
            <a:ext uri="{FF2B5EF4-FFF2-40B4-BE49-F238E27FC236}">
              <a16:creationId xmlns:a16="http://schemas.microsoft.com/office/drawing/2014/main" id="{00000000-0008-0000-0100-00002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631" name="Drop Down 1" hidden="1">
          <a:extLst>
            <a:ext uri="{FF2B5EF4-FFF2-40B4-BE49-F238E27FC236}">
              <a16:creationId xmlns:a16="http://schemas.microsoft.com/office/drawing/2014/main" id="{00000000-0008-0000-0100-00002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632" name="Drop Down 2" hidden="1">
          <a:extLst>
            <a:ext uri="{FF2B5EF4-FFF2-40B4-BE49-F238E27FC236}">
              <a16:creationId xmlns:a16="http://schemas.microsoft.com/office/drawing/2014/main" id="{00000000-0008-0000-0100-00003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633" name="Drop Down 1" hidden="1">
          <a:extLst>
            <a:ext uri="{FF2B5EF4-FFF2-40B4-BE49-F238E27FC236}">
              <a16:creationId xmlns:a16="http://schemas.microsoft.com/office/drawing/2014/main" id="{00000000-0008-0000-0100-00003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634" name="Drop Down -1022" hidden="1">
          <a:extLst>
            <a:ext uri="{FF2B5EF4-FFF2-40B4-BE49-F238E27FC236}">
              <a16:creationId xmlns:a16="http://schemas.microsoft.com/office/drawing/2014/main" id="{00000000-0008-0000-0100-00003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635" name="Drop Down 1" hidden="1">
          <a:extLst>
            <a:ext uri="{FF2B5EF4-FFF2-40B4-BE49-F238E27FC236}">
              <a16:creationId xmlns:a16="http://schemas.microsoft.com/office/drawing/2014/main" id="{00000000-0008-0000-0100-00003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636" name="Drop Down 1" hidden="1">
          <a:extLst>
            <a:ext uri="{FF2B5EF4-FFF2-40B4-BE49-F238E27FC236}">
              <a16:creationId xmlns:a16="http://schemas.microsoft.com/office/drawing/2014/main" id="{00000000-0008-0000-0100-00003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637" name="Drop Down 1" hidden="1">
          <a:extLst>
            <a:ext uri="{FF2B5EF4-FFF2-40B4-BE49-F238E27FC236}">
              <a16:creationId xmlns:a16="http://schemas.microsoft.com/office/drawing/2014/main" id="{00000000-0008-0000-0100-00003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638" name="Drop Down 1" hidden="1">
          <a:extLst>
            <a:ext uri="{FF2B5EF4-FFF2-40B4-BE49-F238E27FC236}">
              <a16:creationId xmlns:a16="http://schemas.microsoft.com/office/drawing/2014/main" id="{00000000-0008-0000-0100-00003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639" name="Drop Down 2" hidden="1">
          <a:extLst>
            <a:ext uri="{FF2B5EF4-FFF2-40B4-BE49-F238E27FC236}">
              <a16:creationId xmlns:a16="http://schemas.microsoft.com/office/drawing/2014/main" id="{00000000-0008-0000-0100-00003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640" name="Drop Down 1" hidden="1">
          <a:extLst>
            <a:ext uri="{FF2B5EF4-FFF2-40B4-BE49-F238E27FC236}">
              <a16:creationId xmlns:a16="http://schemas.microsoft.com/office/drawing/2014/main" id="{00000000-0008-0000-0100-00003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641" name="Drop Down -1022" hidden="1">
          <a:extLst>
            <a:ext uri="{FF2B5EF4-FFF2-40B4-BE49-F238E27FC236}">
              <a16:creationId xmlns:a16="http://schemas.microsoft.com/office/drawing/2014/main" id="{00000000-0008-0000-0100-00003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42" name="Drop Down 1" hidden="1">
          <a:extLst>
            <a:ext uri="{FF2B5EF4-FFF2-40B4-BE49-F238E27FC236}">
              <a16:creationId xmlns:a16="http://schemas.microsoft.com/office/drawing/2014/main" id="{00000000-0008-0000-0100-00003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43" name="Drop Down 1" hidden="1">
          <a:extLst>
            <a:ext uri="{FF2B5EF4-FFF2-40B4-BE49-F238E27FC236}">
              <a16:creationId xmlns:a16="http://schemas.microsoft.com/office/drawing/2014/main" id="{00000000-0008-0000-0100-00003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44" name="Drop Down 1" hidden="1">
          <a:extLst>
            <a:ext uri="{FF2B5EF4-FFF2-40B4-BE49-F238E27FC236}">
              <a16:creationId xmlns:a16="http://schemas.microsoft.com/office/drawing/2014/main" id="{00000000-0008-0000-0100-00003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45" name="Drop Down 1" hidden="1">
          <a:extLst>
            <a:ext uri="{FF2B5EF4-FFF2-40B4-BE49-F238E27FC236}">
              <a16:creationId xmlns:a16="http://schemas.microsoft.com/office/drawing/2014/main" id="{00000000-0008-0000-0100-00003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46" name="Drop Down 2" hidden="1">
          <a:extLst>
            <a:ext uri="{FF2B5EF4-FFF2-40B4-BE49-F238E27FC236}">
              <a16:creationId xmlns:a16="http://schemas.microsoft.com/office/drawing/2014/main" id="{00000000-0008-0000-0100-00003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47" name="Drop Down 1" hidden="1">
          <a:extLst>
            <a:ext uri="{FF2B5EF4-FFF2-40B4-BE49-F238E27FC236}">
              <a16:creationId xmlns:a16="http://schemas.microsoft.com/office/drawing/2014/main" id="{00000000-0008-0000-0100-00003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48" name="Drop Down -1022" hidden="1">
          <a:extLst>
            <a:ext uri="{FF2B5EF4-FFF2-40B4-BE49-F238E27FC236}">
              <a16:creationId xmlns:a16="http://schemas.microsoft.com/office/drawing/2014/main" id="{00000000-0008-0000-0100-00004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49" name="Drop Down 1" hidden="1">
          <a:extLst>
            <a:ext uri="{FF2B5EF4-FFF2-40B4-BE49-F238E27FC236}">
              <a16:creationId xmlns:a16="http://schemas.microsoft.com/office/drawing/2014/main" id="{00000000-0008-0000-0100-00004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50" name="Drop Down 1" hidden="1">
          <a:extLst>
            <a:ext uri="{FF2B5EF4-FFF2-40B4-BE49-F238E27FC236}">
              <a16:creationId xmlns:a16="http://schemas.microsoft.com/office/drawing/2014/main" id="{00000000-0008-0000-0100-00004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51" name="Drop Down 1" hidden="1">
          <a:extLst>
            <a:ext uri="{FF2B5EF4-FFF2-40B4-BE49-F238E27FC236}">
              <a16:creationId xmlns:a16="http://schemas.microsoft.com/office/drawing/2014/main" id="{00000000-0008-0000-0100-00004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52" name="Drop Down 1" hidden="1">
          <a:extLst>
            <a:ext uri="{FF2B5EF4-FFF2-40B4-BE49-F238E27FC236}">
              <a16:creationId xmlns:a16="http://schemas.microsoft.com/office/drawing/2014/main" id="{00000000-0008-0000-0100-00004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53" name="Drop Down 2" hidden="1">
          <a:extLst>
            <a:ext uri="{FF2B5EF4-FFF2-40B4-BE49-F238E27FC236}">
              <a16:creationId xmlns:a16="http://schemas.microsoft.com/office/drawing/2014/main" id="{00000000-0008-0000-0100-00004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54" name="Drop Down 1" hidden="1">
          <a:extLst>
            <a:ext uri="{FF2B5EF4-FFF2-40B4-BE49-F238E27FC236}">
              <a16:creationId xmlns:a16="http://schemas.microsoft.com/office/drawing/2014/main" id="{00000000-0008-0000-0100-00004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55" name="Drop Down -1022" hidden="1">
          <a:extLst>
            <a:ext uri="{FF2B5EF4-FFF2-40B4-BE49-F238E27FC236}">
              <a16:creationId xmlns:a16="http://schemas.microsoft.com/office/drawing/2014/main" id="{00000000-0008-0000-0100-00004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56" name="Drop Down 1" hidden="1">
          <a:extLst>
            <a:ext uri="{FF2B5EF4-FFF2-40B4-BE49-F238E27FC236}">
              <a16:creationId xmlns:a16="http://schemas.microsoft.com/office/drawing/2014/main" id="{00000000-0008-0000-0100-00004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57" name="Drop Down 1" hidden="1">
          <a:extLst>
            <a:ext uri="{FF2B5EF4-FFF2-40B4-BE49-F238E27FC236}">
              <a16:creationId xmlns:a16="http://schemas.microsoft.com/office/drawing/2014/main" id="{00000000-0008-0000-0100-00004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58" name="Drop Down 1" hidden="1">
          <a:extLst>
            <a:ext uri="{FF2B5EF4-FFF2-40B4-BE49-F238E27FC236}">
              <a16:creationId xmlns:a16="http://schemas.microsoft.com/office/drawing/2014/main" id="{00000000-0008-0000-0100-00004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59" name="Drop Down 1" hidden="1">
          <a:extLst>
            <a:ext uri="{FF2B5EF4-FFF2-40B4-BE49-F238E27FC236}">
              <a16:creationId xmlns:a16="http://schemas.microsoft.com/office/drawing/2014/main" id="{00000000-0008-0000-0100-00004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60" name="Drop Down 2" hidden="1">
          <a:extLst>
            <a:ext uri="{FF2B5EF4-FFF2-40B4-BE49-F238E27FC236}">
              <a16:creationId xmlns:a16="http://schemas.microsoft.com/office/drawing/2014/main" id="{00000000-0008-0000-0100-00004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61" name="Drop Down 1" hidden="1">
          <a:extLst>
            <a:ext uri="{FF2B5EF4-FFF2-40B4-BE49-F238E27FC236}">
              <a16:creationId xmlns:a16="http://schemas.microsoft.com/office/drawing/2014/main" id="{00000000-0008-0000-0100-00004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62" name="Drop Down -1022" hidden="1">
          <a:extLst>
            <a:ext uri="{FF2B5EF4-FFF2-40B4-BE49-F238E27FC236}">
              <a16:creationId xmlns:a16="http://schemas.microsoft.com/office/drawing/2014/main" id="{00000000-0008-0000-0100-00004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63" name="Drop Down 1" hidden="1">
          <a:extLst>
            <a:ext uri="{FF2B5EF4-FFF2-40B4-BE49-F238E27FC236}">
              <a16:creationId xmlns:a16="http://schemas.microsoft.com/office/drawing/2014/main" id="{00000000-0008-0000-0100-00004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64" name="Drop Down 1" hidden="1">
          <a:extLst>
            <a:ext uri="{FF2B5EF4-FFF2-40B4-BE49-F238E27FC236}">
              <a16:creationId xmlns:a16="http://schemas.microsoft.com/office/drawing/2014/main" id="{00000000-0008-0000-0100-00005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65" name="Drop Down 1" hidden="1">
          <a:extLst>
            <a:ext uri="{FF2B5EF4-FFF2-40B4-BE49-F238E27FC236}">
              <a16:creationId xmlns:a16="http://schemas.microsoft.com/office/drawing/2014/main" id="{00000000-0008-0000-0100-00005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66" name="Drop Down 1" hidden="1">
          <a:extLst>
            <a:ext uri="{FF2B5EF4-FFF2-40B4-BE49-F238E27FC236}">
              <a16:creationId xmlns:a16="http://schemas.microsoft.com/office/drawing/2014/main" id="{00000000-0008-0000-0100-00005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67" name="Drop Down 2" hidden="1">
          <a:extLst>
            <a:ext uri="{FF2B5EF4-FFF2-40B4-BE49-F238E27FC236}">
              <a16:creationId xmlns:a16="http://schemas.microsoft.com/office/drawing/2014/main" id="{00000000-0008-0000-0100-00005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68" name="Drop Down 1" hidden="1">
          <a:extLst>
            <a:ext uri="{FF2B5EF4-FFF2-40B4-BE49-F238E27FC236}">
              <a16:creationId xmlns:a16="http://schemas.microsoft.com/office/drawing/2014/main" id="{00000000-0008-0000-0100-00005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69" name="Drop Down -1022" hidden="1">
          <a:extLst>
            <a:ext uri="{FF2B5EF4-FFF2-40B4-BE49-F238E27FC236}">
              <a16:creationId xmlns:a16="http://schemas.microsoft.com/office/drawing/2014/main" id="{00000000-0008-0000-0100-00005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70" name="Drop Down 1" hidden="1">
          <a:extLst>
            <a:ext uri="{FF2B5EF4-FFF2-40B4-BE49-F238E27FC236}">
              <a16:creationId xmlns:a16="http://schemas.microsoft.com/office/drawing/2014/main" id="{00000000-0008-0000-0100-00005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71" name="Drop Down 1" hidden="1">
          <a:extLst>
            <a:ext uri="{FF2B5EF4-FFF2-40B4-BE49-F238E27FC236}">
              <a16:creationId xmlns:a16="http://schemas.microsoft.com/office/drawing/2014/main" id="{00000000-0008-0000-0100-00005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72" name="Drop Down 1" hidden="1">
          <a:extLst>
            <a:ext uri="{FF2B5EF4-FFF2-40B4-BE49-F238E27FC236}">
              <a16:creationId xmlns:a16="http://schemas.microsoft.com/office/drawing/2014/main" id="{00000000-0008-0000-0100-00005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73" name="Drop Down 1" hidden="1">
          <a:extLst>
            <a:ext uri="{FF2B5EF4-FFF2-40B4-BE49-F238E27FC236}">
              <a16:creationId xmlns:a16="http://schemas.microsoft.com/office/drawing/2014/main" id="{00000000-0008-0000-0100-00005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74" name="Drop Down 2" hidden="1">
          <a:extLst>
            <a:ext uri="{FF2B5EF4-FFF2-40B4-BE49-F238E27FC236}">
              <a16:creationId xmlns:a16="http://schemas.microsoft.com/office/drawing/2014/main" id="{00000000-0008-0000-0100-00005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75" name="Drop Down 1" hidden="1">
          <a:extLst>
            <a:ext uri="{FF2B5EF4-FFF2-40B4-BE49-F238E27FC236}">
              <a16:creationId xmlns:a16="http://schemas.microsoft.com/office/drawing/2014/main" id="{00000000-0008-0000-0100-00005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76" name="Drop Down -1022" hidden="1">
          <a:extLst>
            <a:ext uri="{FF2B5EF4-FFF2-40B4-BE49-F238E27FC236}">
              <a16:creationId xmlns:a16="http://schemas.microsoft.com/office/drawing/2014/main" id="{00000000-0008-0000-0100-00005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77" name="Drop Down 1" hidden="1">
          <a:extLst>
            <a:ext uri="{FF2B5EF4-FFF2-40B4-BE49-F238E27FC236}">
              <a16:creationId xmlns:a16="http://schemas.microsoft.com/office/drawing/2014/main" id="{00000000-0008-0000-0100-00005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78" name="Drop Down 1" hidden="1">
          <a:extLst>
            <a:ext uri="{FF2B5EF4-FFF2-40B4-BE49-F238E27FC236}">
              <a16:creationId xmlns:a16="http://schemas.microsoft.com/office/drawing/2014/main" id="{00000000-0008-0000-0100-00005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79" name="Drop Down 1" hidden="1">
          <a:extLst>
            <a:ext uri="{FF2B5EF4-FFF2-40B4-BE49-F238E27FC236}">
              <a16:creationId xmlns:a16="http://schemas.microsoft.com/office/drawing/2014/main" id="{00000000-0008-0000-0100-00005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80" name="Drop Down 1" hidden="1">
          <a:extLst>
            <a:ext uri="{FF2B5EF4-FFF2-40B4-BE49-F238E27FC236}">
              <a16:creationId xmlns:a16="http://schemas.microsoft.com/office/drawing/2014/main" id="{00000000-0008-0000-0100-00006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81" name="Drop Down 2" hidden="1">
          <a:extLst>
            <a:ext uri="{FF2B5EF4-FFF2-40B4-BE49-F238E27FC236}">
              <a16:creationId xmlns:a16="http://schemas.microsoft.com/office/drawing/2014/main" id="{00000000-0008-0000-0100-00006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82" name="Drop Down 1" hidden="1">
          <a:extLst>
            <a:ext uri="{FF2B5EF4-FFF2-40B4-BE49-F238E27FC236}">
              <a16:creationId xmlns:a16="http://schemas.microsoft.com/office/drawing/2014/main" id="{00000000-0008-0000-0100-00006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83" name="Drop Down -1022" hidden="1">
          <a:extLst>
            <a:ext uri="{FF2B5EF4-FFF2-40B4-BE49-F238E27FC236}">
              <a16:creationId xmlns:a16="http://schemas.microsoft.com/office/drawing/2014/main" id="{00000000-0008-0000-0100-00006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84" name="Drop Down 1" hidden="1">
          <a:extLst>
            <a:ext uri="{FF2B5EF4-FFF2-40B4-BE49-F238E27FC236}">
              <a16:creationId xmlns:a16="http://schemas.microsoft.com/office/drawing/2014/main" id="{00000000-0008-0000-0100-00006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85" name="Drop Down 1" hidden="1">
          <a:extLst>
            <a:ext uri="{FF2B5EF4-FFF2-40B4-BE49-F238E27FC236}">
              <a16:creationId xmlns:a16="http://schemas.microsoft.com/office/drawing/2014/main" id="{00000000-0008-0000-0100-00006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86" name="Drop Down 1" hidden="1">
          <a:extLst>
            <a:ext uri="{FF2B5EF4-FFF2-40B4-BE49-F238E27FC236}">
              <a16:creationId xmlns:a16="http://schemas.microsoft.com/office/drawing/2014/main" id="{00000000-0008-0000-0100-00006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87" name="Drop Down 1" hidden="1">
          <a:extLst>
            <a:ext uri="{FF2B5EF4-FFF2-40B4-BE49-F238E27FC236}">
              <a16:creationId xmlns:a16="http://schemas.microsoft.com/office/drawing/2014/main" id="{00000000-0008-0000-0100-00006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88" name="Drop Down 2" hidden="1">
          <a:extLst>
            <a:ext uri="{FF2B5EF4-FFF2-40B4-BE49-F238E27FC236}">
              <a16:creationId xmlns:a16="http://schemas.microsoft.com/office/drawing/2014/main" id="{00000000-0008-0000-0100-00006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89" name="Drop Down 1" hidden="1">
          <a:extLst>
            <a:ext uri="{FF2B5EF4-FFF2-40B4-BE49-F238E27FC236}">
              <a16:creationId xmlns:a16="http://schemas.microsoft.com/office/drawing/2014/main" id="{00000000-0008-0000-0100-00006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90" name="Drop Down -1022" hidden="1">
          <a:extLst>
            <a:ext uri="{FF2B5EF4-FFF2-40B4-BE49-F238E27FC236}">
              <a16:creationId xmlns:a16="http://schemas.microsoft.com/office/drawing/2014/main" id="{00000000-0008-0000-0100-00006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91" name="Drop Down 1" hidden="1">
          <a:extLst>
            <a:ext uri="{FF2B5EF4-FFF2-40B4-BE49-F238E27FC236}">
              <a16:creationId xmlns:a16="http://schemas.microsoft.com/office/drawing/2014/main" id="{00000000-0008-0000-0100-00006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92" name="Drop Down 1" hidden="1">
          <a:extLst>
            <a:ext uri="{FF2B5EF4-FFF2-40B4-BE49-F238E27FC236}">
              <a16:creationId xmlns:a16="http://schemas.microsoft.com/office/drawing/2014/main" id="{00000000-0008-0000-0100-00006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93" name="Drop Down 1" hidden="1">
          <a:extLst>
            <a:ext uri="{FF2B5EF4-FFF2-40B4-BE49-F238E27FC236}">
              <a16:creationId xmlns:a16="http://schemas.microsoft.com/office/drawing/2014/main" id="{00000000-0008-0000-0100-00006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94" name="Drop Down 1" hidden="1">
          <a:extLst>
            <a:ext uri="{FF2B5EF4-FFF2-40B4-BE49-F238E27FC236}">
              <a16:creationId xmlns:a16="http://schemas.microsoft.com/office/drawing/2014/main" id="{00000000-0008-0000-0100-00006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95" name="Drop Down 2" hidden="1">
          <a:extLst>
            <a:ext uri="{FF2B5EF4-FFF2-40B4-BE49-F238E27FC236}">
              <a16:creationId xmlns:a16="http://schemas.microsoft.com/office/drawing/2014/main" id="{00000000-0008-0000-0100-00006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96" name="Drop Down 1" hidden="1">
          <a:extLst>
            <a:ext uri="{FF2B5EF4-FFF2-40B4-BE49-F238E27FC236}">
              <a16:creationId xmlns:a16="http://schemas.microsoft.com/office/drawing/2014/main" id="{00000000-0008-0000-0100-00007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697" name="Drop Down -1022" hidden="1">
          <a:extLst>
            <a:ext uri="{FF2B5EF4-FFF2-40B4-BE49-F238E27FC236}">
              <a16:creationId xmlns:a16="http://schemas.microsoft.com/office/drawing/2014/main" id="{00000000-0008-0000-0100-00007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98" name="Drop Down 1" hidden="1">
          <a:extLst>
            <a:ext uri="{FF2B5EF4-FFF2-40B4-BE49-F238E27FC236}">
              <a16:creationId xmlns:a16="http://schemas.microsoft.com/office/drawing/2014/main" id="{00000000-0008-0000-0100-00007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699" name="Drop Down 1" hidden="1">
          <a:extLst>
            <a:ext uri="{FF2B5EF4-FFF2-40B4-BE49-F238E27FC236}">
              <a16:creationId xmlns:a16="http://schemas.microsoft.com/office/drawing/2014/main" id="{00000000-0008-0000-0100-00007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00" name="Drop Down 1" hidden="1">
          <a:extLst>
            <a:ext uri="{FF2B5EF4-FFF2-40B4-BE49-F238E27FC236}">
              <a16:creationId xmlns:a16="http://schemas.microsoft.com/office/drawing/2014/main" id="{00000000-0008-0000-0100-00007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01" name="Drop Down 1" hidden="1">
          <a:extLst>
            <a:ext uri="{FF2B5EF4-FFF2-40B4-BE49-F238E27FC236}">
              <a16:creationId xmlns:a16="http://schemas.microsoft.com/office/drawing/2014/main" id="{00000000-0008-0000-0100-00007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02" name="Drop Down 2" hidden="1">
          <a:extLst>
            <a:ext uri="{FF2B5EF4-FFF2-40B4-BE49-F238E27FC236}">
              <a16:creationId xmlns:a16="http://schemas.microsoft.com/office/drawing/2014/main" id="{00000000-0008-0000-0100-00007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03" name="Drop Down 1" hidden="1">
          <a:extLst>
            <a:ext uri="{FF2B5EF4-FFF2-40B4-BE49-F238E27FC236}">
              <a16:creationId xmlns:a16="http://schemas.microsoft.com/office/drawing/2014/main" id="{00000000-0008-0000-0100-00007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04" name="Drop Down -1022" hidden="1">
          <a:extLst>
            <a:ext uri="{FF2B5EF4-FFF2-40B4-BE49-F238E27FC236}">
              <a16:creationId xmlns:a16="http://schemas.microsoft.com/office/drawing/2014/main" id="{00000000-0008-0000-0100-00007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05" name="Drop Down 1" hidden="1">
          <a:extLst>
            <a:ext uri="{FF2B5EF4-FFF2-40B4-BE49-F238E27FC236}">
              <a16:creationId xmlns:a16="http://schemas.microsoft.com/office/drawing/2014/main" id="{00000000-0008-0000-0100-00007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06" name="Drop Down 1" hidden="1">
          <a:extLst>
            <a:ext uri="{FF2B5EF4-FFF2-40B4-BE49-F238E27FC236}">
              <a16:creationId xmlns:a16="http://schemas.microsoft.com/office/drawing/2014/main" id="{00000000-0008-0000-0100-00007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07" name="Drop Down 1" hidden="1">
          <a:extLst>
            <a:ext uri="{FF2B5EF4-FFF2-40B4-BE49-F238E27FC236}">
              <a16:creationId xmlns:a16="http://schemas.microsoft.com/office/drawing/2014/main" id="{00000000-0008-0000-0100-00007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08" name="Drop Down 1" hidden="1">
          <a:extLst>
            <a:ext uri="{FF2B5EF4-FFF2-40B4-BE49-F238E27FC236}">
              <a16:creationId xmlns:a16="http://schemas.microsoft.com/office/drawing/2014/main" id="{00000000-0008-0000-0100-00007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09" name="Drop Down 2" hidden="1">
          <a:extLst>
            <a:ext uri="{FF2B5EF4-FFF2-40B4-BE49-F238E27FC236}">
              <a16:creationId xmlns:a16="http://schemas.microsoft.com/office/drawing/2014/main" id="{00000000-0008-0000-0100-00007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10" name="Drop Down 1" hidden="1">
          <a:extLst>
            <a:ext uri="{FF2B5EF4-FFF2-40B4-BE49-F238E27FC236}">
              <a16:creationId xmlns:a16="http://schemas.microsoft.com/office/drawing/2014/main" id="{00000000-0008-0000-0100-00007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11" name="Drop Down -1022" hidden="1">
          <a:extLst>
            <a:ext uri="{FF2B5EF4-FFF2-40B4-BE49-F238E27FC236}">
              <a16:creationId xmlns:a16="http://schemas.microsoft.com/office/drawing/2014/main" id="{00000000-0008-0000-0100-00007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12" name="Drop Down 1" hidden="1">
          <a:extLst>
            <a:ext uri="{FF2B5EF4-FFF2-40B4-BE49-F238E27FC236}">
              <a16:creationId xmlns:a16="http://schemas.microsoft.com/office/drawing/2014/main" id="{00000000-0008-0000-0100-00008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13" name="Drop Down 1" hidden="1">
          <a:extLst>
            <a:ext uri="{FF2B5EF4-FFF2-40B4-BE49-F238E27FC236}">
              <a16:creationId xmlns:a16="http://schemas.microsoft.com/office/drawing/2014/main" id="{00000000-0008-0000-0100-00008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14" name="Drop Down 1" hidden="1">
          <a:extLst>
            <a:ext uri="{FF2B5EF4-FFF2-40B4-BE49-F238E27FC236}">
              <a16:creationId xmlns:a16="http://schemas.microsoft.com/office/drawing/2014/main" id="{00000000-0008-0000-0100-00008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15" name="Drop Down 1" hidden="1">
          <a:extLst>
            <a:ext uri="{FF2B5EF4-FFF2-40B4-BE49-F238E27FC236}">
              <a16:creationId xmlns:a16="http://schemas.microsoft.com/office/drawing/2014/main" id="{00000000-0008-0000-0100-00008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16" name="Drop Down 2" hidden="1">
          <a:extLst>
            <a:ext uri="{FF2B5EF4-FFF2-40B4-BE49-F238E27FC236}">
              <a16:creationId xmlns:a16="http://schemas.microsoft.com/office/drawing/2014/main" id="{00000000-0008-0000-0100-00008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17" name="Drop Down 1" hidden="1">
          <a:extLst>
            <a:ext uri="{FF2B5EF4-FFF2-40B4-BE49-F238E27FC236}">
              <a16:creationId xmlns:a16="http://schemas.microsoft.com/office/drawing/2014/main" id="{00000000-0008-0000-0100-00008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18" name="Drop Down -1022" hidden="1">
          <a:extLst>
            <a:ext uri="{FF2B5EF4-FFF2-40B4-BE49-F238E27FC236}">
              <a16:creationId xmlns:a16="http://schemas.microsoft.com/office/drawing/2014/main" id="{00000000-0008-0000-0100-00008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719" name="Drop Down 1" hidden="1">
          <a:extLst>
            <a:ext uri="{FF2B5EF4-FFF2-40B4-BE49-F238E27FC236}">
              <a16:creationId xmlns:a16="http://schemas.microsoft.com/office/drawing/2014/main" id="{00000000-0008-0000-0100-00008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720" name="Drop Down 1" hidden="1">
          <a:extLst>
            <a:ext uri="{FF2B5EF4-FFF2-40B4-BE49-F238E27FC236}">
              <a16:creationId xmlns:a16="http://schemas.microsoft.com/office/drawing/2014/main" id="{00000000-0008-0000-0100-00008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721" name="Drop Down 1" hidden="1">
          <a:extLst>
            <a:ext uri="{FF2B5EF4-FFF2-40B4-BE49-F238E27FC236}">
              <a16:creationId xmlns:a16="http://schemas.microsoft.com/office/drawing/2014/main" id="{00000000-0008-0000-0100-00008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722" name="Drop Down 1" hidden="1">
          <a:extLst>
            <a:ext uri="{FF2B5EF4-FFF2-40B4-BE49-F238E27FC236}">
              <a16:creationId xmlns:a16="http://schemas.microsoft.com/office/drawing/2014/main" id="{00000000-0008-0000-0100-00008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723" name="Drop Down 2" hidden="1">
          <a:extLst>
            <a:ext uri="{FF2B5EF4-FFF2-40B4-BE49-F238E27FC236}">
              <a16:creationId xmlns:a16="http://schemas.microsoft.com/office/drawing/2014/main" id="{00000000-0008-0000-0100-00008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724" name="Drop Down 1" hidden="1">
          <a:extLst>
            <a:ext uri="{FF2B5EF4-FFF2-40B4-BE49-F238E27FC236}">
              <a16:creationId xmlns:a16="http://schemas.microsoft.com/office/drawing/2014/main" id="{00000000-0008-0000-0100-00008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725" name="Drop Down -1022" hidden="1">
          <a:extLst>
            <a:ext uri="{FF2B5EF4-FFF2-40B4-BE49-F238E27FC236}">
              <a16:creationId xmlns:a16="http://schemas.microsoft.com/office/drawing/2014/main" id="{00000000-0008-0000-0100-00008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26" name="Drop Down 1" hidden="1">
          <a:extLst>
            <a:ext uri="{FF2B5EF4-FFF2-40B4-BE49-F238E27FC236}">
              <a16:creationId xmlns:a16="http://schemas.microsoft.com/office/drawing/2014/main" id="{00000000-0008-0000-0100-00008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27" name="Drop Down 1" hidden="1">
          <a:extLst>
            <a:ext uri="{FF2B5EF4-FFF2-40B4-BE49-F238E27FC236}">
              <a16:creationId xmlns:a16="http://schemas.microsoft.com/office/drawing/2014/main" id="{00000000-0008-0000-0100-00008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28" name="Drop Down 1" hidden="1">
          <a:extLst>
            <a:ext uri="{FF2B5EF4-FFF2-40B4-BE49-F238E27FC236}">
              <a16:creationId xmlns:a16="http://schemas.microsoft.com/office/drawing/2014/main" id="{00000000-0008-0000-0100-00009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29" name="Drop Down 1" hidden="1">
          <a:extLst>
            <a:ext uri="{FF2B5EF4-FFF2-40B4-BE49-F238E27FC236}">
              <a16:creationId xmlns:a16="http://schemas.microsoft.com/office/drawing/2014/main" id="{00000000-0008-0000-0100-00009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30" name="Drop Down 2" hidden="1">
          <a:extLst>
            <a:ext uri="{FF2B5EF4-FFF2-40B4-BE49-F238E27FC236}">
              <a16:creationId xmlns:a16="http://schemas.microsoft.com/office/drawing/2014/main" id="{00000000-0008-0000-0100-00009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31" name="Drop Down 1" hidden="1">
          <a:extLst>
            <a:ext uri="{FF2B5EF4-FFF2-40B4-BE49-F238E27FC236}">
              <a16:creationId xmlns:a16="http://schemas.microsoft.com/office/drawing/2014/main" id="{00000000-0008-0000-0100-00009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32" name="Drop Down -1022" hidden="1">
          <a:extLst>
            <a:ext uri="{FF2B5EF4-FFF2-40B4-BE49-F238E27FC236}">
              <a16:creationId xmlns:a16="http://schemas.microsoft.com/office/drawing/2014/main" id="{00000000-0008-0000-0100-00009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33" name="Drop Down 1" hidden="1">
          <a:extLst>
            <a:ext uri="{FF2B5EF4-FFF2-40B4-BE49-F238E27FC236}">
              <a16:creationId xmlns:a16="http://schemas.microsoft.com/office/drawing/2014/main" id="{00000000-0008-0000-0100-00009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34" name="Drop Down 1" hidden="1">
          <a:extLst>
            <a:ext uri="{FF2B5EF4-FFF2-40B4-BE49-F238E27FC236}">
              <a16:creationId xmlns:a16="http://schemas.microsoft.com/office/drawing/2014/main" id="{00000000-0008-0000-0100-00009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35" name="Drop Down 1" hidden="1">
          <a:extLst>
            <a:ext uri="{FF2B5EF4-FFF2-40B4-BE49-F238E27FC236}">
              <a16:creationId xmlns:a16="http://schemas.microsoft.com/office/drawing/2014/main" id="{00000000-0008-0000-0100-00009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36" name="Drop Down 1" hidden="1">
          <a:extLst>
            <a:ext uri="{FF2B5EF4-FFF2-40B4-BE49-F238E27FC236}">
              <a16:creationId xmlns:a16="http://schemas.microsoft.com/office/drawing/2014/main" id="{00000000-0008-0000-0100-00009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37" name="Drop Down 2" hidden="1">
          <a:extLst>
            <a:ext uri="{FF2B5EF4-FFF2-40B4-BE49-F238E27FC236}">
              <a16:creationId xmlns:a16="http://schemas.microsoft.com/office/drawing/2014/main" id="{00000000-0008-0000-0100-00009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38" name="Drop Down 1" hidden="1">
          <a:extLst>
            <a:ext uri="{FF2B5EF4-FFF2-40B4-BE49-F238E27FC236}">
              <a16:creationId xmlns:a16="http://schemas.microsoft.com/office/drawing/2014/main" id="{00000000-0008-0000-0100-00009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39" name="Drop Down -1022" hidden="1">
          <a:extLst>
            <a:ext uri="{FF2B5EF4-FFF2-40B4-BE49-F238E27FC236}">
              <a16:creationId xmlns:a16="http://schemas.microsoft.com/office/drawing/2014/main" id="{00000000-0008-0000-0100-00009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40" name="Drop Down 1" hidden="1">
          <a:extLst>
            <a:ext uri="{FF2B5EF4-FFF2-40B4-BE49-F238E27FC236}">
              <a16:creationId xmlns:a16="http://schemas.microsoft.com/office/drawing/2014/main" id="{00000000-0008-0000-0100-00009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41" name="Drop Down 1" hidden="1">
          <a:extLst>
            <a:ext uri="{FF2B5EF4-FFF2-40B4-BE49-F238E27FC236}">
              <a16:creationId xmlns:a16="http://schemas.microsoft.com/office/drawing/2014/main" id="{00000000-0008-0000-0100-00009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42" name="Drop Down 1" hidden="1">
          <a:extLst>
            <a:ext uri="{FF2B5EF4-FFF2-40B4-BE49-F238E27FC236}">
              <a16:creationId xmlns:a16="http://schemas.microsoft.com/office/drawing/2014/main" id="{00000000-0008-0000-0100-00009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43" name="Drop Down 1" hidden="1">
          <a:extLst>
            <a:ext uri="{FF2B5EF4-FFF2-40B4-BE49-F238E27FC236}">
              <a16:creationId xmlns:a16="http://schemas.microsoft.com/office/drawing/2014/main" id="{00000000-0008-0000-0100-00009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44" name="Drop Down 2" hidden="1">
          <a:extLst>
            <a:ext uri="{FF2B5EF4-FFF2-40B4-BE49-F238E27FC236}">
              <a16:creationId xmlns:a16="http://schemas.microsoft.com/office/drawing/2014/main" id="{00000000-0008-0000-0100-0000A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45" name="Drop Down 1" hidden="1">
          <a:extLst>
            <a:ext uri="{FF2B5EF4-FFF2-40B4-BE49-F238E27FC236}">
              <a16:creationId xmlns:a16="http://schemas.microsoft.com/office/drawing/2014/main" id="{00000000-0008-0000-0100-0000A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46" name="Drop Down -1022" hidden="1">
          <a:extLst>
            <a:ext uri="{FF2B5EF4-FFF2-40B4-BE49-F238E27FC236}">
              <a16:creationId xmlns:a16="http://schemas.microsoft.com/office/drawing/2014/main" id="{00000000-0008-0000-0100-0000A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47" name="Drop Down 1" hidden="1">
          <a:extLst>
            <a:ext uri="{FF2B5EF4-FFF2-40B4-BE49-F238E27FC236}">
              <a16:creationId xmlns:a16="http://schemas.microsoft.com/office/drawing/2014/main" id="{00000000-0008-0000-0100-0000A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48" name="Drop Down 1" hidden="1">
          <a:extLst>
            <a:ext uri="{FF2B5EF4-FFF2-40B4-BE49-F238E27FC236}">
              <a16:creationId xmlns:a16="http://schemas.microsoft.com/office/drawing/2014/main" id="{00000000-0008-0000-0100-0000A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49" name="Drop Down 1" hidden="1">
          <a:extLst>
            <a:ext uri="{FF2B5EF4-FFF2-40B4-BE49-F238E27FC236}">
              <a16:creationId xmlns:a16="http://schemas.microsoft.com/office/drawing/2014/main" id="{00000000-0008-0000-0100-0000A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50" name="Drop Down 1" hidden="1">
          <a:extLst>
            <a:ext uri="{FF2B5EF4-FFF2-40B4-BE49-F238E27FC236}">
              <a16:creationId xmlns:a16="http://schemas.microsoft.com/office/drawing/2014/main" id="{00000000-0008-0000-0100-0000A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51" name="Drop Down 2" hidden="1">
          <a:extLst>
            <a:ext uri="{FF2B5EF4-FFF2-40B4-BE49-F238E27FC236}">
              <a16:creationId xmlns:a16="http://schemas.microsoft.com/office/drawing/2014/main" id="{00000000-0008-0000-0100-0000A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52" name="Drop Down 1" hidden="1">
          <a:extLst>
            <a:ext uri="{FF2B5EF4-FFF2-40B4-BE49-F238E27FC236}">
              <a16:creationId xmlns:a16="http://schemas.microsoft.com/office/drawing/2014/main" id="{00000000-0008-0000-0100-0000A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53" name="Drop Down -1022" hidden="1">
          <a:extLst>
            <a:ext uri="{FF2B5EF4-FFF2-40B4-BE49-F238E27FC236}">
              <a16:creationId xmlns:a16="http://schemas.microsoft.com/office/drawing/2014/main" id="{00000000-0008-0000-0100-0000A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54" name="Drop Down 1" hidden="1">
          <a:extLst>
            <a:ext uri="{FF2B5EF4-FFF2-40B4-BE49-F238E27FC236}">
              <a16:creationId xmlns:a16="http://schemas.microsoft.com/office/drawing/2014/main" id="{00000000-0008-0000-0100-0000A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55" name="Drop Down 1" hidden="1">
          <a:extLst>
            <a:ext uri="{FF2B5EF4-FFF2-40B4-BE49-F238E27FC236}">
              <a16:creationId xmlns:a16="http://schemas.microsoft.com/office/drawing/2014/main" id="{00000000-0008-0000-0100-0000A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56" name="Drop Down 1" hidden="1">
          <a:extLst>
            <a:ext uri="{FF2B5EF4-FFF2-40B4-BE49-F238E27FC236}">
              <a16:creationId xmlns:a16="http://schemas.microsoft.com/office/drawing/2014/main" id="{00000000-0008-0000-0100-0000A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57" name="Drop Down 1" hidden="1">
          <a:extLst>
            <a:ext uri="{FF2B5EF4-FFF2-40B4-BE49-F238E27FC236}">
              <a16:creationId xmlns:a16="http://schemas.microsoft.com/office/drawing/2014/main" id="{00000000-0008-0000-0100-0000A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58" name="Drop Down 2" hidden="1">
          <a:extLst>
            <a:ext uri="{FF2B5EF4-FFF2-40B4-BE49-F238E27FC236}">
              <a16:creationId xmlns:a16="http://schemas.microsoft.com/office/drawing/2014/main" id="{00000000-0008-0000-0100-0000A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59" name="Drop Down 1" hidden="1">
          <a:extLst>
            <a:ext uri="{FF2B5EF4-FFF2-40B4-BE49-F238E27FC236}">
              <a16:creationId xmlns:a16="http://schemas.microsoft.com/office/drawing/2014/main" id="{00000000-0008-0000-0100-0000A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60" name="Drop Down -1022" hidden="1">
          <a:extLst>
            <a:ext uri="{FF2B5EF4-FFF2-40B4-BE49-F238E27FC236}">
              <a16:creationId xmlns:a16="http://schemas.microsoft.com/office/drawing/2014/main" id="{00000000-0008-0000-0100-0000B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61" name="Drop Down 1" hidden="1">
          <a:extLst>
            <a:ext uri="{FF2B5EF4-FFF2-40B4-BE49-F238E27FC236}">
              <a16:creationId xmlns:a16="http://schemas.microsoft.com/office/drawing/2014/main" id="{00000000-0008-0000-0100-0000B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62" name="Drop Down 1" hidden="1">
          <a:extLst>
            <a:ext uri="{FF2B5EF4-FFF2-40B4-BE49-F238E27FC236}">
              <a16:creationId xmlns:a16="http://schemas.microsoft.com/office/drawing/2014/main" id="{00000000-0008-0000-0100-0000B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63" name="Drop Down 1" hidden="1">
          <a:extLst>
            <a:ext uri="{FF2B5EF4-FFF2-40B4-BE49-F238E27FC236}">
              <a16:creationId xmlns:a16="http://schemas.microsoft.com/office/drawing/2014/main" id="{00000000-0008-0000-0100-0000B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64" name="Drop Down 1" hidden="1">
          <a:extLst>
            <a:ext uri="{FF2B5EF4-FFF2-40B4-BE49-F238E27FC236}">
              <a16:creationId xmlns:a16="http://schemas.microsoft.com/office/drawing/2014/main" id="{00000000-0008-0000-0100-0000B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65" name="Drop Down 2" hidden="1">
          <a:extLst>
            <a:ext uri="{FF2B5EF4-FFF2-40B4-BE49-F238E27FC236}">
              <a16:creationId xmlns:a16="http://schemas.microsoft.com/office/drawing/2014/main" id="{00000000-0008-0000-0100-0000B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66" name="Drop Down 1" hidden="1">
          <a:extLst>
            <a:ext uri="{FF2B5EF4-FFF2-40B4-BE49-F238E27FC236}">
              <a16:creationId xmlns:a16="http://schemas.microsoft.com/office/drawing/2014/main" id="{00000000-0008-0000-0100-0000B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67" name="Drop Down -1022" hidden="1">
          <a:extLst>
            <a:ext uri="{FF2B5EF4-FFF2-40B4-BE49-F238E27FC236}">
              <a16:creationId xmlns:a16="http://schemas.microsoft.com/office/drawing/2014/main" id="{00000000-0008-0000-0100-0000B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68" name="Drop Down 1" hidden="1">
          <a:extLst>
            <a:ext uri="{FF2B5EF4-FFF2-40B4-BE49-F238E27FC236}">
              <a16:creationId xmlns:a16="http://schemas.microsoft.com/office/drawing/2014/main" id="{00000000-0008-0000-0100-0000B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69" name="Drop Down 1" hidden="1">
          <a:extLst>
            <a:ext uri="{FF2B5EF4-FFF2-40B4-BE49-F238E27FC236}">
              <a16:creationId xmlns:a16="http://schemas.microsoft.com/office/drawing/2014/main" id="{00000000-0008-0000-0100-0000B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70" name="Drop Down 1" hidden="1">
          <a:extLst>
            <a:ext uri="{FF2B5EF4-FFF2-40B4-BE49-F238E27FC236}">
              <a16:creationId xmlns:a16="http://schemas.microsoft.com/office/drawing/2014/main" id="{00000000-0008-0000-0100-0000B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71" name="Drop Down 1" hidden="1">
          <a:extLst>
            <a:ext uri="{FF2B5EF4-FFF2-40B4-BE49-F238E27FC236}">
              <a16:creationId xmlns:a16="http://schemas.microsoft.com/office/drawing/2014/main" id="{00000000-0008-0000-0100-0000B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72" name="Drop Down 2" hidden="1">
          <a:extLst>
            <a:ext uri="{FF2B5EF4-FFF2-40B4-BE49-F238E27FC236}">
              <a16:creationId xmlns:a16="http://schemas.microsoft.com/office/drawing/2014/main" id="{00000000-0008-0000-0100-0000B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73" name="Drop Down 1" hidden="1">
          <a:extLst>
            <a:ext uri="{FF2B5EF4-FFF2-40B4-BE49-F238E27FC236}">
              <a16:creationId xmlns:a16="http://schemas.microsoft.com/office/drawing/2014/main" id="{00000000-0008-0000-0100-0000B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74" name="Drop Down -1022" hidden="1">
          <a:extLst>
            <a:ext uri="{FF2B5EF4-FFF2-40B4-BE49-F238E27FC236}">
              <a16:creationId xmlns:a16="http://schemas.microsoft.com/office/drawing/2014/main" id="{00000000-0008-0000-0100-0000B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75" name="Drop Down 1" hidden="1">
          <a:extLst>
            <a:ext uri="{FF2B5EF4-FFF2-40B4-BE49-F238E27FC236}">
              <a16:creationId xmlns:a16="http://schemas.microsoft.com/office/drawing/2014/main" id="{00000000-0008-0000-0100-0000B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76" name="Drop Down 1" hidden="1">
          <a:extLst>
            <a:ext uri="{FF2B5EF4-FFF2-40B4-BE49-F238E27FC236}">
              <a16:creationId xmlns:a16="http://schemas.microsoft.com/office/drawing/2014/main" id="{00000000-0008-0000-0100-0000C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77" name="Drop Down 1" hidden="1">
          <a:extLst>
            <a:ext uri="{FF2B5EF4-FFF2-40B4-BE49-F238E27FC236}">
              <a16:creationId xmlns:a16="http://schemas.microsoft.com/office/drawing/2014/main" id="{00000000-0008-0000-0100-0000C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78" name="Drop Down 1" hidden="1">
          <a:extLst>
            <a:ext uri="{FF2B5EF4-FFF2-40B4-BE49-F238E27FC236}">
              <a16:creationId xmlns:a16="http://schemas.microsoft.com/office/drawing/2014/main" id="{00000000-0008-0000-0100-0000C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79" name="Drop Down 2" hidden="1">
          <a:extLst>
            <a:ext uri="{FF2B5EF4-FFF2-40B4-BE49-F238E27FC236}">
              <a16:creationId xmlns:a16="http://schemas.microsoft.com/office/drawing/2014/main" id="{00000000-0008-0000-0100-0000C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80" name="Drop Down 1" hidden="1">
          <a:extLst>
            <a:ext uri="{FF2B5EF4-FFF2-40B4-BE49-F238E27FC236}">
              <a16:creationId xmlns:a16="http://schemas.microsoft.com/office/drawing/2014/main" id="{00000000-0008-0000-0100-0000C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81" name="Drop Down -1022" hidden="1">
          <a:extLst>
            <a:ext uri="{FF2B5EF4-FFF2-40B4-BE49-F238E27FC236}">
              <a16:creationId xmlns:a16="http://schemas.microsoft.com/office/drawing/2014/main" id="{00000000-0008-0000-0100-0000C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82" name="Drop Down 1" hidden="1">
          <a:extLst>
            <a:ext uri="{FF2B5EF4-FFF2-40B4-BE49-F238E27FC236}">
              <a16:creationId xmlns:a16="http://schemas.microsoft.com/office/drawing/2014/main" id="{00000000-0008-0000-0100-0000C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83" name="Drop Down 1" hidden="1">
          <a:extLst>
            <a:ext uri="{FF2B5EF4-FFF2-40B4-BE49-F238E27FC236}">
              <a16:creationId xmlns:a16="http://schemas.microsoft.com/office/drawing/2014/main" id="{00000000-0008-0000-0100-0000C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84" name="Drop Down 1" hidden="1">
          <a:extLst>
            <a:ext uri="{FF2B5EF4-FFF2-40B4-BE49-F238E27FC236}">
              <a16:creationId xmlns:a16="http://schemas.microsoft.com/office/drawing/2014/main" id="{00000000-0008-0000-0100-0000C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85" name="Drop Down 1" hidden="1">
          <a:extLst>
            <a:ext uri="{FF2B5EF4-FFF2-40B4-BE49-F238E27FC236}">
              <a16:creationId xmlns:a16="http://schemas.microsoft.com/office/drawing/2014/main" id="{00000000-0008-0000-0100-0000C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86" name="Drop Down 2" hidden="1">
          <a:extLst>
            <a:ext uri="{FF2B5EF4-FFF2-40B4-BE49-F238E27FC236}">
              <a16:creationId xmlns:a16="http://schemas.microsoft.com/office/drawing/2014/main" id="{00000000-0008-0000-0100-0000C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87" name="Drop Down 1" hidden="1">
          <a:extLst>
            <a:ext uri="{FF2B5EF4-FFF2-40B4-BE49-F238E27FC236}">
              <a16:creationId xmlns:a16="http://schemas.microsoft.com/office/drawing/2014/main" id="{00000000-0008-0000-0100-0000C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788" name="Drop Down -1022" hidden="1">
          <a:extLst>
            <a:ext uri="{FF2B5EF4-FFF2-40B4-BE49-F238E27FC236}">
              <a16:creationId xmlns:a16="http://schemas.microsoft.com/office/drawing/2014/main" id="{00000000-0008-0000-0100-0000C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89" name="Drop Down 1" hidden="1">
          <a:extLst>
            <a:ext uri="{FF2B5EF4-FFF2-40B4-BE49-F238E27FC236}">
              <a16:creationId xmlns:a16="http://schemas.microsoft.com/office/drawing/2014/main" id="{00000000-0008-0000-0100-0000C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90" name="Drop Down 1" hidden="1">
          <a:extLst>
            <a:ext uri="{FF2B5EF4-FFF2-40B4-BE49-F238E27FC236}">
              <a16:creationId xmlns:a16="http://schemas.microsoft.com/office/drawing/2014/main" id="{00000000-0008-0000-0100-0000C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91" name="Drop Down 1" hidden="1">
          <a:extLst>
            <a:ext uri="{FF2B5EF4-FFF2-40B4-BE49-F238E27FC236}">
              <a16:creationId xmlns:a16="http://schemas.microsoft.com/office/drawing/2014/main" id="{00000000-0008-0000-0100-0000C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92" name="Drop Down 1" hidden="1">
          <a:extLst>
            <a:ext uri="{FF2B5EF4-FFF2-40B4-BE49-F238E27FC236}">
              <a16:creationId xmlns:a16="http://schemas.microsoft.com/office/drawing/2014/main" id="{00000000-0008-0000-0100-0000D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93" name="Drop Down 2" hidden="1">
          <a:extLst>
            <a:ext uri="{FF2B5EF4-FFF2-40B4-BE49-F238E27FC236}">
              <a16:creationId xmlns:a16="http://schemas.microsoft.com/office/drawing/2014/main" id="{00000000-0008-0000-0100-0000D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94" name="Drop Down 1" hidden="1">
          <a:extLst>
            <a:ext uri="{FF2B5EF4-FFF2-40B4-BE49-F238E27FC236}">
              <a16:creationId xmlns:a16="http://schemas.microsoft.com/office/drawing/2014/main" id="{00000000-0008-0000-0100-0000D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795" name="Drop Down -1022" hidden="1">
          <a:extLst>
            <a:ext uri="{FF2B5EF4-FFF2-40B4-BE49-F238E27FC236}">
              <a16:creationId xmlns:a16="http://schemas.microsoft.com/office/drawing/2014/main" id="{00000000-0008-0000-0100-0000D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96" name="Drop Down 1" hidden="1">
          <a:extLst>
            <a:ext uri="{FF2B5EF4-FFF2-40B4-BE49-F238E27FC236}">
              <a16:creationId xmlns:a16="http://schemas.microsoft.com/office/drawing/2014/main" id="{00000000-0008-0000-0100-0000D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97" name="Drop Down 1" hidden="1">
          <a:extLst>
            <a:ext uri="{FF2B5EF4-FFF2-40B4-BE49-F238E27FC236}">
              <a16:creationId xmlns:a16="http://schemas.microsoft.com/office/drawing/2014/main" id="{00000000-0008-0000-0100-0000D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98" name="Drop Down 1" hidden="1">
          <a:extLst>
            <a:ext uri="{FF2B5EF4-FFF2-40B4-BE49-F238E27FC236}">
              <a16:creationId xmlns:a16="http://schemas.microsoft.com/office/drawing/2014/main" id="{00000000-0008-0000-0100-0000D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799" name="Drop Down 1" hidden="1">
          <a:extLst>
            <a:ext uri="{FF2B5EF4-FFF2-40B4-BE49-F238E27FC236}">
              <a16:creationId xmlns:a16="http://schemas.microsoft.com/office/drawing/2014/main" id="{00000000-0008-0000-0100-0000D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00" name="Drop Down 2" hidden="1">
          <a:extLst>
            <a:ext uri="{FF2B5EF4-FFF2-40B4-BE49-F238E27FC236}">
              <a16:creationId xmlns:a16="http://schemas.microsoft.com/office/drawing/2014/main" id="{00000000-0008-0000-0100-0000D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01" name="Drop Down 1" hidden="1">
          <a:extLst>
            <a:ext uri="{FF2B5EF4-FFF2-40B4-BE49-F238E27FC236}">
              <a16:creationId xmlns:a16="http://schemas.microsoft.com/office/drawing/2014/main" id="{00000000-0008-0000-0100-0000D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02" name="Drop Down -1022" hidden="1">
          <a:extLst>
            <a:ext uri="{FF2B5EF4-FFF2-40B4-BE49-F238E27FC236}">
              <a16:creationId xmlns:a16="http://schemas.microsoft.com/office/drawing/2014/main" id="{00000000-0008-0000-0100-0000D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03" name="Drop Down 1" hidden="1">
          <a:extLst>
            <a:ext uri="{FF2B5EF4-FFF2-40B4-BE49-F238E27FC236}">
              <a16:creationId xmlns:a16="http://schemas.microsoft.com/office/drawing/2014/main" id="{00000000-0008-0000-0100-0000D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04" name="Drop Down 1" hidden="1">
          <a:extLst>
            <a:ext uri="{FF2B5EF4-FFF2-40B4-BE49-F238E27FC236}">
              <a16:creationId xmlns:a16="http://schemas.microsoft.com/office/drawing/2014/main" id="{00000000-0008-0000-0100-0000D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05" name="Drop Down 1" hidden="1">
          <a:extLst>
            <a:ext uri="{FF2B5EF4-FFF2-40B4-BE49-F238E27FC236}">
              <a16:creationId xmlns:a16="http://schemas.microsoft.com/office/drawing/2014/main" id="{00000000-0008-0000-0100-0000D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06" name="Drop Down 1" hidden="1">
          <a:extLst>
            <a:ext uri="{FF2B5EF4-FFF2-40B4-BE49-F238E27FC236}">
              <a16:creationId xmlns:a16="http://schemas.microsoft.com/office/drawing/2014/main" id="{00000000-0008-0000-0100-0000D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07" name="Drop Down 2" hidden="1">
          <a:extLst>
            <a:ext uri="{FF2B5EF4-FFF2-40B4-BE49-F238E27FC236}">
              <a16:creationId xmlns:a16="http://schemas.microsoft.com/office/drawing/2014/main" id="{00000000-0008-0000-0100-0000D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08" name="Drop Down 1" hidden="1">
          <a:extLst>
            <a:ext uri="{FF2B5EF4-FFF2-40B4-BE49-F238E27FC236}">
              <a16:creationId xmlns:a16="http://schemas.microsoft.com/office/drawing/2014/main" id="{00000000-0008-0000-0100-0000E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09" name="Drop Down -1022" hidden="1">
          <a:extLst>
            <a:ext uri="{FF2B5EF4-FFF2-40B4-BE49-F238E27FC236}">
              <a16:creationId xmlns:a16="http://schemas.microsoft.com/office/drawing/2014/main" id="{00000000-0008-0000-0100-0000E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10" name="Drop Down 1" hidden="1">
          <a:extLst>
            <a:ext uri="{FF2B5EF4-FFF2-40B4-BE49-F238E27FC236}">
              <a16:creationId xmlns:a16="http://schemas.microsoft.com/office/drawing/2014/main" id="{00000000-0008-0000-0100-0000E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11" name="Drop Down 1" hidden="1">
          <a:extLst>
            <a:ext uri="{FF2B5EF4-FFF2-40B4-BE49-F238E27FC236}">
              <a16:creationId xmlns:a16="http://schemas.microsoft.com/office/drawing/2014/main" id="{00000000-0008-0000-0100-0000E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12" name="Drop Down 1" hidden="1">
          <a:extLst>
            <a:ext uri="{FF2B5EF4-FFF2-40B4-BE49-F238E27FC236}">
              <a16:creationId xmlns:a16="http://schemas.microsoft.com/office/drawing/2014/main" id="{00000000-0008-0000-0100-0000E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13" name="Drop Down 1" hidden="1">
          <a:extLst>
            <a:ext uri="{FF2B5EF4-FFF2-40B4-BE49-F238E27FC236}">
              <a16:creationId xmlns:a16="http://schemas.microsoft.com/office/drawing/2014/main" id="{00000000-0008-0000-0100-0000E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14" name="Drop Down 2" hidden="1">
          <a:extLst>
            <a:ext uri="{FF2B5EF4-FFF2-40B4-BE49-F238E27FC236}">
              <a16:creationId xmlns:a16="http://schemas.microsoft.com/office/drawing/2014/main" id="{00000000-0008-0000-0100-0000E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15" name="Drop Down 1" hidden="1">
          <a:extLst>
            <a:ext uri="{FF2B5EF4-FFF2-40B4-BE49-F238E27FC236}">
              <a16:creationId xmlns:a16="http://schemas.microsoft.com/office/drawing/2014/main" id="{00000000-0008-0000-0100-0000E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16" name="Drop Down -1022" hidden="1">
          <a:extLst>
            <a:ext uri="{FF2B5EF4-FFF2-40B4-BE49-F238E27FC236}">
              <a16:creationId xmlns:a16="http://schemas.microsoft.com/office/drawing/2014/main" id="{00000000-0008-0000-0100-0000E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17" name="Drop Down 1" hidden="1">
          <a:extLst>
            <a:ext uri="{FF2B5EF4-FFF2-40B4-BE49-F238E27FC236}">
              <a16:creationId xmlns:a16="http://schemas.microsoft.com/office/drawing/2014/main" id="{00000000-0008-0000-0100-0000E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18" name="Drop Down 1" hidden="1">
          <a:extLst>
            <a:ext uri="{FF2B5EF4-FFF2-40B4-BE49-F238E27FC236}">
              <a16:creationId xmlns:a16="http://schemas.microsoft.com/office/drawing/2014/main" id="{00000000-0008-0000-0100-0000E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19" name="Drop Down 1" hidden="1">
          <a:extLst>
            <a:ext uri="{FF2B5EF4-FFF2-40B4-BE49-F238E27FC236}">
              <a16:creationId xmlns:a16="http://schemas.microsoft.com/office/drawing/2014/main" id="{00000000-0008-0000-0100-0000E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20" name="Drop Down 1" hidden="1">
          <a:extLst>
            <a:ext uri="{FF2B5EF4-FFF2-40B4-BE49-F238E27FC236}">
              <a16:creationId xmlns:a16="http://schemas.microsoft.com/office/drawing/2014/main" id="{00000000-0008-0000-0100-0000E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21" name="Drop Down 2" hidden="1">
          <a:extLst>
            <a:ext uri="{FF2B5EF4-FFF2-40B4-BE49-F238E27FC236}">
              <a16:creationId xmlns:a16="http://schemas.microsoft.com/office/drawing/2014/main" id="{00000000-0008-0000-0100-0000E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22" name="Drop Down 1" hidden="1">
          <a:extLst>
            <a:ext uri="{FF2B5EF4-FFF2-40B4-BE49-F238E27FC236}">
              <a16:creationId xmlns:a16="http://schemas.microsoft.com/office/drawing/2014/main" id="{00000000-0008-0000-0100-0000E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23" name="Drop Down -1022" hidden="1">
          <a:extLst>
            <a:ext uri="{FF2B5EF4-FFF2-40B4-BE49-F238E27FC236}">
              <a16:creationId xmlns:a16="http://schemas.microsoft.com/office/drawing/2014/main" id="{00000000-0008-0000-0100-0000E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24" name="Drop Down 1" hidden="1">
          <a:extLst>
            <a:ext uri="{FF2B5EF4-FFF2-40B4-BE49-F238E27FC236}">
              <a16:creationId xmlns:a16="http://schemas.microsoft.com/office/drawing/2014/main" id="{00000000-0008-0000-0100-0000F0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25" name="Drop Down 1" hidden="1">
          <a:extLst>
            <a:ext uri="{FF2B5EF4-FFF2-40B4-BE49-F238E27FC236}">
              <a16:creationId xmlns:a16="http://schemas.microsoft.com/office/drawing/2014/main" id="{00000000-0008-0000-0100-0000F1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26" name="Drop Down 1" hidden="1">
          <a:extLst>
            <a:ext uri="{FF2B5EF4-FFF2-40B4-BE49-F238E27FC236}">
              <a16:creationId xmlns:a16="http://schemas.microsoft.com/office/drawing/2014/main" id="{00000000-0008-0000-0100-0000F2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27" name="Drop Down 1" hidden="1">
          <a:extLst>
            <a:ext uri="{FF2B5EF4-FFF2-40B4-BE49-F238E27FC236}">
              <a16:creationId xmlns:a16="http://schemas.microsoft.com/office/drawing/2014/main" id="{00000000-0008-0000-0100-0000F3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28" name="Drop Down 2" hidden="1">
          <a:extLst>
            <a:ext uri="{FF2B5EF4-FFF2-40B4-BE49-F238E27FC236}">
              <a16:creationId xmlns:a16="http://schemas.microsoft.com/office/drawing/2014/main" id="{00000000-0008-0000-0100-0000F4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29" name="Drop Down 1" hidden="1">
          <a:extLst>
            <a:ext uri="{FF2B5EF4-FFF2-40B4-BE49-F238E27FC236}">
              <a16:creationId xmlns:a16="http://schemas.microsoft.com/office/drawing/2014/main" id="{00000000-0008-0000-0100-0000F5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30" name="Drop Down -1022" hidden="1">
          <a:extLst>
            <a:ext uri="{FF2B5EF4-FFF2-40B4-BE49-F238E27FC236}">
              <a16:creationId xmlns:a16="http://schemas.microsoft.com/office/drawing/2014/main" id="{00000000-0008-0000-0100-0000F6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31" name="Drop Down 1" hidden="1">
          <a:extLst>
            <a:ext uri="{FF2B5EF4-FFF2-40B4-BE49-F238E27FC236}">
              <a16:creationId xmlns:a16="http://schemas.microsoft.com/office/drawing/2014/main" id="{00000000-0008-0000-0100-0000F7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32" name="Drop Down 1" hidden="1">
          <a:extLst>
            <a:ext uri="{FF2B5EF4-FFF2-40B4-BE49-F238E27FC236}">
              <a16:creationId xmlns:a16="http://schemas.microsoft.com/office/drawing/2014/main" id="{00000000-0008-0000-0100-0000F8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33" name="Drop Down 1" hidden="1">
          <a:extLst>
            <a:ext uri="{FF2B5EF4-FFF2-40B4-BE49-F238E27FC236}">
              <a16:creationId xmlns:a16="http://schemas.microsoft.com/office/drawing/2014/main" id="{00000000-0008-0000-0100-0000F9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34" name="Drop Down 1" hidden="1">
          <a:extLst>
            <a:ext uri="{FF2B5EF4-FFF2-40B4-BE49-F238E27FC236}">
              <a16:creationId xmlns:a16="http://schemas.microsoft.com/office/drawing/2014/main" id="{00000000-0008-0000-0100-0000FA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35" name="Drop Down 2" hidden="1">
          <a:extLst>
            <a:ext uri="{FF2B5EF4-FFF2-40B4-BE49-F238E27FC236}">
              <a16:creationId xmlns:a16="http://schemas.microsoft.com/office/drawing/2014/main" id="{00000000-0008-0000-0100-0000FB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36" name="Drop Down 1" hidden="1">
          <a:extLst>
            <a:ext uri="{FF2B5EF4-FFF2-40B4-BE49-F238E27FC236}">
              <a16:creationId xmlns:a16="http://schemas.microsoft.com/office/drawing/2014/main" id="{00000000-0008-0000-0100-0000FC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37" name="Drop Down -1022" hidden="1">
          <a:extLst>
            <a:ext uri="{FF2B5EF4-FFF2-40B4-BE49-F238E27FC236}">
              <a16:creationId xmlns:a16="http://schemas.microsoft.com/office/drawing/2014/main" id="{00000000-0008-0000-0100-0000FD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38" name="Drop Down 1" hidden="1">
          <a:extLst>
            <a:ext uri="{FF2B5EF4-FFF2-40B4-BE49-F238E27FC236}">
              <a16:creationId xmlns:a16="http://schemas.microsoft.com/office/drawing/2014/main" id="{00000000-0008-0000-0100-0000FE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39" name="Drop Down 1" hidden="1">
          <a:extLst>
            <a:ext uri="{FF2B5EF4-FFF2-40B4-BE49-F238E27FC236}">
              <a16:creationId xmlns:a16="http://schemas.microsoft.com/office/drawing/2014/main" id="{00000000-0008-0000-0100-0000FF0E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40" name="Drop Down 1" hidden="1">
          <a:extLst>
            <a:ext uri="{FF2B5EF4-FFF2-40B4-BE49-F238E27FC236}">
              <a16:creationId xmlns:a16="http://schemas.microsoft.com/office/drawing/2014/main" id="{00000000-0008-0000-0100-00000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41" name="Drop Down 1" hidden="1">
          <a:extLst>
            <a:ext uri="{FF2B5EF4-FFF2-40B4-BE49-F238E27FC236}">
              <a16:creationId xmlns:a16="http://schemas.microsoft.com/office/drawing/2014/main" id="{00000000-0008-0000-0100-00000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42" name="Drop Down 2" hidden="1">
          <a:extLst>
            <a:ext uri="{FF2B5EF4-FFF2-40B4-BE49-F238E27FC236}">
              <a16:creationId xmlns:a16="http://schemas.microsoft.com/office/drawing/2014/main" id="{00000000-0008-0000-0100-00000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43" name="Drop Down 1" hidden="1">
          <a:extLst>
            <a:ext uri="{FF2B5EF4-FFF2-40B4-BE49-F238E27FC236}">
              <a16:creationId xmlns:a16="http://schemas.microsoft.com/office/drawing/2014/main" id="{00000000-0008-0000-0100-00000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44" name="Drop Down -1022" hidden="1">
          <a:extLst>
            <a:ext uri="{FF2B5EF4-FFF2-40B4-BE49-F238E27FC236}">
              <a16:creationId xmlns:a16="http://schemas.microsoft.com/office/drawing/2014/main" id="{00000000-0008-0000-0100-00000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45" name="Drop Down 1" hidden="1">
          <a:extLst>
            <a:ext uri="{FF2B5EF4-FFF2-40B4-BE49-F238E27FC236}">
              <a16:creationId xmlns:a16="http://schemas.microsoft.com/office/drawing/2014/main" id="{00000000-0008-0000-0100-00000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46" name="Drop Down 1" hidden="1">
          <a:extLst>
            <a:ext uri="{FF2B5EF4-FFF2-40B4-BE49-F238E27FC236}">
              <a16:creationId xmlns:a16="http://schemas.microsoft.com/office/drawing/2014/main" id="{00000000-0008-0000-0100-00000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47" name="Drop Down 1" hidden="1">
          <a:extLst>
            <a:ext uri="{FF2B5EF4-FFF2-40B4-BE49-F238E27FC236}">
              <a16:creationId xmlns:a16="http://schemas.microsoft.com/office/drawing/2014/main" id="{00000000-0008-0000-0100-00000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48" name="Drop Down 1" hidden="1">
          <a:extLst>
            <a:ext uri="{FF2B5EF4-FFF2-40B4-BE49-F238E27FC236}">
              <a16:creationId xmlns:a16="http://schemas.microsoft.com/office/drawing/2014/main" id="{00000000-0008-0000-0100-00000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49" name="Drop Down 2" hidden="1">
          <a:extLst>
            <a:ext uri="{FF2B5EF4-FFF2-40B4-BE49-F238E27FC236}">
              <a16:creationId xmlns:a16="http://schemas.microsoft.com/office/drawing/2014/main" id="{00000000-0008-0000-0100-00000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50" name="Drop Down 1" hidden="1">
          <a:extLst>
            <a:ext uri="{FF2B5EF4-FFF2-40B4-BE49-F238E27FC236}">
              <a16:creationId xmlns:a16="http://schemas.microsoft.com/office/drawing/2014/main" id="{00000000-0008-0000-0100-00000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51" name="Drop Down -1022" hidden="1">
          <a:extLst>
            <a:ext uri="{FF2B5EF4-FFF2-40B4-BE49-F238E27FC236}">
              <a16:creationId xmlns:a16="http://schemas.microsoft.com/office/drawing/2014/main" id="{00000000-0008-0000-0100-00000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52" name="Drop Down 1" hidden="1">
          <a:extLst>
            <a:ext uri="{FF2B5EF4-FFF2-40B4-BE49-F238E27FC236}">
              <a16:creationId xmlns:a16="http://schemas.microsoft.com/office/drawing/2014/main" id="{00000000-0008-0000-0100-00000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53" name="Drop Down 1" hidden="1">
          <a:extLst>
            <a:ext uri="{FF2B5EF4-FFF2-40B4-BE49-F238E27FC236}">
              <a16:creationId xmlns:a16="http://schemas.microsoft.com/office/drawing/2014/main" id="{00000000-0008-0000-0100-00000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54" name="Drop Down 1" hidden="1">
          <a:extLst>
            <a:ext uri="{FF2B5EF4-FFF2-40B4-BE49-F238E27FC236}">
              <a16:creationId xmlns:a16="http://schemas.microsoft.com/office/drawing/2014/main" id="{00000000-0008-0000-0100-00000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55" name="Drop Down 1" hidden="1">
          <a:extLst>
            <a:ext uri="{FF2B5EF4-FFF2-40B4-BE49-F238E27FC236}">
              <a16:creationId xmlns:a16="http://schemas.microsoft.com/office/drawing/2014/main" id="{00000000-0008-0000-0100-00000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56" name="Drop Down 2" hidden="1">
          <a:extLst>
            <a:ext uri="{FF2B5EF4-FFF2-40B4-BE49-F238E27FC236}">
              <a16:creationId xmlns:a16="http://schemas.microsoft.com/office/drawing/2014/main" id="{00000000-0008-0000-0100-00001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57" name="Drop Down 1" hidden="1">
          <a:extLst>
            <a:ext uri="{FF2B5EF4-FFF2-40B4-BE49-F238E27FC236}">
              <a16:creationId xmlns:a16="http://schemas.microsoft.com/office/drawing/2014/main" id="{00000000-0008-0000-0100-00001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58" name="Drop Down -1022" hidden="1">
          <a:extLst>
            <a:ext uri="{FF2B5EF4-FFF2-40B4-BE49-F238E27FC236}">
              <a16:creationId xmlns:a16="http://schemas.microsoft.com/office/drawing/2014/main" id="{00000000-0008-0000-0100-00001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59" name="Drop Down 1" hidden="1">
          <a:extLst>
            <a:ext uri="{FF2B5EF4-FFF2-40B4-BE49-F238E27FC236}">
              <a16:creationId xmlns:a16="http://schemas.microsoft.com/office/drawing/2014/main" id="{00000000-0008-0000-0100-00001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60" name="Drop Down 1" hidden="1">
          <a:extLst>
            <a:ext uri="{FF2B5EF4-FFF2-40B4-BE49-F238E27FC236}">
              <a16:creationId xmlns:a16="http://schemas.microsoft.com/office/drawing/2014/main" id="{00000000-0008-0000-0100-00001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61" name="Drop Down 1" hidden="1">
          <a:extLst>
            <a:ext uri="{FF2B5EF4-FFF2-40B4-BE49-F238E27FC236}">
              <a16:creationId xmlns:a16="http://schemas.microsoft.com/office/drawing/2014/main" id="{00000000-0008-0000-0100-00001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62" name="Drop Down 1" hidden="1">
          <a:extLst>
            <a:ext uri="{FF2B5EF4-FFF2-40B4-BE49-F238E27FC236}">
              <a16:creationId xmlns:a16="http://schemas.microsoft.com/office/drawing/2014/main" id="{00000000-0008-0000-0100-00001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63" name="Drop Down 2" hidden="1">
          <a:extLst>
            <a:ext uri="{FF2B5EF4-FFF2-40B4-BE49-F238E27FC236}">
              <a16:creationId xmlns:a16="http://schemas.microsoft.com/office/drawing/2014/main" id="{00000000-0008-0000-0100-00001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64" name="Drop Down 1" hidden="1">
          <a:extLst>
            <a:ext uri="{FF2B5EF4-FFF2-40B4-BE49-F238E27FC236}">
              <a16:creationId xmlns:a16="http://schemas.microsoft.com/office/drawing/2014/main" id="{00000000-0008-0000-0100-00001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65" name="Drop Down -1022" hidden="1">
          <a:extLst>
            <a:ext uri="{FF2B5EF4-FFF2-40B4-BE49-F238E27FC236}">
              <a16:creationId xmlns:a16="http://schemas.microsoft.com/office/drawing/2014/main" id="{00000000-0008-0000-0100-00001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66" name="Drop Down 1" hidden="1">
          <a:extLst>
            <a:ext uri="{FF2B5EF4-FFF2-40B4-BE49-F238E27FC236}">
              <a16:creationId xmlns:a16="http://schemas.microsoft.com/office/drawing/2014/main" id="{00000000-0008-0000-0100-00001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67" name="Drop Down 1" hidden="1">
          <a:extLst>
            <a:ext uri="{FF2B5EF4-FFF2-40B4-BE49-F238E27FC236}">
              <a16:creationId xmlns:a16="http://schemas.microsoft.com/office/drawing/2014/main" id="{00000000-0008-0000-0100-00001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68" name="Drop Down 1" hidden="1">
          <a:extLst>
            <a:ext uri="{FF2B5EF4-FFF2-40B4-BE49-F238E27FC236}">
              <a16:creationId xmlns:a16="http://schemas.microsoft.com/office/drawing/2014/main" id="{00000000-0008-0000-0100-00001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69" name="Drop Down 1" hidden="1">
          <a:extLst>
            <a:ext uri="{FF2B5EF4-FFF2-40B4-BE49-F238E27FC236}">
              <a16:creationId xmlns:a16="http://schemas.microsoft.com/office/drawing/2014/main" id="{00000000-0008-0000-0100-00001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70" name="Drop Down 2" hidden="1">
          <a:extLst>
            <a:ext uri="{FF2B5EF4-FFF2-40B4-BE49-F238E27FC236}">
              <a16:creationId xmlns:a16="http://schemas.microsoft.com/office/drawing/2014/main" id="{00000000-0008-0000-0100-00001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71" name="Drop Down 1" hidden="1">
          <a:extLst>
            <a:ext uri="{FF2B5EF4-FFF2-40B4-BE49-F238E27FC236}">
              <a16:creationId xmlns:a16="http://schemas.microsoft.com/office/drawing/2014/main" id="{00000000-0008-0000-0100-00001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72" name="Drop Down -1022" hidden="1">
          <a:extLst>
            <a:ext uri="{FF2B5EF4-FFF2-40B4-BE49-F238E27FC236}">
              <a16:creationId xmlns:a16="http://schemas.microsoft.com/office/drawing/2014/main" id="{00000000-0008-0000-0100-00002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73" name="Drop Down 1" hidden="1">
          <a:extLst>
            <a:ext uri="{FF2B5EF4-FFF2-40B4-BE49-F238E27FC236}">
              <a16:creationId xmlns:a16="http://schemas.microsoft.com/office/drawing/2014/main" id="{00000000-0008-0000-0100-00002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74" name="Drop Down 1" hidden="1">
          <a:extLst>
            <a:ext uri="{FF2B5EF4-FFF2-40B4-BE49-F238E27FC236}">
              <a16:creationId xmlns:a16="http://schemas.microsoft.com/office/drawing/2014/main" id="{00000000-0008-0000-0100-00002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75" name="Drop Down 1" hidden="1">
          <a:extLst>
            <a:ext uri="{FF2B5EF4-FFF2-40B4-BE49-F238E27FC236}">
              <a16:creationId xmlns:a16="http://schemas.microsoft.com/office/drawing/2014/main" id="{00000000-0008-0000-0100-00002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76" name="Drop Down 1" hidden="1">
          <a:extLst>
            <a:ext uri="{FF2B5EF4-FFF2-40B4-BE49-F238E27FC236}">
              <a16:creationId xmlns:a16="http://schemas.microsoft.com/office/drawing/2014/main" id="{00000000-0008-0000-0100-00002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77" name="Drop Down 2" hidden="1">
          <a:extLst>
            <a:ext uri="{FF2B5EF4-FFF2-40B4-BE49-F238E27FC236}">
              <a16:creationId xmlns:a16="http://schemas.microsoft.com/office/drawing/2014/main" id="{00000000-0008-0000-0100-00002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78" name="Drop Down 1" hidden="1">
          <a:extLst>
            <a:ext uri="{FF2B5EF4-FFF2-40B4-BE49-F238E27FC236}">
              <a16:creationId xmlns:a16="http://schemas.microsoft.com/office/drawing/2014/main" id="{00000000-0008-0000-0100-00002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879" name="Drop Down -1022" hidden="1">
          <a:extLst>
            <a:ext uri="{FF2B5EF4-FFF2-40B4-BE49-F238E27FC236}">
              <a16:creationId xmlns:a16="http://schemas.microsoft.com/office/drawing/2014/main" id="{00000000-0008-0000-0100-00002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80" name="Drop Down 1" hidden="1">
          <a:extLst>
            <a:ext uri="{FF2B5EF4-FFF2-40B4-BE49-F238E27FC236}">
              <a16:creationId xmlns:a16="http://schemas.microsoft.com/office/drawing/2014/main" id="{00000000-0008-0000-0100-00002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81" name="Drop Down 1" hidden="1">
          <a:extLst>
            <a:ext uri="{FF2B5EF4-FFF2-40B4-BE49-F238E27FC236}">
              <a16:creationId xmlns:a16="http://schemas.microsoft.com/office/drawing/2014/main" id="{00000000-0008-0000-0100-00002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82" name="Drop Down 1" hidden="1">
          <a:extLst>
            <a:ext uri="{FF2B5EF4-FFF2-40B4-BE49-F238E27FC236}">
              <a16:creationId xmlns:a16="http://schemas.microsoft.com/office/drawing/2014/main" id="{00000000-0008-0000-0100-00002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83" name="Drop Down 1" hidden="1">
          <a:extLst>
            <a:ext uri="{FF2B5EF4-FFF2-40B4-BE49-F238E27FC236}">
              <a16:creationId xmlns:a16="http://schemas.microsoft.com/office/drawing/2014/main" id="{00000000-0008-0000-0100-00002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84" name="Drop Down 2" hidden="1">
          <a:extLst>
            <a:ext uri="{FF2B5EF4-FFF2-40B4-BE49-F238E27FC236}">
              <a16:creationId xmlns:a16="http://schemas.microsoft.com/office/drawing/2014/main" id="{00000000-0008-0000-0100-00002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85" name="Drop Down 1" hidden="1">
          <a:extLst>
            <a:ext uri="{FF2B5EF4-FFF2-40B4-BE49-F238E27FC236}">
              <a16:creationId xmlns:a16="http://schemas.microsoft.com/office/drawing/2014/main" id="{00000000-0008-0000-0100-00002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886" name="Drop Down -1022" hidden="1">
          <a:extLst>
            <a:ext uri="{FF2B5EF4-FFF2-40B4-BE49-F238E27FC236}">
              <a16:creationId xmlns:a16="http://schemas.microsoft.com/office/drawing/2014/main" id="{00000000-0008-0000-0100-00002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87" name="Drop Down 1" hidden="1">
          <a:extLst>
            <a:ext uri="{FF2B5EF4-FFF2-40B4-BE49-F238E27FC236}">
              <a16:creationId xmlns:a16="http://schemas.microsoft.com/office/drawing/2014/main" id="{00000000-0008-0000-0100-00002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88" name="Drop Down 1" hidden="1">
          <a:extLst>
            <a:ext uri="{FF2B5EF4-FFF2-40B4-BE49-F238E27FC236}">
              <a16:creationId xmlns:a16="http://schemas.microsoft.com/office/drawing/2014/main" id="{00000000-0008-0000-0100-00003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89" name="Drop Down 1" hidden="1">
          <a:extLst>
            <a:ext uri="{FF2B5EF4-FFF2-40B4-BE49-F238E27FC236}">
              <a16:creationId xmlns:a16="http://schemas.microsoft.com/office/drawing/2014/main" id="{00000000-0008-0000-0100-00003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90" name="Drop Down 1" hidden="1">
          <a:extLst>
            <a:ext uri="{FF2B5EF4-FFF2-40B4-BE49-F238E27FC236}">
              <a16:creationId xmlns:a16="http://schemas.microsoft.com/office/drawing/2014/main" id="{00000000-0008-0000-0100-00003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91" name="Drop Down 2" hidden="1">
          <a:extLst>
            <a:ext uri="{FF2B5EF4-FFF2-40B4-BE49-F238E27FC236}">
              <a16:creationId xmlns:a16="http://schemas.microsoft.com/office/drawing/2014/main" id="{00000000-0008-0000-0100-00003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92" name="Drop Down 1" hidden="1">
          <a:extLst>
            <a:ext uri="{FF2B5EF4-FFF2-40B4-BE49-F238E27FC236}">
              <a16:creationId xmlns:a16="http://schemas.microsoft.com/office/drawing/2014/main" id="{00000000-0008-0000-0100-00003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893" name="Drop Down -1022" hidden="1">
          <a:extLst>
            <a:ext uri="{FF2B5EF4-FFF2-40B4-BE49-F238E27FC236}">
              <a16:creationId xmlns:a16="http://schemas.microsoft.com/office/drawing/2014/main" id="{00000000-0008-0000-0100-00003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94" name="Drop Down 1" hidden="1">
          <a:extLst>
            <a:ext uri="{FF2B5EF4-FFF2-40B4-BE49-F238E27FC236}">
              <a16:creationId xmlns:a16="http://schemas.microsoft.com/office/drawing/2014/main" id="{00000000-0008-0000-0100-00003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95" name="Drop Down 1" hidden="1">
          <a:extLst>
            <a:ext uri="{FF2B5EF4-FFF2-40B4-BE49-F238E27FC236}">
              <a16:creationId xmlns:a16="http://schemas.microsoft.com/office/drawing/2014/main" id="{00000000-0008-0000-0100-00003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96" name="Drop Down 1" hidden="1">
          <a:extLst>
            <a:ext uri="{FF2B5EF4-FFF2-40B4-BE49-F238E27FC236}">
              <a16:creationId xmlns:a16="http://schemas.microsoft.com/office/drawing/2014/main" id="{00000000-0008-0000-0100-00003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97" name="Drop Down 1" hidden="1">
          <a:extLst>
            <a:ext uri="{FF2B5EF4-FFF2-40B4-BE49-F238E27FC236}">
              <a16:creationId xmlns:a16="http://schemas.microsoft.com/office/drawing/2014/main" id="{00000000-0008-0000-0100-00003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98" name="Drop Down 2" hidden="1">
          <a:extLst>
            <a:ext uri="{FF2B5EF4-FFF2-40B4-BE49-F238E27FC236}">
              <a16:creationId xmlns:a16="http://schemas.microsoft.com/office/drawing/2014/main" id="{00000000-0008-0000-0100-00003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899" name="Drop Down 1" hidden="1">
          <a:extLst>
            <a:ext uri="{FF2B5EF4-FFF2-40B4-BE49-F238E27FC236}">
              <a16:creationId xmlns:a16="http://schemas.microsoft.com/office/drawing/2014/main" id="{00000000-0008-0000-0100-00003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00" name="Drop Down -1022" hidden="1">
          <a:extLst>
            <a:ext uri="{FF2B5EF4-FFF2-40B4-BE49-F238E27FC236}">
              <a16:creationId xmlns:a16="http://schemas.microsoft.com/office/drawing/2014/main" id="{00000000-0008-0000-0100-00003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01" name="Drop Down 1" hidden="1">
          <a:extLst>
            <a:ext uri="{FF2B5EF4-FFF2-40B4-BE49-F238E27FC236}">
              <a16:creationId xmlns:a16="http://schemas.microsoft.com/office/drawing/2014/main" id="{00000000-0008-0000-0100-00003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02" name="Drop Down 1" hidden="1">
          <a:extLst>
            <a:ext uri="{FF2B5EF4-FFF2-40B4-BE49-F238E27FC236}">
              <a16:creationId xmlns:a16="http://schemas.microsoft.com/office/drawing/2014/main" id="{00000000-0008-0000-0100-00003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03" name="Drop Down 1" hidden="1">
          <a:extLst>
            <a:ext uri="{FF2B5EF4-FFF2-40B4-BE49-F238E27FC236}">
              <a16:creationId xmlns:a16="http://schemas.microsoft.com/office/drawing/2014/main" id="{00000000-0008-0000-0100-00003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04" name="Drop Down 1" hidden="1">
          <a:extLst>
            <a:ext uri="{FF2B5EF4-FFF2-40B4-BE49-F238E27FC236}">
              <a16:creationId xmlns:a16="http://schemas.microsoft.com/office/drawing/2014/main" id="{00000000-0008-0000-0100-00004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05" name="Drop Down 2" hidden="1">
          <a:extLst>
            <a:ext uri="{FF2B5EF4-FFF2-40B4-BE49-F238E27FC236}">
              <a16:creationId xmlns:a16="http://schemas.microsoft.com/office/drawing/2014/main" id="{00000000-0008-0000-0100-00004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06" name="Drop Down 1" hidden="1">
          <a:extLst>
            <a:ext uri="{FF2B5EF4-FFF2-40B4-BE49-F238E27FC236}">
              <a16:creationId xmlns:a16="http://schemas.microsoft.com/office/drawing/2014/main" id="{00000000-0008-0000-0100-00004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07" name="Drop Down -1022" hidden="1">
          <a:extLst>
            <a:ext uri="{FF2B5EF4-FFF2-40B4-BE49-F238E27FC236}">
              <a16:creationId xmlns:a16="http://schemas.microsoft.com/office/drawing/2014/main" id="{00000000-0008-0000-0100-00004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08" name="Drop Down 1" hidden="1">
          <a:extLst>
            <a:ext uri="{FF2B5EF4-FFF2-40B4-BE49-F238E27FC236}">
              <a16:creationId xmlns:a16="http://schemas.microsoft.com/office/drawing/2014/main" id="{00000000-0008-0000-0100-00004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09" name="Drop Down 1" hidden="1">
          <a:extLst>
            <a:ext uri="{FF2B5EF4-FFF2-40B4-BE49-F238E27FC236}">
              <a16:creationId xmlns:a16="http://schemas.microsoft.com/office/drawing/2014/main" id="{00000000-0008-0000-0100-00004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10" name="Drop Down 1" hidden="1">
          <a:extLst>
            <a:ext uri="{FF2B5EF4-FFF2-40B4-BE49-F238E27FC236}">
              <a16:creationId xmlns:a16="http://schemas.microsoft.com/office/drawing/2014/main" id="{00000000-0008-0000-0100-00004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11" name="Drop Down 1" hidden="1">
          <a:extLst>
            <a:ext uri="{FF2B5EF4-FFF2-40B4-BE49-F238E27FC236}">
              <a16:creationId xmlns:a16="http://schemas.microsoft.com/office/drawing/2014/main" id="{00000000-0008-0000-0100-00004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12" name="Drop Down 2" hidden="1">
          <a:extLst>
            <a:ext uri="{FF2B5EF4-FFF2-40B4-BE49-F238E27FC236}">
              <a16:creationId xmlns:a16="http://schemas.microsoft.com/office/drawing/2014/main" id="{00000000-0008-0000-0100-00004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13" name="Drop Down 1" hidden="1">
          <a:extLst>
            <a:ext uri="{FF2B5EF4-FFF2-40B4-BE49-F238E27FC236}">
              <a16:creationId xmlns:a16="http://schemas.microsoft.com/office/drawing/2014/main" id="{00000000-0008-0000-0100-00004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14" name="Drop Down -1022" hidden="1">
          <a:extLst>
            <a:ext uri="{FF2B5EF4-FFF2-40B4-BE49-F238E27FC236}">
              <a16:creationId xmlns:a16="http://schemas.microsoft.com/office/drawing/2014/main" id="{00000000-0008-0000-0100-00004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15" name="Drop Down 1" hidden="1">
          <a:extLst>
            <a:ext uri="{FF2B5EF4-FFF2-40B4-BE49-F238E27FC236}">
              <a16:creationId xmlns:a16="http://schemas.microsoft.com/office/drawing/2014/main" id="{00000000-0008-0000-0100-00004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16" name="Drop Down 1" hidden="1">
          <a:extLst>
            <a:ext uri="{FF2B5EF4-FFF2-40B4-BE49-F238E27FC236}">
              <a16:creationId xmlns:a16="http://schemas.microsoft.com/office/drawing/2014/main" id="{00000000-0008-0000-0100-00004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17" name="Drop Down 1" hidden="1">
          <a:extLst>
            <a:ext uri="{FF2B5EF4-FFF2-40B4-BE49-F238E27FC236}">
              <a16:creationId xmlns:a16="http://schemas.microsoft.com/office/drawing/2014/main" id="{00000000-0008-0000-0100-00004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18" name="Drop Down 1" hidden="1">
          <a:extLst>
            <a:ext uri="{FF2B5EF4-FFF2-40B4-BE49-F238E27FC236}">
              <a16:creationId xmlns:a16="http://schemas.microsoft.com/office/drawing/2014/main" id="{00000000-0008-0000-0100-00004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19" name="Drop Down 2" hidden="1">
          <a:extLst>
            <a:ext uri="{FF2B5EF4-FFF2-40B4-BE49-F238E27FC236}">
              <a16:creationId xmlns:a16="http://schemas.microsoft.com/office/drawing/2014/main" id="{00000000-0008-0000-0100-00004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20" name="Drop Down 1" hidden="1">
          <a:extLst>
            <a:ext uri="{FF2B5EF4-FFF2-40B4-BE49-F238E27FC236}">
              <a16:creationId xmlns:a16="http://schemas.microsoft.com/office/drawing/2014/main" id="{00000000-0008-0000-0100-00005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21" name="Drop Down -1022" hidden="1">
          <a:extLst>
            <a:ext uri="{FF2B5EF4-FFF2-40B4-BE49-F238E27FC236}">
              <a16:creationId xmlns:a16="http://schemas.microsoft.com/office/drawing/2014/main" id="{00000000-0008-0000-0100-00005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22" name="Drop Down 1" hidden="1">
          <a:extLst>
            <a:ext uri="{FF2B5EF4-FFF2-40B4-BE49-F238E27FC236}">
              <a16:creationId xmlns:a16="http://schemas.microsoft.com/office/drawing/2014/main" id="{00000000-0008-0000-0100-00005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23" name="Drop Down 1" hidden="1">
          <a:extLst>
            <a:ext uri="{FF2B5EF4-FFF2-40B4-BE49-F238E27FC236}">
              <a16:creationId xmlns:a16="http://schemas.microsoft.com/office/drawing/2014/main" id="{00000000-0008-0000-0100-00005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24" name="Drop Down 1" hidden="1">
          <a:extLst>
            <a:ext uri="{FF2B5EF4-FFF2-40B4-BE49-F238E27FC236}">
              <a16:creationId xmlns:a16="http://schemas.microsoft.com/office/drawing/2014/main" id="{00000000-0008-0000-0100-00005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25" name="Drop Down 1" hidden="1">
          <a:extLst>
            <a:ext uri="{FF2B5EF4-FFF2-40B4-BE49-F238E27FC236}">
              <a16:creationId xmlns:a16="http://schemas.microsoft.com/office/drawing/2014/main" id="{00000000-0008-0000-0100-00005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26" name="Drop Down 2" hidden="1">
          <a:extLst>
            <a:ext uri="{FF2B5EF4-FFF2-40B4-BE49-F238E27FC236}">
              <a16:creationId xmlns:a16="http://schemas.microsoft.com/office/drawing/2014/main" id="{00000000-0008-0000-0100-00005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27" name="Drop Down 1" hidden="1">
          <a:extLst>
            <a:ext uri="{FF2B5EF4-FFF2-40B4-BE49-F238E27FC236}">
              <a16:creationId xmlns:a16="http://schemas.microsoft.com/office/drawing/2014/main" id="{00000000-0008-0000-0100-00005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28" name="Drop Down -1022" hidden="1">
          <a:extLst>
            <a:ext uri="{FF2B5EF4-FFF2-40B4-BE49-F238E27FC236}">
              <a16:creationId xmlns:a16="http://schemas.microsoft.com/office/drawing/2014/main" id="{00000000-0008-0000-0100-00005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29" name="Drop Down 1" hidden="1">
          <a:extLst>
            <a:ext uri="{FF2B5EF4-FFF2-40B4-BE49-F238E27FC236}">
              <a16:creationId xmlns:a16="http://schemas.microsoft.com/office/drawing/2014/main" id="{00000000-0008-0000-0100-00005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30" name="Drop Down 1" hidden="1">
          <a:extLst>
            <a:ext uri="{FF2B5EF4-FFF2-40B4-BE49-F238E27FC236}">
              <a16:creationId xmlns:a16="http://schemas.microsoft.com/office/drawing/2014/main" id="{00000000-0008-0000-0100-00005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31" name="Drop Down 1" hidden="1">
          <a:extLst>
            <a:ext uri="{FF2B5EF4-FFF2-40B4-BE49-F238E27FC236}">
              <a16:creationId xmlns:a16="http://schemas.microsoft.com/office/drawing/2014/main" id="{00000000-0008-0000-0100-00005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32" name="Drop Down 1" hidden="1">
          <a:extLst>
            <a:ext uri="{FF2B5EF4-FFF2-40B4-BE49-F238E27FC236}">
              <a16:creationId xmlns:a16="http://schemas.microsoft.com/office/drawing/2014/main" id="{00000000-0008-0000-0100-00005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33" name="Drop Down 2" hidden="1">
          <a:extLst>
            <a:ext uri="{FF2B5EF4-FFF2-40B4-BE49-F238E27FC236}">
              <a16:creationId xmlns:a16="http://schemas.microsoft.com/office/drawing/2014/main" id="{00000000-0008-0000-0100-00005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34" name="Drop Down 1" hidden="1">
          <a:extLst>
            <a:ext uri="{FF2B5EF4-FFF2-40B4-BE49-F238E27FC236}">
              <a16:creationId xmlns:a16="http://schemas.microsoft.com/office/drawing/2014/main" id="{00000000-0008-0000-0100-00005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35" name="Drop Down -1022" hidden="1">
          <a:extLst>
            <a:ext uri="{FF2B5EF4-FFF2-40B4-BE49-F238E27FC236}">
              <a16:creationId xmlns:a16="http://schemas.microsoft.com/office/drawing/2014/main" id="{00000000-0008-0000-0100-00005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36" name="Drop Down 1" hidden="1">
          <a:extLst>
            <a:ext uri="{FF2B5EF4-FFF2-40B4-BE49-F238E27FC236}">
              <a16:creationId xmlns:a16="http://schemas.microsoft.com/office/drawing/2014/main" id="{00000000-0008-0000-0100-00006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37" name="Drop Down 1" hidden="1">
          <a:extLst>
            <a:ext uri="{FF2B5EF4-FFF2-40B4-BE49-F238E27FC236}">
              <a16:creationId xmlns:a16="http://schemas.microsoft.com/office/drawing/2014/main" id="{00000000-0008-0000-0100-00006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38" name="Drop Down 1" hidden="1">
          <a:extLst>
            <a:ext uri="{FF2B5EF4-FFF2-40B4-BE49-F238E27FC236}">
              <a16:creationId xmlns:a16="http://schemas.microsoft.com/office/drawing/2014/main" id="{00000000-0008-0000-0100-00006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39" name="Drop Down 1" hidden="1">
          <a:extLst>
            <a:ext uri="{FF2B5EF4-FFF2-40B4-BE49-F238E27FC236}">
              <a16:creationId xmlns:a16="http://schemas.microsoft.com/office/drawing/2014/main" id="{00000000-0008-0000-0100-00006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40" name="Drop Down 2" hidden="1">
          <a:extLst>
            <a:ext uri="{FF2B5EF4-FFF2-40B4-BE49-F238E27FC236}">
              <a16:creationId xmlns:a16="http://schemas.microsoft.com/office/drawing/2014/main" id="{00000000-0008-0000-0100-00006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41" name="Drop Down 1" hidden="1">
          <a:extLst>
            <a:ext uri="{FF2B5EF4-FFF2-40B4-BE49-F238E27FC236}">
              <a16:creationId xmlns:a16="http://schemas.microsoft.com/office/drawing/2014/main" id="{00000000-0008-0000-0100-00006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42" name="Drop Down -1022" hidden="1">
          <a:extLst>
            <a:ext uri="{FF2B5EF4-FFF2-40B4-BE49-F238E27FC236}">
              <a16:creationId xmlns:a16="http://schemas.microsoft.com/office/drawing/2014/main" id="{00000000-0008-0000-0100-00006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43" name="Drop Down 1" hidden="1">
          <a:extLst>
            <a:ext uri="{FF2B5EF4-FFF2-40B4-BE49-F238E27FC236}">
              <a16:creationId xmlns:a16="http://schemas.microsoft.com/office/drawing/2014/main" id="{00000000-0008-0000-0100-00006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44" name="Drop Down 1" hidden="1">
          <a:extLst>
            <a:ext uri="{FF2B5EF4-FFF2-40B4-BE49-F238E27FC236}">
              <a16:creationId xmlns:a16="http://schemas.microsoft.com/office/drawing/2014/main" id="{00000000-0008-0000-0100-00006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45" name="Drop Down 1" hidden="1">
          <a:extLst>
            <a:ext uri="{FF2B5EF4-FFF2-40B4-BE49-F238E27FC236}">
              <a16:creationId xmlns:a16="http://schemas.microsoft.com/office/drawing/2014/main" id="{00000000-0008-0000-0100-00006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46" name="Drop Down 1" hidden="1">
          <a:extLst>
            <a:ext uri="{FF2B5EF4-FFF2-40B4-BE49-F238E27FC236}">
              <a16:creationId xmlns:a16="http://schemas.microsoft.com/office/drawing/2014/main" id="{00000000-0008-0000-0100-00006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47" name="Drop Down 2" hidden="1">
          <a:extLst>
            <a:ext uri="{FF2B5EF4-FFF2-40B4-BE49-F238E27FC236}">
              <a16:creationId xmlns:a16="http://schemas.microsoft.com/office/drawing/2014/main" id="{00000000-0008-0000-0100-00006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48" name="Drop Down 1" hidden="1">
          <a:extLst>
            <a:ext uri="{FF2B5EF4-FFF2-40B4-BE49-F238E27FC236}">
              <a16:creationId xmlns:a16="http://schemas.microsoft.com/office/drawing/2014/main" id="{00000000-0008-0000-0100-00006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49" name="Drop Down -1022" hidden="1">
          <a:extLst>
            <a:ext uri="{FF2B5EF4-FFF2-40B4-BE49-F238E27FC236}">
              <a16:creationId xmlns:a16="http://schemas.microsoft.com/office/drawing/2014/main" id="{00000000-0008-0000-0100-00006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50" name="Drop Down 1" hidden="1">
          <a:extLst>
            <a:ext uri="{FF2B5EF4-FFF2-40B4-BE49-F238E27FC236}">
              <a16:creationId xmlns:a16="http://schemas.microsoft.com/office/drawing/2014/main" id="{00000000-0008-0000-0100-00006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51" name="Drop Down 1" hidden="1">
          <a:extLst>
            <a:ext uri="{FF2B5EF4-FFF2-40B4-BE49-F238E27FC236}">
              <a16:creationId xmlns:a16="http://schemas.microsoft.com/office/drawing/2014/main" id="{00000000-0008-0000-0100-00006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52" name="Drop Down 1" hidden="1">
          <a:extLst>
            <a:ext uri="{FF2B5EF4-FFF2-40B4-BE49-F238E27FC236}">
              <a16:creationId xmlns:a16="http://schemas.microsoft.com/office/drawing/2014/main" id="{00000000-0008-0000-0100-00007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53" name="Drop Down 1" hidden="1">
          <a:extLst>
            <a:ext uri="{FF2B5EF4-FFF2-40B4-BE49-F238E27FC236}">
              <a16:creationId xmlns:a16="http://schemas.microsoft.com/office/drawing/2014/main" id="{00000000-0008-0000-0100-00007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54" name="Drop Down 2" hidden="1">
          <a:extLst>
            <a:ext uri="{FF2B5EF4-FFF2-40B4-BE49-F238E27FC236}">
              <a16:creationId xmlns:a16="http://schemas.microsoft.com/office/drawing/2014/main" id="{00000000-0008-0000-0100-00007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55" name="Drop Down 1" hidden="1">
          <a:extLst>
            <a:ext uri="{FF2B5EF4-FFF2-40B4-BE49-F238E27FC236}">
              <a16:creationId xmlns:a16="http://schemas.microsoft.com/office/drawing/2014/main" id="{00000000-0008-0000-0100-00007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56" name="Drop Down -1022" hidden="1">
          <a:extLst>
            <a:ext uri="{FF2B5EF4-FFF2-40B4-BE49-F238E27FC236}">
              <a16:creationId xmlns:a16="http://schemas.microsoft.com/office/drawing/2014/main" id="{00000000-0008-0000-0100-00007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57" name="Drop Down 1" hidden="1">
          <a:extLst>
            <a:ext uri="{FF2B5EF4-FFF2-40B4-BE49-F238E27FC236}">
              <a16:creationId xmlns:a16="http://schemas.microsoft.com/office/drawing/2014/main" id="{00000000-0008-0000-0100-00007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58" name="Drop Down 1" hidden="1">
          <a:extLst>
            <a:ext uri="{FF2B5EF4-FFF2-40B4-BE49-F238E27FC236}">
              <a16:creationId xmlns:a16="http://schemas.microsoft.com/office/drawing/2014/main" id="{00000000-0008-0000-0100-00007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59" name="Drop Down 1" hidden="1">
          <a:extLst>
            <a:ext uri="{FF2B5EF4-FFF2-40B4-BE49-F238E27FC236}">
              <a16:creationId xmlns:a16="http://schemas.microsoft.com/office/drawing/2014/main" id="{00000000-0008-0000-0100-00007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60" name="Drop Down 1" hidden="1">
          <a:extLst>
            <a:ext uri="{FF2B5EF4-FFF2-40B4-BE49-F238E27FC236}">
              <a16:creationId xmlns:a16="http://schemas.microsoft.com/office/drawing/2014/main" id="{00000000-0008-0000-0100-00007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61" name="Drop Down 2" hidden="1">
          <a:extLst>
            <a:ext uri="{FF2B5EF4-FFF2-40B4-BE49-F238E27FC236}">
              <a16:creationId xmlns:a16="http://schemas.microsoft.com/office/drawing/2014/main" id="{00000000-0008-0000-0100-00007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62" name="Drop Down 1" hidden="1">
          <a:extLst>
            <a:ext uri="{FF2B5EF4-FFF2-40B4-BE49-F238E27FC236}">
              <a16:creationId xmlns:a16="http://schemas.microsoft.com/office/drawing/2014/main" id="{00000000-0008-0000-0100-00007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63" name="Drop Down -1022" hidden="1">
          <a:extLst>
            <a:ext uri="{FF2B5EF4-FFF2-40B4-BE49-F238E27FC236}">
              <a16:creationId xmlns:a16="http://schemas.microsoft.com/office/drawing/2014/main" id="{00000000-0008-0000-0100-00007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964" name="Drop Down 1" hidden="1">
          <a:extLst>
            <a:ext uri="{FF2B5EF4-FFF2-40B4-BE49-F238E27FC236}">
              <a16:creationId xmlns:a16="http://schemas.microsoft.com/office/drawing/2014/main" id="{00000000-0008-0000-0100-00007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965" name="Drop Down 1" hidden="1">
          <a:extLst>
            <a:ext uri="{FF2B5EF4-FFF2-40B4-BE49-F238E27FC236}">
              <a16:creationId xmlns:a16="http://schemas.microsoft.com/office/drawing/2014/main" id="{00000000-0008-0000-0100-00007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966" name="Drop Down 1" hidden="1">
          <a:extLst>
            <a:ext uri="{FF2B5EF4-FFF2-40B4-BE49-F238E27FC236}">
              <a16:creationId xmlns:a16="http://schemas.microsoft.com/office/drawing/2014/main" id="{00000000-0008-0000-0100-00007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967" name="Drop Down 1" hidden="1">
          <a:extLst>
            <a:ext uri="{FF2B5EF4-FFF2-40B4-BE49-F238E27FC236}">
              <a16:creationId xmlns:a16="http://schemas.microsoft.com/office/drawing/2014/main" id="{00000000-0008-0000-0100-00007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968" name="Drop Down 2" hidden="1">
          <a:extLst>
            <a:ext uri="{FF2B5EF4-FFF2-40B4-BE49-F238E27FC236}">
              <a16:creationId xmlns:a16="http://schemas.microsoft.com/office/drawing/2014/main" id="{00000000-0008-0000-0100-00008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969" name="Drop Down 1" hidden="1">
          <a:extLst>
            <a:ext uri="{FF2B5EF4-FFF2-40B4-BE49-F238E27FC236}">
              <a16:creationId xmlns:a16="http://schemas.microsoft.com/office/drawing/2014/main" id="{00000000-0008-0000-0100-00008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3970" name="Drop Down -1022" hidden="1">
          <a:extLst>
            <a:ext uri="{FF2B5EF4-FFF2-40B4-BE49-F238E27FC236}">
              <a16:creationId xmlns:a16="http://schemas.microsoft.com/office/drawing/2014/main" id="{00000000-0008-0000-0100-00008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971" name="Drop Down 1" hidden="1">
          <a:extLst>
            <a:ext uri="{FF2B5EF4-FFF2-40B4-BE49-F238E27FC236}">
              <a16:creationId xmlns:a16="http://schemas.microsoft.com/office/drawing/2014/main" id="{00000000-0008-0000-0100-00008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972" name="Drop Down 1" hidden="1">
          <a:extLst>
            <a:ext uri="{FF2B5EF4-FFF2-40B4-BE49-F238E27FC236}">
              <a16:creationId xmlns:a16="http://schemas.microsoft.com/office/drawing/2014/main" id="{00000000-0008-0000-0100-00008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973" name="Drop Down 1" hidden="1">
          <a:extLst>
            <a:ext uri="{FF2B5EF4-FFF2-40B4-BE49-F238E27FC236}">
              <a16:creationId xmlns:a16="http://schemas.microsoft.com/office/drawing/2014/main" id="{00000000-0008-0000-0100-00008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974" name="Drop Down 1" hidden="1">
          <a:extLst>
            <a:ext uri="{FF2B5EF4-FFF2-40B4-BE49-F238E27FC236}">
              <a16:creationId xmlns:a16="http://schemas.microsoft.com/office/drawing/2014/main" id="{00000000-0008-0000-0100-00008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975" name="Drop Down 2" hidden="1">
          <a:extLst>
            <a:ext uri="{FF2B5EF4-FFF2-40B4-BE49-F238E27FC236}">
              <a16:creationId xmlns:a16="http://schemas.microsoft.com/office/drawing/2014/main" id="{00000000-0008-0000-0100-00008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976" name="Drop Down 1" hidden="1">
          <a:extLst>
            <a:ext uri="{FF2B5EF4-FFF2-40B4-BE49-F238E27FC236}">
              <a16:creationId xmlns:a16="http://schemas.microsoft.com/office/drawing/2014/main" id="{00000000-0008-0000-0100-00008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3977" name="Drop Down -1022" hidden="1">
          <a:extLst>
            <a:ext uri="{FF2B5EF4-FFF2-40B4-BE49-F238E27FC236}">
              <a16:creationId xmlns:a16="http://schemas.microsoft.com/office/drawing/2014/main" id="{00000000-0008-0000-0100-00008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78" name="Drop Down 1" hidden="1">
          <a:extLst>
            <a:ext uri="{FF2B5EF4-FFF2-40B4-BE49-F238E27FC236}">
              <a16:creationId xmlns:a16="http://schemas.microsoft.com/office/drawing/2014/main" id="{00000000-0008-0000-0100-00008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79" name="Drop Down 1" hidden="1">
          <a:extLst>
            <a:ext uri="{FF2B5EF4-FFF2-40B4-BE49-F238E27FC236}">
              <a16:creationId xmlns:a16="http://schemas.microsoft.com/office/drawing/2014/main" id="{00000000-0008-0000-0100-00008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80" name="Drop Down 1" hidden="1">
          <a:extLst>
            <a:ext uri="{FF2B5EF4-FFF2-40B4-BE49-F238E27FC236}">
              <a16:creationId xmlns:a16="http://schemas.microsoft.com/office/drawing/2014/main" id="{00000000-0008-0000-0100-00008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81" name="Drop Down 1" hidden="1">
          <a:extLst>
            <a:ext uri="{FF2B5EF4-FFF2-40B4-BE49-F238E27FC236}">
              <a16:creationId xmlns:a16="http://schemas.microsoft.com/office/drawing/2014/main" id="{00000000-0008-0000-0100-00008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82" name="Drop Down 2" hidden="1">
          <a:extLst>
            <a:ext uri="{FF2B5EF4-FFF2-40B4-BE49-F238E27FC236}">
              <a16:creationId xmlns:a16="http://schemas.microsoft.com/office/drawing/2014/main" id="{00000000-0008-0000-0100-00008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83" name="Drop Down 1" hidden="1">
          <a:extLst>
            <a:ext uri="{FF2B5EF4-FFF2-40B4-BE49-F238E27FC236}">
              <a16:creationId xmlns:a16="http://schemas.microsoft.com/office/drawing/2014/main" id="{00000000-0008-0000-0100-00008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84" name="Drop Down -1022" hidden="1">
          <a:extLst>
            <a:ext uri="{FF2B5EF4-FFF2-40B4-BE49-F238E27FC236}">
              <a16:creationId xmlns:a16="http://schemas.microsoft.com/office/drawing/2014/main" id="{00000000-0008-0000-0100-00009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85" name="Drop Down 1" hidden="1">
          <a:extLst>
            <a:ext uri="{FF2B5EF4-FFF2-40B4-BE49-F238E27FC236}">
              <a16:creationId xmlns:a16="http://schemas.microsoft.com/office/drawing/2014/main" id="{00000000-0008-0000-0100-00009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86" name="Drop Down 1" hidden="1">
          <a:extLst>
            <a:ext uri="{FF2B5EF4-FFF2-40B4-BE49-F238E27FC236}">
              <a16:creationId xmlns:a16="http://schemas.microsoft.com/office/drawing/2014/main" id="{00000000-0008-0000-0100-00009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87" name="Drop Down 1" hidden="1">
          <a:extLst>
            <a:ext uri="{FF2B5EF4-FFF2-40B4-BE49-F238E27FC236}">
              <a16:creationId xmlns:a16="http://schemas.microsoft.com/office/drawing/2014/main" id="{00000000-0008-0000-0100-00009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88" name="Drop Down 1" hidden="1">
          <a:extLst>
            <a:ext uri="{FF2B5EF4-FFF2-40B4-BE49-F238E27FC236}">
              <a16:creationId xmlns:a16="http://schemas.microsoft.com/office/drawing/2014/main" id="{00000000-0008-0000-0100-00009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89" name="Drop Down 2" hidden="1">
          <a:extLst>
            <a:ext uri="{FF2B5EF4-FFF2-40B4-BE49-F238E27FC236}">
              <a16:creationId xmlns:a16="http://schemas.microsoft.com/office/drawing/2014/main" id="{00000000-0008-0000-0100-00009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90" name="Drop Down 1" hidden="1">
          <a:extLst>
            <a:ext uri="{FF2B5EF4-FFF2-40B4-BE49-F238E27FC236}">
              <a16:creationId xmlns:a16="http://schemas.microsoft.com/office/drawing/2014/main" id="{00000000-0008-0000-0100-00009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91" name="Drop Down -1022" hidden="1">
          <a:extLst>
            <a:ext uri="{FF2B5EF4-FFF2-40B4-BE49-F238E27FC236}">
              <a16:creationId xmlns:a16="http://schemas.microsoft.com/office/drawing/2014/main" id="{00000000-0008-0000-0100-00009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92" name="Drop Down 1" hidden="1">
          <a:extLst>
            <a:ext uri="{FF2B5EF4-FFF2-40B4-BE49-F238E27FC236}">
              <a16:creationId xmlns:a16="http://schemas.microsoft.com/office/drawing/2014/main" id="{00000000-0008-0000-0100-00009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93" name="Drop Down 1" hidden="1">
          <a:extLst>
            <a:ext uri="{FF2B5EF4-FFF2-40B4-BE49-F238E27FC236}">
              <a16:creationId xmlns:a16="http://schemas.microsoft.com/office/drawing/2014/main" id="{00000000-0008-0000-0100-00009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94" name="Drop Down 1" hidden="1">
          <a:extLst>
            <a:ext uri="{FF2B5EF4-FFF2-40B4-BE49-F238E27FC236}">
              <a16:creationId xmlns:a16="http://schemas.microsoft.com/office/drawing/2014/main" id="{00000000-0008-0000-0100-00009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95" name="Drop Down 1" hidden="1">
          <a:extLst>
            <a:ext uri="{FF2B5EF4-FFF2-40B4-BE49-F238E27FC236}">
              <a16:creationId xmlns:a16="http://schemas.microsoft.com/office/drawing/2014/main" id="{00000000-0008-0000-0100-00009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96" name="Drop Down 2" hidden="1">
          <a:extLst>
            <a:ext uri="{FF2B5EF4-FFF2-40B4-BE49-F238E27FC236}">
              <a16:creationId xmlns:a16="http://schemas.microsoft.com/office/drawing/2014/main" id="{00000000-0008-0000-0100-00009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97" name="Drop Down 1" hidden="1">
          <a:extLst>
            <a:ext uri="{FF2B5EF4-FFF2-40B4-BE49-F238E27FC236}">
              <a16:creationId xmlns:a16="http://schemas.microsoft.com/office/drawing/2014/main" id="{00000000-0008-0000-0100-00009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3998" name="Drop Down -1022" hidden="1">
          <a:extLst>
            <a:ext uri="{FF2B5EF4-FFF2-40B4-BE49-F238E27FC236}">
              <a16:creationId xmlns:a16="http://schemas.microsoft.com/office/drawing/2014/main" id="{00000000-0008-0000-0100-00009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3999" name="Drop Down 1" hidden="1">
          <a:extLst>
            <a:ext uri="{FF2B5EF4-FFF2-40B4-BE49-F238E27FC236}">
              <a16:creationId xmlns:a16="http://schemas.microsoft.com/office/drawing/2014/main" id="{00000000-0008-0000-0100-00009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00" name="Drop Down 1" hidden="1">
          <a:extLst>
            <a:ext uri="{FF2B5EF4-FFF2-40B4-BE49-F238E27FC236}">
              <a16:creationId xmlns:a16="http://schemas.microsoft.com/office/drawing/2014/main" id="{00000000-0008-0000-0100-0000A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01" name="Drop Down 1" hidden="1">
          <a:extLst>
            <a:ext uri="{FF2B5EF4-FFF2-40B4-BE49-F238E27FC236}">
              <a16:creationId xmlns:a16="http://schemas.microsoft.com/office/drawing/2014/main" id="{00000000-0008-0000-0100-0000A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02" name="Drop Down 1" hidden="1">
          <a:extLst>
            <a:ext uri="{FF2B5EF4-FFF2-40B4-BE49-F238E27FC236}">
              <a16:creationId xmlns:a16="http://schemas.microsoft.com/office/drawing/2014/main" id="{00000000-0008-0000-0100-0000A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03" name="Drop Down 2" hidden="1">
          <a:extLst>
            <a:ext uri="{FF2B5EF4-FFF2-40B4-BE49-F238E27FC236}">
              <a16:creationId xmlns:a16="http://schemas.microsoft.com/office/drawing/2014/main" id="{00000000-0008-0000-0100-0000A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04" name="Drop Down 1" hidden="1">
          <a:extLst>
            <a:ext uri="{FF2B5EF4-FFF2-40B4-BE49-F238E27FC236}">
              <a16:creationId xmlns:a16="http://schemas.microsoft.com/office/drawing/2014/main" id="{00000000-0008-0000-0100-0000A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05" name="Drop Down -1022" hidden="1">
          <a:extLst>
            <a:ext uri="{FF2B5EF4-FFF2-40B4-BE49-F238E27FC236}">
              <a16:creationId xmlns:a16="http://schemas.microsoft.com/office/drawing/2014/main" id="{00000000-0008-0000-0100-0000A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06" name="Drop Down 1" hidden="1">
          <a:extLst>
            <a:ext uri="{FF2B5EF4-FFF2-40B4-BE49-F238E27FC236}">
              <a16:creationId xmlns:a16="http://schemas.microsoft.com/office/drawing/2014/main" id="{00000000-0008-0000-0100-0000A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07" name="Drop Down 1" hidden="1">
          <a:extLst>
            <a:ext uri="{FF2B5EF4-FFF2-40B4-BE49-F238E27FC236}">
              <a16:creationId xmlns:a16="http://schemas.microsoft.com/office/drawing/2014/main" id="{00000000-0008-0000-0100-0000A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08" name="Drop Down 1" hidden="1">
          <a:extLst>
            <a:ext uri="{FF2B5EF4-FFF2-40B4-BE49-F238E27FC236}">
              <a16:creationId xmlns:a16="http://schemas.microsoft.com/office/drawing/2014/main" id="{00000000-0008-0000-0100-0000A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09" name="Drop Down 1" hidden="1">
          <a:extLst>
            <a:ext uri="{FF2B5EF4-FFF2-40B4-BE49-F238E27FC236}">
              <a16:creationId xmlns:a16="http://schemas.microsoft.com/office/drawing/2014/main" id="{00000000-0008-0000-0100-0000A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10" name="Drop Down 2" hidden="1">
          <a:extLst>
            <a:ext uri="{FF2B5EF4-FFF2-40B4-BE49-F238E27FC236}">
              <a16:creationId xmlns:a16="http://schemas.microsoft.com/office/drawing/2014/main" id="{00000000-0008-0000-0100-0000A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11" name="Drop Down 1" hidden="1">
          <a:extLst>
            <a:ext uri="{FF2B5EF4-FFF2-40B4-BE49-F238E27FC236}">
              <a16:creationId xmlns:a16="http://schemas.microsoft.com/office/drawing/2014/main" id="{00000000-0008-0000-0100-0000A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12" name="Drop Down -1022" hidden="1">
          <a:extLst>
            <a:ext uri="{FF2B5EF4-FFF2-40B4-BE49-F238E27FC236}">
              <a16:creationId xmlns:a16="http://schemas.microsoft.com/office/drawing/2014/main" id="{00000000-0008-0000-0100-0000A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13" name="Drop Down 1" hidden="1">
          <a:extLst>
            <a:ext uri="{FF2B5EF4-FFF2-40B4-BE49-F238E27FC236}">
              <a16:creationId xmlns:a16="http://schemas.microsoft.com/office/drawing/2014/main" id="{00000000-0008-0000-0100-0000A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14" name="Drop Down 1" hidden="1">
          <a:extLst>
            <a:ext uri="{FF2B5EF4-FFF2-40B4-BE49-F238E27FC236}">
              <a16:creationId xmlns:a16="http://schemas.microsoft.com/office/drawing/2014/main" id="{00000000-0008-0000-0100-0000A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15" name="Drop Down 1" hidden="1">
          <a:extLst>
            <a:ext uri="{FF2B5EF4-FFF2-40B4-BE49-F238E27FC236}">
              <a16:creationId xmlns:a16="http://schemas.microsoft.com/office/drawing/2014/main" id="{00000000-0008-0000-0100-0000A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16" name="Drop Down 1" hidden="1">
          <a:extLst>
            <a:ext uri="{FF2B5EF4-FFF2-40B4-BE49-F238E27FC236}">
              <a16:creationId xmlns:a16="http://schemas.microsoft.com/office/drawing/2014/main" id="{00000000-0008-0000-0100-0000B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17" name="Drop Down 2" hidden="1">
          <a:extLst>
            <a:ext uri="{FF2B5EF4-FFF2-40B4-BE49-F238E27FC236}">
              <a16:creationId xmlns:a16="http://schemas.microsoft.com/office/drawing/2014/main" id="{00000000-0008-0000-0100-0000B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18" name="Drop Down 1" hidden="1">
          <a:extLst>
            <a:ext uri="{FF2B5EF4-FFF2-40B4-BE49-F238E27FC236}">
              <a16:creationId xmlns:a16="http://schemas.microsoft.com/office/drawing/2014/main" id="{00000000-0008-0000-0100-0000B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19" name="Drop Down -1022" hidden="1">
          <a:extLst>
            <a:ext uri="{FF2B5EF4-FFF2-40B4-BE49-F238E27FC236}">
              <a16:creationId xmlns:a16="http://schemas.microsoft.com/office/drawing/2014/main" id="{00000000-0008-0000-0100-0000B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20" name="Drop Down 1" hidden="1">
          <a:extLst>
            <a:ext uri="{FF2B5EF4-FFF2-40B4-BE49-F238E27FC236}">
              <a16:creationId xmlns:a16="http://schemas.microsoft.com/office/drawing/2014/main" id="{00000000-0008-0000-0100-0000B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21" name="Drop Down 1" hidden="1">
          <a:extLst>
            <a:ext uri="{FF2B5EF4-FFF2-40B4-BE49-F238E27FC236}">
              <a16:creationId xmlns:a16="http://schemas.microsoft.com/office/drawing/2014/main" id="{00000000-0008-0000-0100-0000B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22" name="Drop Down 1" hidden="1">
          <a:extLst>
            <a:ext uri="{FF2B5EF4-FFF2-40B4-BE49-F238E27FC236}">
              <a16:creationId xmlns:a16="http://schemas.microsoft.com/office/drawing/2014/main" id="{00000000-0008-0000-0100-0000B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23" name="Drop Down 1" hidden="1">
          <a:extLst>
            <a:ext uri="{FF2B5EF4-FFF2-40B4-BE49-F238E27FC236}">
              <a16:creationId xmlns:a16="http://schemas.microsoft.com/office/drawing/2014/main" id="{00000000-0008-0000-0100-0000B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24" name="Drop Down 2" hidden="1">
          <a:extLst>
            <a:ext uri="{FF2B5EF4-FFF2-40B4-BE49-F238E27FC236}">
              <a16:creationId xmlns:a16="http://schemas.microsoft.com/office/drawing/2014/main" id="{00000000-0008-0000-0100-0000B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25" name="Drop Down 1" hidden="1">
          <a:extLst>
            <a:ext uri="{FF2B5EF4-FFF2-40B4-BE49-F238E27FC236}">
              <a16:creationId xmlns:a16="http://schemas.microsoft.com/office/drawing/2014/main" id="{00000000-0008-0000-0100-0000B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26" name="Drop Down -1022" hidden="1">
          <a:extLst>
            <a:ext uri="{FF2B5EF4-FFF2-40B4-BE49-F238E27FC236}">
              <a16:creationId xmlns:a16="http://schemas.microsoft.com/office/drawing/2014/main" id="{00000000-0008-0000-0100-0000B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27" name="Drop Down 1" hidden="1">
          <a:extLst>
            <a:ext uri="{FF2B5EF4-FFF2-40B4-BE49-F238E27FC236}">
              <a16:creationId xmlns:a16="http://schemas.microsoft.com/office/drawing/2014/main" id="{00000000-0008-0000-0100-0000B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28" name="Drop Down 1" hidden="1">
          <a:extLst>
            <a:ext uri="{FF2B5EF4-FFF2-40B4-BE49-F238E27FC236}">
              <a16:creationId xmlns:a16="http://schemas.microsoft.com/office/drawing/2014/main" id="{00000000-0008-0000-0100-0000B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29" name="Drop Down 1" hidden="1">
          <a:extLst>
            <a:ext uri="{FF2B5EF4-FFF2-40B4-BE49-F238E27FC236}">
              <a16:creationId xmlns:a16="http://schemas.microsoft.com/office/drawing/2014/main" id="{00000000-0008-0000-0100-0000B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30" name="Drop Down 1" hidden="1">
          <a:extLst>
            <a:ext uri="{FF2B5EF4-FFF2-40B4-BE49-F238E27FC236}">
              <a16:creationId xmlns:a16="http://schemas.microsoft.com/office/drawing/2014/main" id="{00000000-0008-0000-0100-0000B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31" name="Drop Down 2" hidden="1">
          <a:extLst>
            <a:ext uri="{FF2B5EF4-FFF2-40B4-BE49-F238E27FC236}">
              <a16:creationId xmlns:a16="http://schemas.microsoft.com/office/drawing/2014/main" id="{00000000-0008-0000-0100-0000B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32" name="Drop Down 1" hidden="1">
          <a:extLst>
            <a:ext uri="{FF2B5EF4-FFF2-40B4-BE49-F238E27FC236}">
              <a16:creationId xmlns:a16="http://schemas.microsoft.com/office/drawing/2014/main" id="{00000000-0008-0000-0100-0000C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33" name="Drop Down -1022" hidden="1">
          <a:extLst>
            <a:ext uri="{FF2B5EF4-FFF2-40B4-BE49-F238E27FC236}">
              <a16:creationId xmlns:a16="http://schemas.microsoft.com/office/drawing/2014/main" id="{00000000-0008-0000-0100-0000C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34" name="Drop Down 1" hidden="1">
          <a:extLst>
            <a:ext uri="{FF2B5EF4-FFF2-40B4-BE49-F238E27FC236}">
              <a16:creationId xmlns:a16="http://schemas.microsoft.com/office/drawing/2014/main" id="{00000000-0008-0000-0100-0000C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35" name="Drop Down 1" hidden="1">
          <a:extLst>
            <a:ext uri="{FF2B5EF4-FFF2-40B4-BE49-F238E27FC236}">
              <a16:creationId xmlns:a16="http://schemas.microsoft.com/office/drawing/2014/main" id="{00000000-0008-0000-0100-0000C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36" name="Drop Down 1" hidden="1">
          <a:extLst>
            <a:ext uri="{FF2B5EF4-FFF2-40B4-BE49-F238E27FC236}">
              <a16:creationId xmlns:a16="http://schemas.microsoft.com/office/drawing/2014/main" id="{00000000-0008-0000-0100-0000C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37" name="Drop Down 1" hidden="1">
          <a:extLst>
            <a:ext uri="{FF2B5EF4-FFF2-40B4-BE49-F238E27FC236}">
              <a16:creationId xmlns:a16="http://schemas.microsoft.com/office/drawing/2014/main" id="{00000000-0008-0000-0100-0000C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38" name="Drop Down 2" hidden="1">
          <a:extLst>
            <a:ext uri="{FF2B5EF4-FFF2-40B4-BE49-F238E27FC236}">
              <a16:creationId xmlns:a16="http://schemas.microsoft.com/office/drawing/2014/main" id="{00000000-0008-0000-0100-0000C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39" name="Drop Down 1" hidden="1">
          <a:extLst>
            <a:ext uri="{FF2B5EF4-FFF2-40B4-BE49-F238E27FC236}">
              <a16:creationId xmlns:a16="http://schemas.microsoft.com/office/drawing/2014/main" id="{00000000-0008-0000-0100-0000C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40" name="Drop Down -1022" hidden="1">
          <a:extLst>
            <a:ext uri="{FF2B5EF4-FFF2-40B4-BE49-F238E27FC236}">
              <a16:creationId xmlns:a16="http://schemas.microsoft.com/office/drawing/2014/main" id="{00000000-0008-0000-0100-0000C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41" name="Drop Down 1" hidden="1">
          <a:extLst>
            <a:ext uri="{FF2B5EF4-FFF2-40B4-BE49-F238E27FC236}">
              <a16:creationId xmlns:a16="http://schemas.microsoft.com/office/drawing/2014/main" id="{00000000-0008-0000-0100-0000C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42" name="Drop Down 1" hidden="1">
          <a:extLst>
            <a:ext uri="{FF2B5EF4-FFF2-40B4-BE49-F238E27FC236}">
              <a16:creationId xmlns:a16="http://schemas.microsoft.com/office/drawing/2014/main" id="{00000000-0008-0000-0100-0000C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43" name="Drop Down 1" hidden="1">
          <a:extLst>
            <a:ext uri="{FF2B5EF4-FFF2-40B4-BE49-F238E27FC236}">
              <a16:creationId xmlns:a16="http://schemas.microsoft.com/office/drawing/2014/main" id="{00000000-0008-0000-0100-0000C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44" name="Drop Down 1" hidden="1">
          <a:extLst>
            <a:ext uri="{FF2B5EF4-FFF2-40B4-BE49-F238E27FC236}">
              <a16:creationId xmlns:a16="http://schemas.microsoft.com/office/drawing/2014/main" id="{00000000-0008-0000-0100-0000C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45" name="Drop Down 2" hidden="1">
          <a:extLst>
            <a:ext uri="{FF2B5EF4-FFF2-40B4-BE49-F238E27FC236}">
              <a16:creationId xmlns:a16="http://schemas.microsoft.com/office/drawing/2014/main" id="{00000000-0008-0000-0100-0000C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46" name="Drop Down 1" hidden="1">
          <a:extLst>
            <a:ext uri="{FF2B5EF4-FFF2-40B4-BE49-F238E27FC236}">
              <a16:creationId xmlns:a16="http://schemas.microsoft.com/office/drawing/2014/main" id="{00000000-0008-0000-0100-0000C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47" name="Drop Down -1022" hidden="1">
          <a:extLst>
            <a:ext uri="{FF2B5EF4-FFF2-40B4-BE49-F238E27FC236}">
              <a16:creationId xmlns:a16="http://schemas.microsoft.com/office/drawing/2014/main" id="{00000000-0008-0000-0100-0000C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4048" name="Drop Down 1" hidden="1">
          <a:extLst>
            <a:ext uri="{FF2B5EF4-FFF2-40B4-BE49-F238E27FC236}">
              <a16:creationId xmlns:a16="http://schemas.microsoft.com/office/drawing/2014/main" id="{00000000-0008-0000-0100-0000D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4049" name="Drop Down 1" hidden="1">
          <a:extLst>
            <a:ext uri="{FF2B5EF4-FFF2-40B4-BE49-F238E27FC236}">
              <a16:creationId xmlns:a16="http://schemas.microsoft.com/office/drawing/2014/main" id="{00000000-0008-0000-0100-0000D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4050" name="Drop Down 1" hidden="1">
          <a:extLst>
            <a:ext uri="{FF2B5EF4-FFF2-40B4-BE49-F238E27FC236}">
              <a16:creationId xmlns:a16="http://schemas.microsoft.com/office/drawing/2014/main" id="{00000000-0008-0000-0100-0000D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4051" name="Drop Down 1" hidden="1">
          <a:extLst>
            <a:ext uri="{FF2B5EF4-FFF2-40B4-BE49-F238E27FC236}">
              <a16:creationId xmlns:a16="http://schemas.microsoft.com/office/drawing/2014/main" id="{00000000-0008-0000-0100-0000D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4052" name="Drop Down 2" hidden="1">
          <a:extLst>
            <a:ext uri="{FF2B5EF4-FFF2-40B4-BE49-F238E27FC236}">
              <a16:creationId xmlns:a16="http://schemas.microsoft.com/office/drawing/2014/main" id="{00000000-0008-0000-0100-0000D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4053" name="Drop Down 1" hidden="1">
          <a:extLst>
            <a:ext uri="{FF2B5EF4-FFF2-40B4-BE49-F238E27FC236}">
              <a16:creationId xmlns:a16="http://schemas.microsoft.com/office/drawing/2014/main" id="{00000000-0008-0000-0100-0000D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4054" name="Drop Down -1022" hidden="1">
          <a:extLst>
            <a:ext uri="{FF2B5EF4-FFF2-40B4-BE49-F238E27FC236}">
              <a16:creationId xmlns:a16="http://schemas.microsoft.com/office/drawing/2014/main" id="{00000000-0008-0000-0100-0000D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4055" name="Drop Down 1" hidden="1">
          <a:extLst>
            <a:ext uri="{FF2B5EF4-FFF2-40B4-BE49-F238E27FC236}">
              <a16:creationId xmlns:a16="http://schemas.microsoft.com/office/drawing/2014/main" id="{00000000-0008-0000-0100-0000D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4056" name="Drop Down 1" hidden="1">
          <a:extLst>
            <a:ext uri="{FF2B5EF4-FFF2-40B4-BE49-F238E27FC236}">
              <a16:creationId xmlns:a16="http://schemas.microsoft.com/office/drawing/2014/main" id="{00000000-0008-0000-0100-0000D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4057" name="Drop Down 1" hidden="1">
          <a:extLst>
            <a:ext uri="{FF2B5EF4-FFF2-40B4-BE49-F238E27FC236}">
              <a16:creationId xmlns:a16="http://schemas.microsoft.com/office/drawing/2014/main" id="{00000000-0008-0000-0100-0000D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4058" name="Drop Down 1" hidden="1">
          <a:extLst>
            <a:ext uri="{FF2B5EF4-FFF2-40B4-BE49-F238E27FC236}">
              <a16:creationId xmlns:a16="http://schemas.microsoft.com/office/drawing/2014/main" id="{00000000-0008-0000-0100-0000D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4059" name="Drop Down 2" hidden="1">
          <a:extLst>
            <a:ext uri="{FF2B5EF4-FFF2-40B4-BE49-F238E27FC236}">
              <a16:creationId xmlns:a16="http://schemas.microsoft.com/office/drawing/2014/main" id="{00000000-0008-0000-0100-0000D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4060" name="Drop Down 1" hidden="1">
          <a:extLst>
            <a:ext uri="{FF2B5EF4-FFF2-40B4-BE49-F238E27FC236}">
              <a16:creationId xmlns:a16="http://schemas.microsoft.com/office/drawing/2014/main" id="{00000000-0008-0000-0100-0000D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4061" name="Drop Down -1022" hidden="1">
          <a:extLst>
            <a:ext uri="{FF2B5EF4-FFF2-40B4-BE49-F238E27FC236}">
              <a16:creationId xmlns:a16="http://schemas.microsoft.com/office/drawing/2014/main" id="{00000000-0008-0000-0100-0000D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62" name="Drop Down 1" hidden="1">
          <a:extLst>
            <a:ext uri="{FF2B5EF4-FFF2-40B4-BE49-F238E27FC236}">
              <a16:creationId xmlns:a16="http://schemas.microsoft.com/office/drawing/2014/main" id="{00000000-0008-0000-0100-0000D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63" name="Drop Down 1" hidden="1">
          <a:extLst>
            <a:ext uri="{FF2B5EF4-FFF2-40B4-BE49-F238E27FC236}">
              <a16:creationId xmlns:a16="http://schemas.microsoft.com/office/drawing/2014/main" id="{00000000-0008-0000-0100-0000D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64" name="Drop Down 1" hidden="1">
          <a:extLst>
            <a:ext uri="{FF2B5EF4-FFF2-40B4-BE49-F238E27FC236}">
              <a16:creationId xmlns:a16="http://schemas.microsoft.com/office/drawing/2014/main" id="{00000000-0008-0000-0100-0000E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65" name="Drop Down 1" hidden="1">
          <a:extLst>
            <a:ext uri="{FF2B5EF4-FFF2-40B4-BE49-F238E27FC236}">
              <a16:creationId xmlns:a16="http://schemas.microsoft.com/office/drawing/2014/main" id="{00000000-0008-0000-0100-0000E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66" name="Drop Down 2" hidden="1">
          <a:extLst>
            <a:ext uri="{FF2B5EF4-FFF2-40B4-BE49-F238E27FC236}">
              <a16:creationId xmlns:a16="http://schemas.microsoft.com/office/drawing/2014/main" id="{00000000-0008-0000-0100-0000E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67" name="Drop Down 1" hidden="1">
          <a:extLst>
            <a:ext uri="{FF2B5EF4-FFF2-40B4-BE49-F238E27FC236}">
              <a16:creationId xmlns:a16="http://schemas.microsoft.com/office/drawing/2014/main" id="{00000000-0008-0000-0100-0000E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68" name="Drop Down -1022" hidden="1">
          <a:extLst>
            <a:ext uri="{FF2B5EF4-FFF2-40B4-BE49-F238E27FC236}">
              <a16:creationId xmlns:a16="http://schemas.microsoft.com/office/drawing/2014/main" id="{00000000-0008-0000-0100-0000E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69" name="Drop Down 1" hidden="1">
          <a:extLst>
            <a:ext uri="{FF2B5EF4-FFF2-40B4-BE49-F238E27FC236}">
              <a16:creationId xmlns:a16="http://schemas.microsoft.com/office/drawing/2014/main" id="{00000000-0008-0000-0100-0000E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70" name="Drop Down 1" hidden="1">
          <a:extLst>
            <a:ext uri="{FF2B5EF4-FFF2-40B4-BE49-F238E27FC236}">
              <a16:creationId xmlns:a16="http://schemas.microsoft.com/office/drawing/2014/main" id="{00000000-0008-0000-0100-0000E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71" name="Drop Down 1" hidden="1">
          <a:extLst>
            <a:ext uri="{FF2B5EF4-FFF2-40B4-BE49-F238E27FC236}">
              <a16:creationId xmlns:a16="http://schemas.microsoft.com/office/drawing/2014/main" id="{00000000-0008-0000-0100-0000E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72" name="Drop Down 1" hidden="1">
          <a:extLst>
            <a:ext uri="{FF2B5EF4-FFF2-40B4-BE49-F238E27FC236}">
              <a16:creationId xmlns:a16="http://schemas.microsoft.com/office/drawing/2014/main" id="{00000000-0008-0000-0100-0000E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73" name="Drop Down 2" hidden="1">
          <a:extLst>
            <a:ext uri="{FF2B5EF4-FFF2-40B4-BE49-F238E27FC236}">
              <a16:creationId xmlns:a16="http://schemas.microsoft.com/office/drawing/2014/main" id="{00000000-0008-0000-0100-0000E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74" name="Drop Down 1" hidden="1">
          <a:extLst>
            <a:ext uri="{FF2B5EF4-FFF2-40B4-BE49-F238E27FC236}">
              <a16:creationId xmlns:a16="http://schemas.microsoft.com/office/drawing/2014/main" id="{00000000-0008-0000-0100-0000E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75" name="Drop Down -1022" hidden="1">
          <a:extLst>
            <a:ext uri="{FF2B5EF4-FFF2-40B4-BE49-F238E27FC236}">
              <a16:creationId xmlns:a16="http://schemas.microsoft.com/office/drawing/2014/main" id="{00000000-0008-0000-0100-0000E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76" name="Drop Down 1" hidden="1">
          <a:extLst>
            <a:ext uri="{FF2B5EF4-FFF2-40B4-BE49-F238E27FC236}">
              <a16:creationId xmlns:a16="http://schemas.microsoft.com/office/drawing/2014/main" id="{00000000-0008-0000-0100-0000E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77" name="Drop Down 1" hidden="1">
          <a:extLst>
            <a:ext uri="{FF2B5EF4-FFF2-40B4-BE49-F238E27FC236}">
              <a16:creationId xmlns:a16="http://schemas.microsoft.com/office/drawing/2014/main" id="{00000000-0008-0000-0100-0000E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78" name="Drop Down 1" hidden="1">
          <a:extLst>
            <a:ext uri="{FF2B5EF4-FFF2-40B4-BE49-F238E27FC236}">
              <a16:creationId xmlns:a16="http://schemas.microsoft.com/office/drawing/2014/main" id="{00000000-0008-0000-0100-0000E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79" name="Drop Down 1" hidden="1">
          <a:extLst>
            <a:ext uri="{FF2B5EF4-FFF2-40B4-BE49-F238E27FC236}">
              <a16:creationId xmlns:a16="http://schemas.microsoft.com/office/drawing/2014/main" id="{00000000-0008-0000-0100-0000E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80" name="Drop Down 2" hidden="1">
          <a:extLst>
            <a:ext uri="{FF2B5EF4-FFF2-40B4-BE49-F238E27FC236}">
              <a16:creationId xmlns:a16="http://schemas.microsoft.com/office/drawing/2014/main" id="{00000000-0008-0000-0100-0000F0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81" name="Drop Down 1" hidden="1">
          <a:extLst>
            <a:ext uri="{FF2B5EF4-FFF2-40B4-BE49-F238E27FC236}">
              <a16:creationId xmlns:a16="http://schemas.microsoft.com/office/drawing/2014/main" id="{00000000-0008-0000-0100-0000F1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82" name="Drop Down -1022" hidden="1">
          <a:extLst>
            <a:ext uri="{FF2B5EF4-FFF2-40B4-BE49-F238E27FC236}">
              <a16:creationId xmlns:a16="http://schemas.microsoft.com/office/drawing/2014/main" id="{00000000-0008-0000-0100-0000F2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83" name="Drop Down 1" hidden="1">
          <a:extLst>
            <a:ext uri="{FF2B5EF4-FFF2-40B4-BE49-F238E27FC236}">
              <a16:creationId xmlns:a16="http://schemas.microsoft.com/office/drawing/2014/main" id="{00000000-0008-0000-0100-0000F3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84" name="Drop Down 1" hidden="1">
          <a:extLst>
            <a:ext uri="{FF2B5EF4-FFF2-40B4-BE49-F238E27FC236}">
              <a16:creationId xmlns:a16="http://schemas.microsoft.com/office/drawing/2014/main" id="{00000000-0008-0000-0100-0000F4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85" name="Drop Down 1" hidden="1">
          <a:extLst>
            <a:ext uri="{FF2B5EF4-FFF2-40B4-BE49-F238E27FC236}">
              <a16:creationId xmlns:a16="http://schemas.microsoft.com/office/drawing/2014/main" id="{00000000-0008-0000-0100-0000F5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86" name="Drop Down 1" hidden="1">
          <a:extLst>
            <a:ext uri="{FF2B5EF4-FFF2-40B4-BE49-F238E27FC236}">
              <a16:creationId xmlns:a16="http://schemas.microsoft.com/office/drawing/2014/main" id="{00000000-0008-0000-0100-0000F6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87" name="Drop Down 2" hidden="1">
          <a:extLst>
            <a:ext uri="{FF2B5EF4-FFF2-40B4-BE49-F238E27FC236}">
              <a16:creationId xmlns:a16="http://schemas.microsoft.com/office/drawing/2014/main" id="{00000000-0008-0000-0100-0000F7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88" name="Drop Down 1" hidden="1">
          <a:extLst>
            <a:ext uri="{FF2B5EF4-FFF2-40B4-BE49-F238E27FC236}">
              <a16:creationId xmlns:a16="http://schemas.microsoft.com/office/drawing/2014/main" id="{00000000-0008-0000-0100-0000F8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89" name="Drop Down -1022" hidden="1">
          <a:extLst>
            <a:ext uri="{FF2B5EF4-FFF2-40B4-BE49-F238E27FC236}">
              <a16:creationId xmlns:a16="http://schemas.microsoft.com/office/drawing/2014/main" id="{00000000-0008-0000-0100-0000F9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90" name="Drop Down 1" hidden="1">
          <a:extLst>
            <a:ext uri="{FF2B5EF4-FFF2-40B4-BE49-F238E27FC236}">
              <a16:creationId xmlns:a16="http://schemas.microsoft.com/office/drawing/2014/main" id="{00000000-0008-0000-0100-0000FA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91" name="Drop Down 1" hidden="1">
          <a:extLst>
            <a:ext uri="{FF2B5EF4-FFF2-40B4-BE49-F238E27FC236}">
              <a16:creationId xmlns:a16="http://schemas.microsoft.com/office/drawing/2014/main" id="{00000000-0008-0000-0100-0000FB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92" name="Drop Down 1" hidden="1">
          <a:extLst>
            <a:ext uri="{FF2B5EF4-FFF2-40B4-BE49-F238E27FC236}">
              <a16:creationId xmlns:a16="http://schemas.microsoft.com/office/drawing/2014/main" id="{00000000-0008-0000-0100-0000FC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93" name="Drop Down 1" hidden="1">
          <a:extLst>
            <a:ext uri="{FF2B5EF4-FFF2-40B4-BE49-F238E27FC236}">
              <a16:creationId xmlns:a16="http://schemas.microsoft.com/office/drawing/2014/main" id="{00000000-0008-0000-0100-0000FD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94" name="Drop Down 2" hidden="1">
          <a:extLst>
            <a:ext uri="{FF2B5EF4-FFF2-40B4-BE49-F238E27FC236}">
              <a16:creationId xmlns:a16="http://schemas.microsoft.com/office/drawing/2014/main" id="{00000000-0008-0000-0100-0000FE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95" name="Drop Down 1" hidden="1">
          <a:extLst>
            <a:ext uri="{FF2B5EF4-FFF2-40B4-BE49-F238E27FC236}">
              <a16:creationId xmlns:a16="http://schemas.microsoft.com/office/drawing/2014/main" id="{00000000-0008-0000-0100-0000FF0F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096" name="Drop Down -1022" hidden="1">
          <a:extLst>
            <a:ext uri="{FF2B5EF4-FFF2-40B4-BE49-F238E27FC236}">
              <a16:creationId xmlns:a16="http://schemas.microsoft.com/office/drawing/2014/main" id="{00000000-0008-0000-0100-000000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97" name="Drop Down 1" hidden="1">
          <a:extLst>
            <a:ext uri="{FF2B5EF4-FFF2-40B4-BE49-F238E27FC236}">
              <a16:creationId xmlns:a16="http://schemas.microsoft.com/office/drawing/2014/main" id="{00000000-0008-0000-0100-000001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98" name="Drop Down 1" hidden="1">
          <a:extLst>
            <a:ext uri="{FF2B5EF4-FFF2-40B4-BE49-F238E27FC236}">
              <a16:creationId xmlns:a16="http://schemas.microsoft.com/office/drawing/2014/main" id="{00000000-0008-0000-0100-000002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099" name="Drop Down 1" hidden="1">
          <a:extLst>
            <a:ext uri="{FF2B5EF4-FFF2-40B4-BE49-F238E27FC236}">
              <a16:creationId xmlns:a16="http://schemas.microsoft.com/office/drawing/2014/main" id="{00000000-0008-0000-0100-000003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00" name="Drop Down 1" hidden="1">
          <a:extLst>
            <a:ext uri="{FF2B5EF4-FFF2-40B4-BE49-F238E27FC236}">
              <a16:creationId xmlns:a16="http://schemas.microsoft.com/office/drawing/2014/main" id="{00000000-0008-0000-0100-000004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01" name="Drop Down 2" hidden="1">
          <a:extLst>
            <a:ext uri="{FF2B5EF4-FFF2-40B4-BE49-F238E27FC236}">
              <a16:creationId xmlns:a16="http://schemas.microsoft.com/office/drawing/2014/main" id="{00000000-0008-0000-0100-000005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02" name="Drop Down 1" hidden="1">
          <a:extLst>
            <a:ext uri="{FF2B5EF4-FFF2-40B4-BE49-F238E27FC236}">
              <a16:creationId xmlns:a16="http://schemas.microsoft.com/office/drawing/2014/main" id="{00000000-0008-0000-0100-000006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03" name="Drop Down -1022" hidden="1">
          <a:extLst>
            <a:ext uri="{FF2B5EF4-FFF2-40B4-BE49-F238E27FC236}">
              <a16:creationId xmlns:a16="http://schemas.microsoft.com/office/drawing/2014/main" id="{00000000-0008-0000-0100-000007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04" name="Drop Down 1" hidden="1">
          <a:extLst>
            <a:ext uri="{FF2B5EF4-FFF2-40B4-BE49-F238E27FC236}">
              <a16:creationId xmlns:a16="http://schemas.microsoft.com/office/drawing/2014/main" id="{00000000-0008-0000-0100-000008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05" name="Drop Down 1" hidden="1">
          <a:extLst>
            <a:ext uri="{FF2B5EF4-FFF2-40B4-BE49-F238E27FC236}">
              <a16:creationId xmlns:a16="http://schemas.microsoft.com/office/drawing/2014/main" id="{00000000-0008-0000-0100-000009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06" name="Drop Down 1" hidden="1">
          <a:extLst>
            <a:ext uri="{FF2B5EF4-FFF2-40B4-BE49-F238E27FC236}">
              <a16:creationId xmlns:a16="http://schemas.microsoft.com/office/drawing/2014/main" id="{00000000-0008-0000-0100-00000A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07" name="Drop Down 1" hidden="1">
          <a:extLst>
            <a:ext uri="{FF2B5EF4-FFF2-40B4-BE49-F238E27FC236}">
              <a16:creationId xmlns:a16="http://schemas.microsoft.com/office/drawing/2014/main" id="{00000000-0008-0000-0100-00000B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08" name="Drop Down 2" hidden="1">
          <a:extLst>
            <a:ext uri="{FF2B5EF4-FFF2-40B4-BE49-F238E27FC236}">
              <a16:creationId xmlns:a16="http://schemas.microsoft.com/office/drawing/2014/main" id="{00000000-0008-0000-0100-00000C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09" name="Drop Down 1" hidden="1">
          <a:extLst>
            <a:ext uri="{FF2B5EF4-FFF2-40B4-BE49-F238E27FC236}">
              <a16:creationId xmlns:a16="http://schemas.microsoft.com/office/drawing/2014/main" id="{00000000-0008-0000-0100-00000D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10" name="Drop Down -1022" hidden="1">
          <a:extLst>
            <a:ext uri="{FF2B5EF4-FFF2-40B4-BE49-F238E27FC236}">
              <a16:creationId xmlns:a16="http://schemas.microsoft.com/office/drawing/2014/main" id="{00000000-0008-0000-0100-00000E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11" name="Drop Down 1" hidden="1">
          <a:extLst>
            <a:ext uri="{FF2B5EF4-FFF2-40B4-BE49-F238E27FC236}">
              <a16:creationId xmlns:a16="http://schemas.microsoft.com/office/drawing/2014/main" id="{00000000-0008-0000-0100-00000F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12" name="Drop Down 1" hidden="1">
          <a:extLst>
            <a:ext uri="{FF2B5EF4-FFF2-40B4-BE49-F238E27FC236}">
              <a16:creationId xmlns:a16="http://schemas.microsoft.com/office/drawing/2014/main" id="{00000000-0008-0000-0100-000010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13" name="Drop Down 1" hidden="1">
          <a:extLst>
            <a:ext uri="{FF2B5EF4-FFF2-40B4-BE49-F238E27FC236}">
              <a16:creationId xmlns:a16="http://schemas.microsoft.com/office/drawing/2014/main" id="{00000000-0008-0000-0100-000011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14" name="Drop Down 1" hidden="1">
          <a:extLst>
            <a:ext uri="{FF2B5EF4-FFF2-40B4-BE49-F238E27FC236}">
              <a16:creationId xmlns:a16="http://schemas.microsoft.com/office/drawing/2014/main" id="{00000000-0008-0000-0100-000012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15" name="Drop Down 2" hidden="1">
          <a:extLst>
            <a:ext uri="{FF2B5EF4-FFF2-40B4-BE49-F238E27FC236}">
              <a16:creationId xmlns:a16="http://schemas.microsoft.com/office/drawing/2014/main" id="{00000000-0008-0000-0100-000013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16" name="Drop Down 1" hidden="1">
          <a:extLst>
            <a:ext uri="{FF2B5EF4-FFF2-40B4-BE49-F238E27FC236}">
              <a16:creationId xmlns:a16="http://schemas.microsoft.com/office/drawing/2014/main" id="{00000000-0008-0000-0100-000014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17" name="Drop Down -1022" hidden="1">
          <a:extLst>
            <a:ext uri="{FF2B5EF4-FFF2-40B4-BE49-F238E27FC236}">
              <a16:creationId xmlns:a16="http://schemas.microsoft.com/office/drawing/2014/main" id="{00000000-0008-0000-0100-000015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18" name="Drop Down 1" hidden="1">
          <a:extLst>
            <a:ext uri="{FF2B5EF4-FFF2-40B4-BE49-F238E27FC236}">
              <a16:creationId xmlns:a16="http://schemas.microsoft.com/office/drawing/2014/main" id="{00000000-0008-0000-0100-000016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19" name="Drop Down 1" hidden="1">
          <a:extLst>
            <a:ext uri="{FF2B5EF4-FFF2-40B4-BE49-F238E27FC236}">
              <a16:creationId xmlns:a16="http://schemas.microsoft.com/office/drawing/2014/main" id="{00000000-0008-0000-0100-000017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20" name="Drop Down 1" hidden="1">
          <a:extLst>
            <a:ext uri="{FF2B5EF4-FFF2-40B4-BE49-F238E27FC236}">
              <a16:creationId xmlns:a16="http://schemas.microsoft.com/office/drawing/2014/main" id="{00000000-0008-0000-0100-000018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21" name="Drop Down 1" hidden="1">
          <a:extLst>
            <a:ext uri="{FF2B5EF4-FFF2-40B4-BE49-F238E27FC236}">
              <a16:creationId xmlns:a16="http://schemas.microsoft.com/office/drawing/2014/main" id="{00000000-0008-0000-0100-000019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22" name="Drop Down 2" hidden="1">
          <a:extLst>
            <a:ext uri="{FF2B5EF4-FFF2-40B4-BE49-F238E27FC236}">
              <a16:creationId xmlns:a16="http://schemas.microsoft.com/office/drawing/2014/main" id="{00000000-0008-0000-0100-00001A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23" name="Drop Down 1" hidden="1">
          <a:extLst>
            <a:ext uri="{FF2B5EF4-FFF2-40B4-BE49-F238E27FC236}">
              <a16:creationId xmlns:a16="http://schemas.microsoft.com/office/drawing/2014/main" id="{00000000-0008-0000-0100-00001B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4124" name="Drop Down -1022" hidden="1">
          <a:extLst>
            <a:ext uri="{FF2B5EF4-FFF2-40B4-BE49-F238E27FC236}">
              <a16:creationId xmlns:a16="http://schemas.microsoft.com/office/drawing/2014/main" id="{00000000-0008-0000-0100-00001C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25" name="Drop Down 1" hidden="1">
          <a:extLst>
            <a:ext uri="{FF2B5EF4-FFF2-40B4-BE49-F238E27FC236}">
              <a16:creationId xmlns:a16="http://schemas.microsoft.com/office/drawing/2014/main" id="{00000000-0008-0000-0100-00001D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26" name="Drop Down 1" hidden="1">
          <a:extLst>
            <a:ext uri="{FF2B5EF4-FFF2-40B4-BE49-F238E27FC236}">
              <a16:creationId xmlns:a16="http://schemas.microsoft.com/office/drawing/2014/main" id="{00000000-0008-0000-0100-00001E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27" name="Drop Down 1" hidden="1">
          <a:extLst>
            <a:ext uri="{FF2B5EF4-FFF2-40B4-BE49-F238E27FC236}">
              <a16:creationId xmlns:a16="http://schemas.microsoft.com/office/drawing/2014/main" id="{00000000-0008-0000-0100-00001F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28" name="Drop Down 1" hidden="1">
          <a:extLst>
            <a:ext uri="{FF2B5EF4-FFF2-40B4-BE49-F238E27FC236}">
              <a16:creationId xmlns:a16="http://schemas.microsoft.com/office/drawing/2014/main" id="{00000000-0008-0000-0100-000020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29" name="Drop Down 2" hidden="1">
          <a:extLst>
            <a:ext uri="{FF2B5EF4-FFF2-40B4-BE49-F238E27FC236}">
              <a16:creationId xmlns:a16="http://schemas.microsoft.com/office/drawing/2014/main" id="{00000000-0008-0000-0100-000021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30" name="Drop Down 1" hidden="1">
          <a:extLst>
            <a:ext uri="{FF2B5EF4-FFF2-40B4-BE49-F238E27FC236}">
              <a16:creationId xmlns:a16="http://schemas.microsoft.com/office/drawing/2014/main" id="{00000000-0008-0000-0100-000022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4131" name="Drop Down -1022" hidden="1">
          <a:extLst>
            <a:ext uri="{FF2B5EF4-FFF2-40B4-BE49-F238E27FC236}">
              <a16:creationId xmlns:a16="http://schemas.microsoft.com/office/drawing/2014/main" id="{00000000-0008-0000-0100-000023100000}"/>
            </a:ext>
          </a:extLst>
        </xdr:cNvPr>
        <xdr:cNvSpPr>
          <a:spLocks noChangeArrowheads="1"/>
        </xdr:cNvSpPr>
      </xdr:nvSpPr>
      <xdr:spPr bwMode="auto">
        <a:xfrm>
          <a:off x="4136571" y="18723429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06910"/>
    <xdr:sp macro="" textlink="">
      <xdr:nvSpPr>
        <xdr:cNvPr id="4132" name="Drop Down 1" hidden="1">
          <a:extLst>
            <a:ext uri="{FF2B5EF4-FFF2-40B4-BE49-F238E27FC236}">
              <a16:creationId xmlns:a16="http://schemas.microsoft.com/office/drawing/2014/main" id="{00000000-0008-0000-0100-000024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06910"/>
    <xdr:sp macro="" textlink="">
      <xdr:nvSpPr>
        <xdr:cNvPr id="4133" name="Drop Down 1" hidden="1">
          <a:extLst>
            <a:ext uri="{FF2B5EF4-FFF2-40B4-BE49-F238E27FC236}">
              <a16:creationId xmlns:a16="http://schemas.microsoft.com/office/drawing/2014/main" id="{00000000-0008-0000-0100-000025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06910"/>
    <xdr:sp macro="" textlink="">
      <xdr:nvSpPr>
        <xdr:cNvPr id="4134" name="Drop Down 1" hidden="1">
          <a:extLst>
            <a:ext uri="{FF2B5EF4-FFF2-40B4-BE49-F238E27FC236}">
              <a16:creationId xmlns:a16="http://schemas.microsoft.com/office/drawing/2014/main" id="{00000000-0008-0000-0100-000026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06910"/>
    <xdr:sp macro="" textlink="">
      <xdr:nvSpPr>
        <xdr:cNvPr id="4135" name="Drop Down 1" hidden="1">
          <a:extLst>
            <a:ext uri="{FF2B5EF4-FFF2-40B4-BE49-F238E27FC236}">
              <a16:creationId xmlns:a16="http://schemas.microsoft.com/office/drawing/2014/main" id="{00000000-0008-0000-0100-000027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06910"/>
    <xdr:sp macro="" textlink="">
      <xdr:nvSpPr>
        <xdr:cNvPr id="4136" name="Drop Down 2" hidden="1">
          <a:extLst>
            <a:ext uri="{FF2B5EF4-FFF2-40B4-BE49-F238E27FC236}">
              <a16:creationId xmlns:a16="http://schemas.microsoft.com/office/drawing/2014/main" id="{00000000-0008-0000-0100-000028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06910"/>
    <xdr:sp macro="" textlink="">
      <xdr:nvSpPr>
        <xdr:cNvPr id="4137" name="Drop Down 1" hidden="1">
          <a:extLst>
            <a:ext uri="{FF2B5EF4-FFF2-40B4-BE49-F238E27FC236}">
              <a16:creationId xmlns:a16="http://schemas.microsoft.com/office/drawing/2014/main" id="{00000000-0008-0000-0100-000029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06910"/>
    <xdr:sp macro="" textlink="">
      <xdr:nvSpPr>
        <xdr:cNvPr id="4138" name="Drop Down -1022" hidden="1">
          <a:extLst>
            <a:ext uri="{FF2B5EF4-FFF2-40B4-BE49-F238E27FC236}">
              <a16:creationId xmlns:a16="http://schemas.microsoft.com/office/drawing/2014/main" id="{00000000-0008-0000-0100-00002A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11501"/>
    <xdr:sp macro="" textlink="">
      <xdr:nvSpPr>
        <xdr:cNvPr id="4139" name="Drop Down 1" hidden="1">
          <a:extLst>
            <a:ext uri="{FF2B5EF4-FFF2-40B4-BE49-F238E27FC236}">
              <a16:creationId xmlns:a16="http://schemas.microsoft.com/office/drawing/2014/main" id="{00000000-0008-0000-0100-00002B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11501"/>
    <xdr:sp macro="" textlink="">
      <xdr:nvSpPr>
        <xdr:cNvPr id="4140" name="Drop Down 1" hidden="1">
          <a:extLst>
            <a:ext uri="{FF2B5EF4-FFF2-40B4-BE49-F238E27FC236}">
              <a16:creationId xmlns:a16="http://schemas.microsoft.com/office/drawing/2014/main" id="{00000000-0008-0000-0100-00002C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11501"/>
    <xdr:sp macro="" textlink="">
      <xdr:nvSpPr>
        <xdr:cNvPr id="4141" name="Drop Down 1" hidden="1">
          <a:extLst>
            <a:ext uri="{FF2B5EF4-FFF2-40B4-BE49-F238E27FC236}">
              <a16:creationId xmlns:a16="http://schemas.microsoft.com/office/drawing/2014/main" id="{00000000-0008-0000-0100-00002D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11501"/>
    <xdr:sp macro="" textlink="">
      <xdr:nvSpPr>
        <xdr:cNvPr id="4142" name="Drop Down 1" hidden="1">
          <a:extLst>
            <a:ext uri="{FF2B5EF4-FFF2-40B4-BE49-F238E27FC236}">
              <a16:creationId xmlns:a16="http://schemas.microsoft.com/office/drawing/2014/main" id="{00000000-0008-0000-0100-00002E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11501"/>
    <xdr:sp macro="" textlink="">
      <xdr:nvSpPr>
        <xdr:cNvPr id="4143" name="Drop Down 2" hidden="1">
          <a:extLst>
            <a:ext uri="{FF2B5EF4-FFF2-40B4-BE49-F238E27FC236}">
              <a16:creationId xmlns:a16="http://schemas.microsoft.com/office/drawing/2014/main" id="{00000000-0008-0000-0100-00002F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11501"/>
    <xdr:sp macro="" textlink="">
      <xdr:nvSpPr>
        <xdr:cNvPr id="4144" name="Drop Down 1" hidden="1">
          <a:extLst>
            <a:ext uri="{FF2B5EF4-FFF2-40B4-BE49-F238E27FC236}">
              <a16:creationId xmlns:a16="http://schemas.microsoft.com/office/drawing/2014/main" id="{00000000-0008-0000-0100-000030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2774" cy="211501"/>
    <xdr:sp macro="" textlink="">
      <xdr:nvSpPr>
        <xdr:cNvPr id="4145" name="Drop Down -1022" hidden="1">
          <a:extLst>
            <a:ext uri="{FF2B5EF4-FFF2-40B4-BE49-F238E27FC236}">
              <a16:creationId xmlns:a16="http://schemas.microsoft.com/office/drawing/2014/main" id="{00000000-0008-0000-0100-000031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146" name="Drop Down 1" hidden="1">
          <a:extLst>
            <a:ext uri="{FF2B5EF4-FFF2-40B4-BE49-F238E27FC236}">
              <a16:creationId xmlns:a16="http://schemas.microsoft.com/office/drawing/2014/main" id="{00000000-0008-0000-0100-000032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147" name="Drop Down 1" hidden="1">
          <a:extLst>
            <a:ext uri="{FF2B5EF4-FFF2-40B4-BE49-F238E27FC236}">
              <a16:creationId xmlns:a16="http://schemas.microsoft.com/office/drawing/2014/main" id="{00000000-0008-0000-0100-000033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148" name="Drop Down 1" hidden="1">
          <a:extLst>
            <a:ext uri="{FF2B5EF4-FFF2-40B4-BE49-F238E27FC236}">
              <a16:creationId xmlns:a16="http://schemas.microsoft.com/office/drawing/2014/main" id="{00000000-0008-0000-0100-000034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149" name="Drop Down 1" hidden="1">
          <a:extLst>
            <a:ext uri="{FF2B5EF4-FFF2-40B4-BE49-F238E27FC236}">
              <a16:creationId xmlns:a16="http://schemas.microsoft.com/office/drawing/2014/main" id="{00000000-0008-0000-0100-000035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150" name="Drop Down 2" hidden="1">
          <a:extLst>
            <a:ext uri="{FF2B5EF4-FFF2-40B4-BE49-F238E27FC236}">
              <a16:creationId xmlns:a16="http://schemas.microsoft.com/office/drawing/2014/main" id="{00000000-0008-0000-0100-000036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151" name="Drop Down 1" hidden="1">
          <a:extLst>
            <a:ext uri="{FF2B5EF4-FFF2-40B4-BE49-F238E27FC236}">
              <a16:creationId xmlns:a16="http://schemas.microsoft.com/office/drawing/2014/main" id="{00000000-0008-0000-0100-000037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152" name="Drop Down -1022" hidden="1">
          <a:extLst>
            <a:ext uri="{FF2B5EF4-FFF2-40B4-BE49-F238E27FC236}">
              <a16:creationId xmlns:a16="http://schemas.microsoft.com/office/drawing/2014/main" id="{00000000-0008-0000-0100-000038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153" name="Drop Down 1" hidden="1">
          <a:extLst>
            <a:ext uri="{FF2B5EF4-FFF2-40B4-BE49-F238E27FC236}">
              <a16:creationId xmlns:a16="http://schemas.microsoft.com/office/drawing/2014/main" id="{00000000-0008-0000-0100-000039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154" name="Drop Down 1" hidden="1">
          <a:extLst>
            <a:ext uri="{FF2B5EF4-FFF2-40B4-BE49-F238E27FC236}">
              <a16:creationId xmlns:a16="http://schemas.microsoft.com/office/drawing/2014/main" id="{00000000-0008-0000-0100-00003A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155" name="Drop Down 1" hidden="1">
          <a:extLst>
            <a:ext uri="{FF2B5EF4-FFF2-40B4-BE49-F238E27FC236}">
              <a16:creationId xmlns:a16="http://schemas.microsoft.com/office/drawing/2014/main" id="{00000000-0008-0000-0100-00003B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156" name="Drop Down 1" hidden="1">
          <a:extLst>
            <a:ext uri="{FF2B5EF4-FFF2-40B4-BE49-F238E27FC236}">
              <a16:creationId xmlns:a16="http://schemas.microsoft.com/office/drawing/2014/main" id="{00000000-0008-0000-0100-00003C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157" name="Drop Down 2" hidden="1">
          <a:extLst>
            <a:ext uri="{FF2B5EF4-FFF2-40B4-BE49-F238E27FC236}">
              <a16:creationId xmlns:a16="http://schemas.microsoft.com/office/drawing/2014/main" id="{00000000-0008-0000-0100-00003D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158" name="Drop Down 1" hidden="1">
          <a:extLst>
            <a:ext uri="{FF2B5EF4-FFF2-40B4-BE49-F238E27FC236}">
              <a16:creationId xmlns:a16="http://schemas.microsoft.com/office/drawing/2014/main" id="{00000000-0008-0000-0100-00003E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159" name="Drop Down -1022" hidden="1">
          <a:extLst>
            <a:ext uri="{FF2B5EF4-FFF2-40B4-BE49-F238E27FC236}">
              <a16:creationId xmlns:a16="http://schemas.microsoft.com/office/drawing/2014/main" id="{00000000-0008-0000-0100-00003F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60" name="Drop Down 1" hidden="1">
          <a:extLst>
            <a:ext uri="{FF2B5EF4-FFF2-40B4-BE49-F238E27FC236}">
              <a16:creationId xmlns:a16="http://schemas.microsoft.com/office/drawing/2014/main" id="{00000000-0008-0000-0100-000040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61" name="Drop Down 1" hidden="1">
          <a:extLst>
            <a:ext uri="{FF2B5EF4-FFF2-40B4-BE49-F238E27FC236}">
              <a16:creationId xmlns:a16="http://schemas.microsoft.com/office/drawing/2014/main" id="{00000000-0008-0000-0100-000041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62" name="Drop Down 1" hidden="1">
          <a:extLst>
            <a:ext uri="{FF2B5EF4-FFF2-40B4-BE49-F238E27FC236}">
              <a16:creationId xmlns:a16="http://schemas.microsoft.com/office/drawing/2014/main" id="{00000000-0008-0000-0100-000042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63" name="Drop Down 1" hidden="1">
          <a:extLst>
            <a:ext uri="{FF2B5EF4-FFF2-40B4-BE49-F238E27FC236}">
              <a16:creationId xmlns:a16="http://schemas.microsoft.com/office/drawing/2014/main" id="{00000000-0008-0000-0100-000043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64" name="Drop Down 2" hidden="1">
          <a:extLst>
            <a:ext uri="{FF2B5EF4-FFF2-40B4-BE49-F238E27FC236}">
              <a16:creationId xmlns:a16="http://schemas.microsoft.com/office/drawing/2014/main" id="{00000000-0008-0000-0100-000044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65" name="Drop Down 1" hidden="1">
          <a:extLst>
            <a:ext uri="{FF2B5EF4-FFF2-40B4-BE49-F238E27FC236}">
              <a16:creationId xmlns:a16="http://schemas.microsoft.com/office/drawing/2014/main" id="{00000000-0008-0000-0100-000045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66" name="Drop Down -1022" hidden="1">
          <a:extLst>
            <a:ext uri="{FF2B5EF4-FFF2-40B4-BE49-F238E27FC236}">
              <a16:creationId xmlns:a16="http://schemas.microsoft.com/office/drawing/2014/main" id="{00000000-0008-0000-0100-000046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67" name="Drop Down 1" hidden="1">
          <a:extLst>
            <a:ext uri="{FF2B5EF4-FFF2-40B4-BE49-F238E27FC236}">
              <a16:creationId xmlns:a16="http://schemas.microsoft.com/office/drawing/2014/main" id="{00000000-0008-0000-0100-000047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68" name="Drop Down 1" hidden="1">
          <a:extLst>
            <a:ext uri="{FF2B5EF4-FFF2-40B4-BE49-F238E27FC236}">
              <a16:creationId xmlns:a16="http://schemas.microsoft.com/office/drawing/2014/main" id="{00000000-0008-0000-0100-000048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69" name="Drop Down 1" hidden="1">
          <a:extLst>
            <a:ext uri="{FF2B5EF4-FFF2-40B4-BE49-F238E27FC236}">
              <a16:creationId xmlns:a16="http://schemas.microsoft.com/office/drawing/2014/main" id="{00000000-0008-0000-0100-000049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70" name="Drop Down 1" hidden="1">
          <a:extLst>
            <a:ext uri="{FF2B5EF4-FFF2-40B4-BE49-F238E27FC236}">
              <a16:creationId xmlns:a16="http://schemas.microsoft.com/office/drawing/2014/main" id="{00000000-0008-0000-0100-00004A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71" name="Drop Down 2" hidden="1">
          <a:extLst>
            <a:ext uri="{FF2B5EF4-FFF2-40B4-BE49-F238E27FC236}">
              <a16:creationId xmlns:a16="http://schemas.microsoft.com/office/drawing/2014/main" id="{00000000-0008-0000-0100-00004B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72" name="Drop Down 1" hidden="1">
          <a:extLst>
            <a:ext uri="{FF2B5EF4-FFF2-40B4-BE49-F238E27FC236}">
              <a16:creationId xmlns:a16="http://schemas.microsoft.com/office/drawing/2014/main" id="{00000000-0008-0000-0100-00004C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73" name="Drop Down -1022" hidden="1">
          <a:extLst>
            <a:ext uri="{FF2B5EF4-FFF2-40B4-BE49-F238E27FC236}">
              <a16:creationId xmlns:a16="http://schemas.microsoft.com/office/drawing/2014/main" id="{00000000-0008-0000-0100-00004D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74" name="Drop Down 1" hidden="1">
          <a:extLst>
            <a:ext uri="{FF2B5EF4-FFF2-40B4-BE49-F238E27FC236}">
              <a16:creationId xmlns:a16="http://schemas.microsoft.com/office/drawing/2014/main" id="{00000000-0008-0000-0100-00004E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75" name="Drop Down 1" hidden="1">
          <a:extLst>
            <a:ext uri="{FF2B5EF4-FFF2-40B4-BE49-F238E27FC236}">
              <a16:creationId xmlns:a16="http://schemas.microsoft.com/office/drawing/2014/main" id="{00000000-0008-0000-0100-00004F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76" name="Drop Down 1" hidden="1">
          <a:extLst>
            <a:ext uri="{FF2B5EF4-FFF2-40B4-BE49-F238E27FC236}">
              <a16:creationId xmlns:a16="http://schemas.microsoft.com/office/drawing/2014/main" id="{00000000-0008-0000-0100-000050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77" name="Drop Down 1" hidden="1">
          <a:extLst>
            <a:ext uri="{FF2B5EF4-FFF2-40B4-BE49-F238E27FC236}">
              <a16:creationId xmlns:a16="http://schemas.microsoft.com/office/drawing/2014/main" id="{00000000-0008-0000-0100-000051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78" name="Drop Down 2" hidden="1">
          <a:extLst>
            <a:ext uri="{FF2B5EF4-FFF2-40B4-BE49-F238E27FC236}">
              <a16:creationId xmlns:a16="http://schemas.microsoft.com/office/drawing/2014/main" id="{00000000-0008-0000-0100-000052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79" name="Drop Down 1" hidden="1">
          <a:extLst>
            <a:ext uri="{FF2B5EF4-FFF2-40B4-BE49-F238E27FC236}">
              <a16:creationId xmlns:a16="http://schemas.microsoft.com/office/drawing/2014/main" id="{00000000-0008-0000-0100-000053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80" name="Drop Down -1022" hidden="1">
          <a:extLst>
            <a:ext uri="{FF2B5EF4-FFF2-40B4-BE49-F238E27FC236}">
              <a16:creationId xmlns:a16="http://schemas.microsoft.com/office/drawing/2014/main" id="{00000000-0008-0000-0100-000054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81" name="Drop Down 1" hidden="1">
          <a:extLst>
            <a:ext uri="{FF2B5EF4-FFF2-40B4-BE49-F238E27FC236}">
              <a16:creationId xmlns:a16="http://schemas.microsoft.com/office/drawing/2014/main" id="{00000000-0008-0000-0100-000055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82" name="Drop Down 1" hidden="1">
          <a:extLst>
            <a:ext uri="{FF2B5EF4-FFF2-40B4-BE49-F238E27FC236}">
              <a16:creationId xmlns:a16="http://schemas.microsoft.com/office/drawing/2014/main" id="{00000000-0008-0000-0100-000056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83" name="Drop Down 1" hidden="1">
          <a:extLst>
            <a:ext uri="{FF2B5EF4-FFF2-40B4-BE49-F238E27FC236}">
              <a16:creationId xmlns:a16="http://schemas.microsoft.com/office/drawing/2014/main" id="{00000000-0008-0000-0100-000057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84" name="Drop Down 1" hidden="1">
          <a:extLst>
            <a:ext uri="{FF2B5EF4-FFF2-40B4-BE49-F238E27FC236}">
              <a16:creationId xmlns:a16="http://schemas.microsoft.com/office/drawing/2014/main" id="{00000000-0008-0000-0100-000058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85" name="Drop Down 2" hidden="1">
          <a:extLst>
            <a:ext uri="{FF2B5EF4-FFF2-40B4-BE49-F238E27FC236}">
              <a16:creationId xmlns:a16="http://schemas.microsoft.com/office/drawing/2014/main" id="{00000000-0008-0000-0100-000059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86" name="Drop Down 1" hidden="1">
          <a:extLst>
            <a:ext uri="{FF2B5EF4-FFF2-40B4-BE49-F238E27FC236}">
              <a16:creationId xmlns:a16="http://schemas.microsoft.com/office/drawing/2014/main" id="{00000000-0008-0000-0100-00005A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87" name="Drop Down -1022" hidden="1">
          <a:extLst>
            <a:ext uri="{FF2B5EF4-FFF2-40B4-BE49-F238E27FC236}">
              <a16:creationId xmlns:a16="http://schemas.microsoft.com/office/drawing/2014/main" id="{00000000-0008-0000-0100-00005B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88" name="Drop Down 1" hidden="1">
          <a:extLst>
            <a:ext uri="{FF2B5EF4-FFF2-40B4-BE49-F238E27FC236}">
              <a16:creationId xmlns:a16="http://schemas.microsoft.com/office/drawing/2014/main" id="{00000000-0008-0000-0100-00005C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89" name="Drop Down 1" hidden="1">
          <a:extLst>
            <a:ext uri="{FF2B5EF4-FFF2-40B4-BE49-F238E27FC236}">
              <a16:creationId xmlns:a16="http://schemas.microsoft.com/office/drawing/2014/main" id="{00000000-0008-0000-0100-00005D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90" name="Drop Down 1" hidden="1">
          <a:extLst>
            <a:ext uri="{FF2B5EF4-FFF2-40B4-BE49-F238E27FC236}">
              <a16:creationId xmlns:a16="http://schemas.microsoft.com/office/drawing/2014/main" id="{00000000-0008-0000-0100-00005E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91" name="Drop Down 1" hidden="1">
          <a:extLst>
            <a:ext uri="{FF2B5EF4-FFF2-40B4-BE49-F238E27FC236}">
              <a16:creationId xmlns:a16="http://schemas.microsoft.com/office/drawing/2014/main" id="{00000000-0008-0000-0100-00005F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92" name="Drop Down 2" hidden="1">
          <a:extLst>
            <a:ext uri="{FF2B5EF4-FFF2-40B4-BE49-F238E27FC236}">
              <a16:creationId xmlns:a16="http://schemas.microsoft.com/office/drawing/2014/main" id="{00000000-0008-0000-0100-000060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93" name="Drop Down 1" hidden="1">
          <a:extLst>
            <a:ext uri="{FF2B5EF4-FFF2-40B4-BE49-F238E27FC236}">
              <a16:creationId xmlns:a16="http://schemas.microsoft.com/office/drawing/2014/main" id="{00000000-0008-0000-0100-000061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194" name="Drop Down -1022" hidden="1">
          <a:extLst>
            <a:ext uri="{FF2B5EF4-FFF2-40B4-BE49-F238E27FC236}">
              <a16:creationId xmlns:a16="http://schemas.microsoft.com/office/drawing/2014/main" id="{00000000-0008-0000-0100-000062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95" name="Drop Down 1" hidden="1">
          <a:extLst>
            <a:ext uri="{FF2B5EF4-FFF2-40B4-BE49-F238E27FC236}">
              <a16:creationId xmlns:a16="http://schemas.microsoft.com/office/drawing/2014/main" id="{00000000-0008-0000-0100-000063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96" name="Drop Down 1" hidden="1">
          <a:extLst>
            <a:ext uri="{FF2B5EF4-FFF2-40B4-BE49-F238E27FC236}">
              <a16:creationId xmlns:a16="http://schemas.microsoft.com/office/drawing/2014/main" id="{00000000-0008-0000-0100-000064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97" name="Drop Down 1" hidden="1">
          <a:extLst>
            <a:ext uri="{FF2B5EF4-FFF2-40B4-BE49-F238E27FC236}">
              <a16:creationId xmlns:a16="http://schemas.microsoft.com/office/drawing/2014/main" id="{00000000-0008-0000-0100-000065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98" name="Drop Down 1" hidden="1">
          <a:extLst>
            <a:ext uri="{FF2B5EF4-FFF2-40B4-BE49-F238E27FC236}">
              <a16:creationId xmlns:a16="http://schemas.microsoft.com/office/drawing/2014/main" id="{00000000-0008-0000-0100-000066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199" name="Drop Down 2" hidden="1">
          <a:extLst>
            <a:ext uri="{FF2B5EF4-FFF2-40B4-BE49-F238E27FC236}">
              <a16:creationId xmlns:a16="http://schemas.microsoft.com/office/drawing/2014/main" id="{00000000-0008-0000-0100-000067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00" name="Drop Down 1" hidden="1">
          <a:extLst>
            <a:ext uri="{FF2B5EF4-FFF2-40B4-BE49-F238E27FC236}">
              <a16:creationId xmlns:a16="http://schemas.microsoft.com/office/drawing/2014/main" id="{00000000-0008-0000-0100-000068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01" name="Drop Down -1022" hidden="1">
          <a:extLst>
            <a:ext uri="{FF2B5EF4-FFF2-40B4-BE49-F238E27FC236}">
              <a16:creationId xmlns:a16="http://schemas.microsoft.com/office/drawing/2014/main" id="{00000000-0008-0000-0100-000069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02" name="Drop Down 1" hidden="1">
          <a:extLst>
            <a:ext uri="{FF2B5EF4-FFF2-40B4-BE49-F238E27FC236}">
              <a16:creationId xmlns:a16="http://schemas.microsoft.com/office/drawing/2014/main" id="{00000000-0008-0000-0100-00006A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03" name="Drop Down 1" hidden="1">
          <a:extLst>
            <a:ext uri="{FF2B5EF4-FFF2-40B4-BE49-F238E27FC236}">
              <a16:creationId xmlns:a16="http://schemas.microsoft.com/office/drawing/2014/main" id="{00000000-0008-0000-0100-00006B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04" name="Drop Down 1" hidden="1">
          <a:extLst>
            <a:ext uri="{FF2B5EF4-FFF2-40B4-BE49-F238E27FC236}">
              <a16:creationId xmlns:a16="http://schemas.microsoft.com/office/drawing/2014/main" id="{00000000-0008-0000-0100-00006C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05" name="Drop Down 1" hidden="1">
          <a:extLst>
            <a:ext uri="{FF2B5EF4-FFF2-40B4-BE49-F238E27FC236}">
              <a16:creationId xmlns:a16="http://schemas.microsoft.com/office/drawing/2014/main" id="{00000000-0008-0000-0100-00006D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06" name="Drop Down 2" hidden="1">
          <a:extLst>
            <a:ext uri="{FF2B5EF4-FFF2-40B4-BE49-F238E27FC236}">
              <a16:creationId xmlns:a16="http://schemas.microsoft.com/office/drawing/2014/main" id="{00000000-0008-0000-0100-00006E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07" name="Drop Down 1" hidden="1">
          <a:extLst>
            <a:ext uri="{FF2B5EF4-FFF2-40B4-BE49-F238E27FC236}">
              <a16:creationId xmlns:a16="http://schemas.microsoft.com/office/drawing/2014/main" id="{00000000-0008-0000-0100-00006F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08" name="Drop Down -1022" hidden="1">
          <a:extLst>
            <a:ext uri="{FF2B5EF4-FFF2-40B4-BE49-F238E27FC236}">
              <a16:creationId xmlns:a16="http://schemas.microsoft.com/office/drawing/2014/main" id="{00000000-0008-0000-0100-000070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09" name="Drop Down 1" hidden="1">
          <a:extLst>
            <a:ext uri="{FF2B5EF4-FFF2-40B4-BE49-F238E27FC236}">
              <a16:creationId xmlns:a16="http://schemas.microsoft.com/office/drawing/2014/main" id="{00000000-0008-0000-0100-000071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10" name="Drop Down 1" hidden="1">
          <a:extLst>
            <a:ext uri="{FF2B5EF4-FFF2-40B4-BE49-F238E27FC236}">
              <a16:creationId xmlns:a16="http://schemas.microsoft.com/office/drawing/2014/main" id="{00000000-0008-0000-0100-000072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11" name="Drop Down 1" hidden="1">
          <a:extLst>
            <a:ext uri="{FF2B5EF4-FFF2-40B4-BE49-F238E27FC236}">
              <a16:creationId xmlns:a16="http://schemas.microsoft.com/office/drawing/2014/main" id="{00000000-0008-0000-0100-000073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12" name="Drop Down 1" hidden="1">
          <a:extLst>
            <a:ext uri="{FF2B5EF4-FFF2-40B4-BE49-F238E27FC236}">
              <a16:creationId xmlns:a16="http://schemas.microsoft.com/office/drawing/2014/main" id="{00000000-0008-0000-0100-000074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13" name="Drop Down 2" hidden="1">
          <a:extLst>
            <a:ext uri="{FF2B5EF4-FFF2-40B4-BE49-F238E27FC236}">
              <a16:creationId xmlns:a16="http://schemas.microsoft.com/office/drawing/2014/main" id="{00000000-0008-0000-0100-000075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14" name="Drop Down 1" hidden="1">
          <a:extLst>
            <a:ext uri="{FF2B5EF4-FFF2-40B4-BE49-F238E27FC236}">
              <a16:creationId xmlns:a16="http://schemas.microsoft.com/office/drawing/2014/main" id="{00000000-0008-0000-0100-000076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15" name="Drop Down -1022" hidden="1">
          <a:extLst>
            <a:ext uri="{FF2B5EF4-FFF2-40B4-BE49-F238E27FC236}">
              <a16:creationId xmlns:a16="http://schemas.microsoft.com/office/drawing/2014/main" id="{00000000-0008-0000-0100-000077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16" name="Drop Down 1" hidden="1">
          <a:extLst>
            <a:ext uri="{FF2B5EF4-FFF2-40B4-BE49-F238E27FC236}">
              <a16:creationId xmlns:a16="http://schemas.microsoft.com/office/drawing/2014/main" id="{00000000-0008-0000-0100-000078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17" name="Drop Down 1" hidden="1">
          <a:extLst>
            <a:ext uri="{FF2B5EF4-FFF2-40B4-BE49-F238E27FC236}">
              <a16:creationId xmlns:a16="http://schemas.microsoft.com/office/drawing/2014/main" id="{00000000-0008-0000-0100-000079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18" name="Drop Down 1" hidden="1">
          <a:extLst>
            <a:ext uri="{FF2B5EF4-FFF2-40B4-BE49-F238E27FC236}">
              <a16:creationId xmlns:a16="http://schemas.microsoft.com/office/drawing/2014/main" id="{00000000-0008-0000-0100-00007A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19" name="Drop Down 1" hidden="1">
          <a:extLst>
            <a:ext uri="{FF2B5EF4-FFF2-40B4-BE49-F238E27FC236}">
              <a16:creationId xmlns:a16="http://schemas.microsoft.com/office/drawing/2014/main" id="{00000000-0008-0000-0100-00007B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20" name="Drop Down 2" hidden="1">
          <a:extLst>
            <a:ext uri="{FF2B5EF4-FFF2-40B4-BE49-F238E27FC236}">
              <a16:creationId xmlns:a16="http://schemas.microsoft.com/office/drawing/2014/main" id="{00000000-0008-0000-0100-00007C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21" name="Drop Down 1" hidden="1">
          <a:extLst>
            <a:ext uri="{FF2B5EF4-FFF2-40B4-BE49-F238E27FC236}">
              <a16:creationId xmlns:a16="http://schemas.microsoft.com/office/drawing/2014/main" id="{00000000-0008-0000-0100-00007D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22" name="Drop Down -1022" hidden="1">
          <a:extLst>
            <a:ext uri="{FF2B5EF4-FFF2-40B4-BE49-F238E27FC236}">
              <a16:creationId xmlns:a16="http://schemas.microsoft.com/office/drawing/2014/main" id="{00000000-0008-0000-0100-00007E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23" name="Drop Down 1" hidden="1">
          <a:extLst>
            <a:ext uri="{FF2B5EF4-FFF2-40B4-BE49-F238E27FC236}">
              <a16:creationId xmlns:a16="http://schemas.microsoft.com/office/drawing/2014/main" id="{00000000-0008-0000-0100-00007F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24" name="Drop Down 1" hidden="1">
          <a:extLst>
            <a:ext uri="{FF2B5EF4-FFF2-40B4-BE49-F238E27FC236}">
              <a16:creationId xmlns:a16="http://schemas.microsoft.com/office/drawing/2014/main" id="{00000000-0008-0000-0100-000080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25" name="Drop Down 1" hidden="1">
          <a:extLst>
            <a:ext uri="{FF2B5EF4-FFF2-40B4-BE49-F238E27FC236}">
              <a16:creationId xmlns:a16="http://schemas.microsoft.com/office/drawing/2014/main" id="{00000000-0008-0000-0100-000081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26" name="Drop Down 1" hidden="1">
          <a:extLst>
            <a:ext uri="{FF2B5EF4-FFF2-40B4-BE49-F238E27FC236}">
              <a16:creationId xmlns:a16="http://schemas.microsoft.com/office/drawing/2014/main" id="{00000000-0008-0000-0100-000082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27" name="Drop Down 2" hidden="1">
          <a:extLst>
            <a:ext uri="{FF2B5EF4-FFF2-40B4-BE49-F238E27FC236}">
              <a16:creationId xmlns:a16="http://schemas.microsoft.com/office/drawing/2014/main" id="{00000000-0008-0000-0100-000083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28" name="Drop Down 1" hidden="1">
          <a:extLst>
            <a:ext uri="{FF2B5EF4-FFF2-40B4-BE49-F238E27FC236}">
              <a16:creationId xmlns:a16="http://schemas.microsoft.com/office/drawing/2014/main" id="{00000000-0008-0000-0100-000084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29" name="Drop Down -1022" hidden="1">
          <a:extLst>
            <a:ext uri="{FF2B5EF4-FFF2-40B4-BE49-F238E27FC236}">
              <a16:creationId xmlns:a16="http://schemas.microsoft.com/office/drawing/2014/main" id="{00000000-0008-0000-0100-000085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30" name="Drop Down 1" hidden="1">
          <a:extLst>
            <a:ext uri="{FF2B5EF4-FFF2-40B4-BE49-F238E27FC236}">
              <a16:creationId xmlns:a16="http://schemas.microsoft.com/office/drawing/2014/main" id="{00000000-0008-0000-0100-000086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31" name="Drop Down 1" hidden="1">
          <a:extLst>
            <a:ext uri="{FF2B5EF4-FFF2-40B4-BE49-F238E27FC236}">
              <a16:creationId xmlns:a16="http://schemas.microsoft.com/office/drawing/2014/main" id="{00000000-0008-0000-0100-000087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32" name="Drop Down 1" hidden="1">
          <a:extLst>
            <a:ext uri="{FF2B5EF4-FFF2-40B4-BE49-F238E27FC236}">
              <a16:creationId xmlns:a16="http://schemas.microsoft.com/office/drawing/2014/main" id="{00000000-0008-0000-0100-000088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33" name="Drop Down 1" hidden="1">
          <a:extLst>
            <a:ext uri="{FF2B5EF4-FFF2-40B4-BE49-F238E27FC236}">
              <a16:creationId xmlns:a16="http://schemas.microsoft.com/office/drawing/2014/main" id="{00000000-0008-0000-0100-000089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34" name="Drop Down 2" hidden="1">
          <a:extLst>
            <a:ext uri="{FF2B5EF4-FFF2-40B4-BE49-F238E27FC236}">
              <a16:creationId xmlns:a16="http://schemas.microsoft.com/office/drawing/2014/main" id="{00000000-0008-0000-0100-00008A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35" name="Drop Down 1" hidden="1">
          <a:extLst>
            <a:ext uri="{FF2B5EF4-FFF2-40B4-BE49-F238E27FC236}">
              <a16:creationId xmlns:a16="http://schemas.microsoft.com/office/drawing/2014/main" id="{00000000-0008-0000-0100-00008B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36" name="Drop Down -1022" hidden="1">
          <a:extLst>
            <a:ext uri="{FF2B5EF4-FFF2-40B4-BE49-F238E27FC236}">
              <a16:creationId xmlns:a16="http://schemas.microsoft.com/office/drawing/2014/main" id="{00000000-0008-0000-0100-00008C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37" name="Drop Down 1" hidden="1">
          <a:extLst>
            <a:ext uri="{FF2B5EF4-FFF2-40B4-BE49-F238E27FC236}">
              <a16:creationId xmlns:a16="http://schemas.microsoft.com/office/drawing/2014/main" id="{00000000-0008-0000-0100-00008D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38" name="Drop Down 1" hidden="1">
          <a:extLst>
            <a:ext uri="{FF2B5EF4-FFF2-40B4-BE49-F238E27FC236}">
              <a16:creationId xmlns:a16="http://schemas.microsoft.com/office/drawing/2014/main" id="{00000000-0008-0000-0100-00008E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39" name="Drop Down 1" hidden="1">
          <a:extLst>
            <a:ext uri="{FF2B5EF4-FFF2-40B4-BE49-F238E27FC236}">
              <a16:creationId xmlns:a16="http://schemas.microsoft.com/office/drawing/2014/main" id="{00000000-0008-0000-0100-00008F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40" name="Drop Down 1" hidden="1">
          <a:extLst>
            <a:ext uri="{FF2B5EF4-FFF2-40B4-BE49-F238E27FC236}">
              <a16:creationId xmlns:a16="http://schemas.microsoft.com/office/drawing/2014/main" id="{00000000-0008-0000-0100-000090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41" name="Drop Down 2" hidden="1">
          <a:extLst>
            <a:ext uri="{FF2B5EF4-FFF2-40B4-BE49-F238E27FC236}">
              <a16:creationId xmlns:a16="http://schemas.microsoft.com/office/drawing/2014/main" id="{00000000-0008-0000-0100-000091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42" name="Drop Down 1" hidden="1">
          <a:extLst>
            <a:ext uri="{FF2B5EF4-FFF2-40B4-BE49-F238E27FC236}">
              <a16:creationId xmlns:a16="http://schemas.microsoft.com/office/drawing/2014/main" id="{00000000-0008-0000-0100-000092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43" name="Drop Down -1022" hidden="1">
          <a:extLst>
            <a:ext uri="{FF2B5EF4-FFF2-40B4-BE49-F238E27FC236}">
              <a16:creationId xmlns:a16="http://schemas.microsoft.com/office/drawing/2014/main" id="{00000000-0008-0000-0100-000093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44" name="Drop Down 1" hidden="1">
          <a:extLst>
            <a:ext uri="{FF2B5EF4-FFF2-40B4-BE49-F238E27FC236}">
              <a16:creationId xmlns:a16="http://schemas.microsoft.com/office/drawing/2014/main" id="{00000000-0008-0000-0100-000094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45" name="Drop Down 1" hidden="1">
          <a:extLst>
            <a:ext uri="{FF2B5EF4-FFF2-40B4-BE49-F238E27FC236}">
              <a16:creationId xmlns:a16="http://schemas.microsoft.com/office/drawing/2014/main" id="{00000000-0008-0000-0100-000095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46" name="Drop Down 1" hidden="1">
          <a:extLst>
            <a:ext uri="{FF2B5EF4-FFF2-40B4-BE49-F238E27FC236}">
              <a16:creationId xmlns:a16="http://schemas.microsoft.com/office/drawing/2014/main" id="{00000000-0008-0000-0100-000096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47" name="Drop Down 1" hidden="1">
          <a:extLst>
            <a:ext uri="{FF2B5EF4-FFF2-40B4-BE49-F238E27FC236}">
              <a16:creationId xmlns:a16="http://schemas.microsoft.com/office/drawing/2014/main" id="{00000000-0008-0000-0100-000097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48" name="Drop Down 2" hidden="1">
          <a:extLst>
            <a:ext uri="{FF2B5EF4-FFF2-40B4-BE49-F238E27FC236}">
              <a16:creationId xmlns:a16="http://schemas.microsoft.com/office/drawing/2014/main" id="{00000000-0008-0000-0100-000098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49" name="Drop Down 1" hidden="1">
          <a:extLst>
            <a:ext uri="{FF2B5EF4-FFF2-40B4-BE49-F238E27FC236}">
              <a16:creationId xmlns:a16="http://schemas.microsoft.com/office/drawing/2014/main" id="{00000000-0008-0000-0100-000099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50" name="Drop Down -1022" hidden="1">
          <a:extLst>
            <a:ext uri="{FF2B5EF4-FFF2-40B4-BE49-F238E27FC236}">
              <a16:creationId xmlns:a16="http://schemas.microsoft.com/office/drawing/2014/main" id="{00000000-0008-0000-0100-00009A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51" name="Drop Down 1" hidden="1">
          <a:extLst>
            <a:ext uri="{FF2B5EF4-FFF2-40B4-BE49-F238E27FC236}">
              <a16:creationId xmlns:a16="http://schemas.microsoft.com/office/drawing/2014/main" id="{00000000-0008-0000-0100-00009B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52" name="Drop Down 1" hidden="1">
          <a:extLst>
            <a:ext uri="{FF2B5EF4-FFF2-40B4-BE49-F238E27FC236}">
              <a16:creationId xmlns:a16="http://schemas.microsoft.com/office/drawing/2014/main" id="{00000000-0008-0000-0100-00009C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53" name="Drop Down 1" hidden="1">
          <a:extLst>
            <a:ext uri="{FF2B5EF4-FFF2-40B4-BE49-F238E27FC236}">
              <a16:creationId xmlns:a16="http://schemas.microsoft.com/office/drawing/2014/main" id="{00000000-0008-0000-0100-00009D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54" name="Drop Down 1" hidden="1">
          <a:extLst>
            <a:ext uri="{FF2B5EF4-FFF2-40B4-BE49-F238E27FC236}">
              <a16:creationId xmlns:a16="http://schemas.microsoft.com/office/drawing/2014/main" id="{00000000-0008-0000-0100-00009E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55" name="Drop Down 2" hidden="1">
          <a:extLst>
            <a:ext uri="{FF2B5EF4-FFF2-40B4-BE49-F238E27FC236}">
              <a16:creationId xmlns:a16="http://schemas.microsoft.com/office/drawing/2014/main" id="{00000000-0008-0000-0100-00009F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56" name="Drop Down 1" hidden="1">
          <a:extLst>
            <a:ext uri="{FF2B5EF4-FFF2-40B4-BE49-F238E27FC236}">
              <a16:creationId xmlns:a16="http://schemas.microsoft.com/office/drawing/2014/main" id="{00000000-0008-0000-0100-0000A0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57" name="Drop Down -1022" hidden="1">
          <a:extLst>
            <a:ext uri="{FF2B5EF4-FFF2-40B4-BE49-F238E27FC236}">
              <a16:creationId xmlns:a16="http://schemas.microsoft.com/office/drawing/2014/main" id="{00000000-0008-0000-0100-0000A1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58" name="Drop Down 1" hidden="1">
          <a:extLst>
            <a:ext uri="{FF2B5EF4-FFF2-40B4-BE49-F238E27FC236}">
              <a16:creationId xmlns:a16="http://schemas.microsoft.com/office/drawing/2014/main" id="{00000000-0008-0000-0100-0000A2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59" name="Drop Down 1" hidden="1">
          <a:extLst>
            <a:ext uri="{FF2B5EF4-FFF2-40B4-BE49-F238E27FC236}">
              <a16:creationId xmlns:a16="http://schemas.microsoft.com/office/drawing/2014/main" id="{00000000-0008-0000-0100-0000A3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60" name="Drop Down 1" hidden="1">
          <a:extLst>
            <a:ext uri="{FF2B5EF4-FFF2-40B4-BE49-F238E27FC236}">
              <a16:creationId xmlns:a16="http://schemas.microsoft.com/office/drawing/2014/main" id="{00000000-0008-0000-0100-0000A4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61" name="Drop Down 1" hidden="1">
          <a:extLst>
            <a:ext uri="{FF2B5EF4-FFF2-40B4-BE49-F238E27FC236}">
              <a16:creationId xmlns:a16="http://schemas.microsoft.com/office/drawing/2014/main" id="{00000000-0008-0000-0100-0000A5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62" name="Drop Down 2" hidden="1">
          <a:extLst>
            <a:ext uri="{FF2B5EF4-FFF2-40B4-BE49-F238E27FC236}">
              <a16:creationId xmlns:a16="http://schemas.microsoft.com/office/drawing/2014/main" id="{00000000-0008-0000-0100-0000A6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63" name="Drop Down 1" hidden="1">
          <a:extLst>
            <a:ext uri="{FF2B5EF4-FFF2-40B4-BE49-F238E27FC236}">
              <a16:creationId xmlns:a16="http://schemas.microsoft.com/office/drawing/2014/main" id="{00000000-0008-0000-0100-0000A7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264" name="Drop Down -1022" hidden="1">
          <a:extLst>
            <a:ext uri="{FF2B5EF4-FFF2-40B4-BE49-F238E27FC236}">
              <a16:creationId xmlns:a16="http://schemas.microsoft.com/office/drawing/2014/main" id="{00000000-0008-0000-0100-0000A8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65" name="Drop Down 1" hidden="1">
          <a:extLst>
            <a:ext uri="{FF2B5EF4-FFF2-40B4-BE49-F238E27FC236}">
              <a16:creationId xmlns:a16="http://schemas.microsoft.com/office/drawing/2014/main" id="{00000000-0008-0000-0100-0000A9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66" name="Drop Down 1" hidden="1">
          <a:extLst>
            <a:ext uri="{FF2B5EF4-FFF2-40B4-BE49-F238E27FC236}">
              <a16:creationId xmlns:a16="http://schemas.microsoft.com/office/drawing/2014/main" id="{00000000-0008-0000-0100-0000AA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67" name="Drop Down 1" hidden="1">
          <a:extLst>
            <a:ext uri="{FF2B5EF4-FFF2-40B4-BE49-F238E27FC236}">
              <a16:creationId xmlns:a16="http://schemas.microsoft.com/office/drawing/2014/main" id="{00000000-0008-0000-0100-0000AB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68" name="Drop Down 1" hidden="1">
          <a:extLst>
            <a:ext uri="{FF2B5EF4-FFF2-40B4-BE49-F238E27FC236}">
              <a16:creationId xmlns:a16="http://schemas.microsoft.com/office/drawing/2014/main" id="{00000000-0008-0000-0100-0000AC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69" name="Drop Down 2" hidden="1">
          <a:extLst>
            <a:ext uri="{FF2B5EF4-FFF2-40B4-BE49-F238E27FC236}">
              <a16:creationId xmlns:a16="http://schemas.microsoft.com/office/drawing/2014/main" id="{00000000-0008-0000-0100-0000AD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70" name="Drop Down 1" hidden="1">
          <a:extLst>
            <a:ext uri="{FF2B5EF4-FFF2-40B4-BE49-F238E27FC236}">
              <a16:creationId xmlns:a16="http://schemas.microsoft.com/office/drawing/2014/main" id="{00000000-0008-0000-0100-0000AE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271" name="Drop Down -1022" hidden="1">
          <a:extLst>
            <a:ext uri="{FF2B5EF4-FFF2-40B4-BE49-F238E27FC236}">
              <a16:creationId xmlns:a16="http://schemas.microsoft.com/office/drawing/2014/main" id="{00000000-0008-0000-0100-0000AF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72" name="Drop Down 1" hidden="1">
          <a:extLst>
            <a:ext uri="{FF2B5EF4-FFF2-40B4-BE49-F238E27FC236}">
              <a16:creationId xmlns:a16="http://schemas.microsoft.com/office/drawing/2014/main" id="{00000000-0008-0000-0100-0000B0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73" name="Drop Down 1" hidden="1">
          <a:extLst>
            <a:ext uri="{FF2B5EF4-FFF2-40B4-BE49-F238E27FC236}">
              <a16:creationId xmlns:a16="http://schemas.microsoft.com/office/drawing/2014/main" id="{00000000-0008-0000-0100-0000B1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74" name="Drop Down 1" hidden="1">
          <a:extLst>
            <a:ext uri="{FF2B5EF4-FFF2-40B4-BE49-F238E27FC236}">
              <a16:creationId xmlns:a16="http://schemas.microsoft.com/office/drawing/2014/main" id="{00000000-0008-0000-0100-0000B2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75" name="Drop Down 1" hidden="1">
          <a:extLst>
            <a:ext uri="{FF2B5EF4-FFF2-40B4-BE49-F238E27FC236}">
              <a16:creationId xmlns:a16="http://schemas.microsoft.com/office/drawing/2014/main" id="{00000000-0008-0000-0100-0000B3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76" name="Drop Down 2" hidden="1">
          <a:extLst>
            <a:ext uri="{FF2B5EF4-FFF2-40B4-BE49-F238E27FC236}">
              <a16:creationId xmlns:a16="http://schemas.microsoft.com/office/drawing/2014/main" id="{00000000-0008-0000-0100-0000B4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77" name="Drop Down 1" hidden="1">
          <a:extLst>
            <a:ext uri="{FF2B5EF4-FFF2-40B4-BE49-F238E27FC236}">
              <a16:creationId xmlns:a16="http://schemas.microsoft.com/office/drawing/2014/main" id="{00000000-0008-0000-0100-0000B5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78" name="Drop Down -1022" hidden="1">
          <a:extLst>
            <a:ext uri="{FF2B5EF4-FFF2-40B4-BE49-F238E27FC236}">
              <a16:creationId xmlns:a16="http://schemas.microsoft.com/office/drawing/2014/main" id="{00000000-0008-0000-0100-0000B6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79" name="Drop Down 1" hidden="1">
          <a:extLst>
            <a:ext uri="{FF2B5EF4-FFF2-40B4-BE49-F238E27FC236}">
              <a16:creationId xmlns:a16="http://schemas.microsoft.com/office/drawing/2014/main" id="{00000000-0008-0000-0100-0000B7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80" name="Drop Down 1" hidden="1">
          <a:extLst>
            <a:ext uri="{FF2B5EF4-FFF2-40B4-BE49-F238E27FC236}">
              <a16:creationId xmlns:a16="http://schemas.microsoft.com/office/drawing/2014/main" id="{00000000-0008-0000-0100-0000B8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81" name="Drop Down 1" hidden="1">
          <a:extLst>
            <a:ext uri="{FF2B5EF4-FFF2-40B4-BE49-F238E27FC236}">
              <a16:creationId xmlns:a16="http://schemas.microsoft.com/office/drawing/2014/main" id="{00000000-0008-0000-0100-0000B9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82" name="Drop Down 1" hidden="1">
          <a:extLst>
            <a:ext uri="{FF2B5EF4-FFF2-40B4-BE49-F238E27FC236}">
              <a16:creationId xmlns:a16="http://schemas.microsoft.com/office/drawing/2014/main" id="{00000000-0008-0000-0100-0000BA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83" name="Drop Down 2" hidden="1">
          <a:extLst>
            <a:ext uri="{FF2B5EF4-FFF2-40B4-BE49-F238E27FC236}">
              <a16:creationId xmlns:a16="http://schemas.microsoft.com/office/drawing/2014/main" id="{00000000-0008-0000-0100-0000BB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84" name="Drop Down 1" hidden="1">
          <a:extLst>
            <a:ext uri="{FF2B5EF4-FFF2-40B4-BE49-F238E27FC236}">
              <a16:creationId xmlns:a16="http://schemas.microsoft.com/office/drawing/2014/main" id="{00000000-0008-0000-0100-0000BC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85" name="Drop Down -1022" hidden="1">
          <a:extLst>
            <a:ext uri="{FF2B5EF4-FFF2-40B4-BE49-F238E27FC236}">
              <a16:creationId xmlns:a16="http://schemas.microsoft.com/office/drawing/2014/main" id="{00000000-0008-0000-0100-0000BD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86" name="Drop Down 1" hidden="1">
          <a:extLst>
            <a:ext uri="{FF2B5EF4-FFF2-40B4-BE49-F238E27FC236}">
              <a16:creationId xmlns:a16="http://schemas.microsoft.com/office/drawing/2014/main" id="{00000000-0008-0000-0100-0000BE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87" name="Drop Down 1" hidden="1">
          <a:extLst>
            <a:ext uri="{FF2B5EF4-FFF2-40B4-BE49-F238E27FC236}">
              <a16:creationId xmlns:a16="http://schemas.microsoft.com/office/drawing/2014/main" id="{00000000-0008-0000-0100-0000BF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88" name="Drop Down 1" hidden="1">
          <a:extLst>
            <a:ext uri="{FF2B5EF4-FFF2-40B4-BE49-F238E27FC236}">
              <a16:creationId xmlns:a16="http://schemas.microsoft.com/office/drawing/2014/main" id="{00000000-0008-0000-0100-0000C0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89" name="Drop Down 1" hidden="1">
          <a:extLst>
            <a:ext uri="{FF2B5EF4-FFF2-40B4-BE49-F238E27FC236}">
              <a16:creationId xmlns:a16="http://schemas.microsoft.com/office/drawing/2014/main" id="{00000000-0008-0000-0100-0000C1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90" name="Drop Down 2" hidden="1">
          <a:extLst>
            <a:ext uri="{FF2B5EF4-FFF2-40B4-BE49-F238E27FC236}">
              <a16:creationId xmlns:a16="http://schemas.microsoft.com/office/drawing/2014/main" id="{00000000-0008-0000-0100-0000C2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91" name="Drop Down 1" hidden="1">
          <a:extLst>
            <a:ext uri="{FF2B5EF4-FFF2-40B4-BE49-F238E27FC236}">
              <a16:creationId xmlns:a16="http://schemas.microsoft.com/office/drawing/2014/main" id="{00000000-0008-0000-0100-0000C3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292" name="Drop Down -1022" hidden="1">
          <a:extLst>
            <a:ext uri="{FF2B5EF4-FFF2-40B4-BE49-F238E27FC236}">
              <a16:creationId xmlns:a16="http://schemas.microsoft.com/office/drawing/2014/main" id="{00000000-0008-0000-0100-0000C4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93" name="Drop Down 1" hidden="1">
          <a:extLst>
            <a:ext uri="{FF2B5EF4-FFF2-40B4-BE49-F238E27FC236}">
              <a16:creationId xmlns:a16="http://schemas.microsoft.com/office/drawing/2014/main" id="{00000000-0008-0000-0100-0000C5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94" name="Drop Down 1" hidden="1">
          <a:extLst>
            <a:ext uri="{FF2B5EF4-FFF2-40B4-BE49-F238E27FC236}">
              <a16:creationId xmlns:a16="http://schemas.microsoft.com/office/drawing/2014/main" id="{00000000-0008-0000-0100-0000C6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95" name="Drop Down 1" hidden="1">
          <a:extLst>
            <a:ext uri="{FF2B5EF4-FFF2-40B4-BE49-F238E27FC236}">
              <a16:creationId xmlns:a16="http://schemas.microsoft.com/office/drawing/2014/main" id="{00000000-0008-0000-0100-0000C7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96" name="Drop Down 1" hidden="1">
          <a:extLst>
            <a:ext uri="{FF2B5EF4-FFF2-40B4-BE49-F238E27FC236}">
              <a16:creationId xmlns:a16="http://schemas.microsoft.com/office/drawing/2014/main" id="{00000000-0008-0000-0100-0000C8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97" name="Drop Down 2" hidden="1">
          <a:extLst>
            <a:ext uri="{FF2B5EF4-FFF2-40B4-BE49-F238E27FC236}">
              <a16:creationId xmlns:a16="http://schemas.microsoft.com/office/drawing/2014/main" id="{00000000-0008-0000-0100-0000C9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98" name="Drop Down 1" hidden="1">
          <a:extLst>
            <a:ext uri="{FF2B5EF4-FFF2-40B4-BE49-F238E27FC236}">
              <a16:creationId xmlns:a16="http://schemas.microsoft.com/office/drawing/2014/main" id="{00000000-0008-0000-0100-0000CA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299" name="Drop Down -1022" hidden="1">
          <a:extLst>
            <a:ext uri="{FF2B5EF4-FFF2-40B4-BE49-F238E27FC236}">
              <a16:creationId xmlns:a16="http://schemas.microsoft.com/office/drawing/2014/main" id="{00000000-0008-0000-0100-0000CB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00" name="Drop Down 1" hidden="1">
          <a:extLst>
            <a:ext uri="{FF2B5EF4-FFF2-40B4-BE49-F238E27FC236}">
              <a16:creationId xmlns:a16="http://schemas.microsoft.com/office/drawing/2014/main" id="{00000000-0008-0000-0100-0000CC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01" name="Drop Down 1" hidden="1">
          <a:extLst>
            <a:ext uri="{FF2B5EF4-FFF2-40B4-BE49-F238E27FC236}">
              <a16:creationId xmlns:a16="http://schemas.microsoft.com/office/drawing/2014/main" id="{00000000-0008-0000-0100-0000CD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02" name="Drop Down 1" hidden="1">
          <a:extLst>
            <a:ext uri="{FF2B5EF4-FFF2-40B4-BE49-F238E27FC236}">
              <a16:creationId xmlns:a16="http://schemas.microsoft.com/office/drawing/2014/main" id="{00000000-0008-0000-0100-0000CE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03" name="Drop Down 1" hidden="1">
          <a:extLst>
            <a:ext uri="{FF2B5EF4-FFF2-40B4-BE49-F238E27FC236}">
              <a16:creationId xmlns:a16="http://schemas.microsoft.com/office/drawing/2014/main" id="{00000000-0008-0000-0100-0000CF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04" name="Drop Down 2" hidden="1">
          <a:extLst>
            <a:ext uri="{FF2B5EF4-FFF2-40B4-BE49-F238E27FC236}">
              <a16:creationId xmlns:a16="http://schemas.microsoft.com/office/drawing/2014/main" id="{00000000-0008-0000-0100-0000D0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05" name="Drop Down 1" hidden="1">
          <a:extLst>
            <a:ext uri="{FF2B5EF4-FFF2-40B4-BE49-F238E27FC236}">
              <a16:creationId xmlns:a16="http://schemas.microsoft.com/office/drawing/2014/main" id="{00000000-0008-0000-0100-0000D1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306" name="Drop Down -1022" hidden="1">
          <a:extLst>
            <a:ext uri="{FF2B5EF4-FFF2-40B4-BE49-F238E27FC236}">
              <a16:creationId xmlns:a16="http://schemas.microsoft.com/office/drawing/2014/main" id="{00000000-0008-0000-0100-0000D2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307" name="Drop Down 1" hidden="1">
          <a:extLst>
            <a:ext uri="{FF2B5EF4-FFF2-40B4-BE49-F238E27FC236}">
              <a16:creationId xmlns:a16="http://schemas.microsoft.com/office/drawing/2014/main" id="{00000000-0008-0000-0100-0000D3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308" name="Drop Down 1" hidden="1">
          <a:extLst>
            <a:ext uri="{FF2B5EF4-FFF2-40B4-BE49-F238E27FC236}">
              <a16:creationId xmlns:a16="http://schemas.microsoft.com/office/drawing/2014/main" id="{00000000-0008-0000-0100-0000D4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309" name="Drop Down 1" hidden="1">
          <a:extLst>
            <a:ext uri="{FF2B5EF4-FFF2-40B4-BE49-F238E27FC236}">
              <a16:creationId xmlns:a16="http://schemas.microsoft.com/office/drawing/2014/main" id="{00000000-0008-0000-0100-0000D5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310" name="Drop Down 1" hidden="1">
          <a:extLst>
            <a:ext uri="{FF2B5EF4-FFF2-40B4-BE49-F238E27FC236}">
              <a16:creationId xmlns:a16="http://schemas.microsoft.com/office/drawing/2014/main" id="{00000000-0008-0000-0100-0000D6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311" name="Drop Down 2" hidden="1">
          <a:extLst>
            <a:ext uri="{FF2B5EF4-FFF2-40B4-BE49-F238E27FC236}">
              <a16:creationId xmlns:a16="http://schemas.microsoft.com/office/drawing/2014/main" id="{00000000-0008-0000-0100-0000D7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312" name="Drop Down 1" hidden="1">
          <a:extLst>
            <a:ext uri="{FF2B5EF4-FFF2-40B4-BE49-F238E27FC236}">
              <a16:creationId xmlns:a16="http://schemas.microsoft.com/office/drawing/2014/main" id="{00000000-0008-0000-0100-0000D8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313" name="Drop Down -1022" hidden="1">
          <a:extLst>
            <a:ext uri="{FF2B5EF4-FFF2-40B4-BE49-F238E27FC236}">
              <a16:creationId xmlns:a16="http://schemas.microsoft.com/office/drawing/2014/main" id="{00000000-0008-0000-0100-0000D9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14" name="Drop Down 1" hidden="1">
          <a:extLst>
            <a:ext uri="{FF2B5EF4-FFF2-40B4-BE49-F238E27FC236}">
              <a16:creationId xmlns:a16="http://schemas.microsoft.com/office/drawing/2014/main" id="{00000000-0008-0000-0100-0000DA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15" name="Drop Down 1" hidden="1">
          <a:extLst>
            <a:ext uri="{FF2B5EF4-FFF2-40B4-BE49-F238E27FC236}">
              <a16:creationId xmlns:a16="http://schemas.microsoft.com/office/drawing/2014/main" id="{00000000-0008-0000-0100-0000DB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16" name="Drop Down 1" hidden="1">
          <a:extLst>
            <a:ext uri="{FF2B5EF4-FFF2-40B4-BE49-F238E27FC236}">
              <a16:creationId xmlns:a16="http://schemas.microsoft.com/office/drawing/2014/main" id="{00000000-0008-0000-0100-0000DC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17" name="Drop Down 1" hidden="1">
          <a:extLst>
            <a:ext uri="{FF2B5EF4-FFF2-40B4-BE49-F238E27FC236}">
              <a16:creationId xmlns:a16="http://schemas.microsoft.com/office/drawing/2014/main" id="{00000000-0008-0000-0100-0000DD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18" name="Drop Down 2" hidden="1">
          <a:extLst>
            <a:ext uri="{FF2B5EF4-FFF2-40B4-BE49-F238E27FC236}">
              <a16:creationId xmlns:a16="http://schemas.microsoft.com/office/drawing/2014/main" id="{00000000-0008-0000-0100-0000DE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19" name="Drop Down 1" hidden="1">
          <a:extLst>
            <a:ext uri="{FF2B5EF4-FFF2-40B4-BE49-F238E27FC236}">
              <a16:creationId xmlns:a16="http://schemas.microsoft.com/office/drawing/2014/main" id="{00000000-0008-0000-0100-0000DF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20" name="Drop Down -1022" hidden="1">
          <a:extLst>
            <a:ext uri="{FF2B5EF4-FFF2-40B4-BE49-F238E27FC236}">
              <a16:creationId xmlns:a16="http://schemas.microsoft.com/office/drawing/2014/main" id="{00000000-0008-0000-0100-0000E0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21" name="Drop Down 1" hidden="1">
          <a:extLst>
            <a:ext uri="{FF2B5EF4-FFF2-40B4-BE49-F238E27FC236}">
              <a16:creationId xmlns:a16="http://schemas.microsoft.com/office/drawing/2014/main" id="{00000000-0008-0000-0100-0000E1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22" name="Drop Down 1" hidden="1">
          <a:extLst>
            <a:ext uri="{FF2B5EF4-FFF2-40B4-BE49-F238E27FC236}">
              <a16:creationId xmlns:a16="http://schemas.microsoft.com/office/drawing/2014/main" id="{00000000-0008-0000-0100-0000E2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23" name="Drop Down 1" hidden="1">
          <a:extLst>
            <a:ext uri="{FF2B5EF4-FFF2-40B4-BE49-F238E27FC236}">
              <a16:creationId xmlns:a16="http://schemas.microsoft.com/office/drawing/2014/main" id="{00000000-0008-0000-0100-0000E3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24" name="Drop Down 1" hidden="1">
          <a:extLst>
            <a:ext uri="{FF2B5EF4-FFF2-40B4-BE49-F238E27FC236}">
              <a16:creationId xmlns:a16="http://schemas.microsoft.com/office/drawing/2014/main" id="{00000000-0008-0000-0100-0000E4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25" name="Drop Down 2" hidden="1">
          <a:extLst>
            <a:ext uri="{FF2B5EF4-FFF2-40B4-BE49-F238E27FC236}">
              <a16:creationId xmlns:a16="http://schemas.microsoft.com/office/drawing/2014/main" id="{00000000-0008-0000-0100-0000E5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26" name="Drop Down 1" hidden="1">
          <a:extLst>
            <a:ext uri="{FF2B5EF4-FFF2-40B4-BE49-F238E27FC236}">
              <a16:creationId xmlns:a16="http://schemas.microsoft.com/office/drawing/2014/main" id="{00000000-0008-0000-0100-0000E6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27" name="Drop Down -1022" hidden="1">
          <a:extLst>
            <a:ext uri="{FF2B5EF4-FFF2-40B4-BE49-F238E27FC236}">
              <a16:creationId xmlns:a16="http://schemas.microsoft.com/office/drawing/2014/main" id="{00000000-0008-0000-0100-0000E710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28" name="Drop Down 1" hidden="1">
          <a:extLst>
            <a:ext uri="{FF2B5EF4-FFF2-40B4-BE49-F238E27FC236}">
              <a16:creationId xmlns:a16="http://schemas.microsoft.com/office/drawing/2014/main" id="{00000000-0008-0000-0100-0000E8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29" name="Drop Down 1" hidden="1">
          <a:extLst>
            <a:ext uri="{FF2B5EF4-FFF2-40B4-BE49-F238E27FC236}">
              <a16:creationId xmlns:a16="http://schemas.microsoft.com/office/drawing/2014/main" id="{00000000-0008-0000-0100-0000E9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30" name="Drop Down 1" hidden="1">
          <a:extLst>
            <a:ext uri="{FF2B5EF4-FFF2-40B4-BE49-F238E27FC236}">
              <a16:creationId xmlns:a16="http://schemas.microsoft.com/office/drawing/2014/main" id="{00000000-0008-0000-0100-0000EA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31" name="Drop Down 1" hidden="1">
          <a:extLst>
            <a:ext uri="{FF2B5EF4-FFF2-40B4-BE49-F238E27FC236}">
              <a16:creationId xmlns:a16="http://schemas.microsoft.com/office/drawing/2014/main" id="{00000000-0008-0000-0100-0000EB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32" name="Drop Down 2" hidden="1">
          <a:extLst>
            <a:ext uri="{FF2B5EF4-FFF2-40B4-BE49-F238E27FC236}">
              <a16:creationId xmlns:a16="http://schemas.microsoft.com/office/drawing/2014/main" id="{00000000-0008-0000-0100-0000EC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33" name="Drop Down 1" hidden="1">
          <a:extLst>
            <a:ext uri="{FF2B5EF4-FFF2-40B4-BE49-F238E27FC236}">
              <a16:creationId xmlns:a16="http://schemas.microsoft.com/office/drawing/2014/main" id="{00000000-0008-0000-0100-0000ED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34" name="Drop Down -1022" hidden="1">
          <a:extLst>
            <a:ext uri="{FF2B5EF4-FFF2-40B4-BE49-F238E27FC236}">
              <a16:creationId xmlns:a16="http://schemas.microsoft.com/office/drawing/2014/main" id="{00000000-0008-0000-0100-0000EE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35" name="Drop Down 1" hidden="1">
          <a:extLst>
            <a:ext uri="{FF2B5EF4-FFF2-40B4-BE49-F238E27FC236}">
              <a16:creationId xmlns:a16="http://schemas.microsoft.com/office/drawing/2014/main" id="{00000000-0008-0000-0100-0000EF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36" name="Drop Down 1" hidden="1">
          <a:extLst>
            <a:ext uri="{FF2B5EF4-FFF2-40B4-BE49-F238E27FC236}">
              <a16:creationId xmlns:a16="http://schemas.microsoft.com/office/drawing/2014/main" id="{00000000-0008-0000-0100-0000F0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37" name="Drop Down 1" hidden="1">
          <a:extLst>
            <a:ext uri="{FF2B5EF4-FFF2-40B4-BE49-F238E27FC236}">
              <a16:creationId xmlns:a16="http://schemas.microsoft.com/office/drawing/2014/main" id="{00000000-0008-0000-0100-0000F1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38" name="Drop Down 1" hidden="1">
          <a:extLst>
            <a:ext uri="{FF2B5EF4-FFF2-40B4-BE49-F238E27FC236}">
              <a16:creationId xmlns:a16="http://schemas.microsoft.com/office/drawing/2014/main" id="{00000000-0008-0000-0100-0000F2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39" name="Drop Down 2" hidden="1">
          <a:extLst>
            <a:ext uri="{FF2B5EF4-FFF2-40B4-BE49-F238E27FC236}">
              <a16:creationId xmlns:a16="http://schemas.microsoft.com/office/drawing/2014/main" id="{00000000-0008-0000-0100-0000F3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40" name="Drop Down 1" hidden="1">
          <a:extLst>
            <a:ext uri="{FF2B5EF4-FFF2-40B4-BE49-F238E27FC236}">
              <a16:creationId xmlns:a16="http://schemas.microsoft.com/office/drawing/2014/main" id="{00000000-0008-0000-0100-0000F4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41" name="Drop Down -1022" hidden="1">
          <a:extLst>
            <a:ext uri="{FF2B5EF4-FFF2-40B4-BE49-F238E27FC236}">
              <a16:creationId xmlns:a16="http://schemas.microsoft.com/office/drawing/2014/main" id="{00000000-0008-0000-0100-0000F5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42" name="Drop Down 1" hidden="1">
          <a:extLst>
            <a:ext uri="{FF2B5EF4-FFF2-40B4-BE49-F238E27FC236}">
              <a16:creationId xmlns:a16="http://schemas.microsoft.com/office/drawing/2014/main" id="{00000000-0008-0000-0100-0000F6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43" name="Drop Down 1" hidden="1">
          <a:extLst>
            <a:ext uri="{FF2B5EF4-FFF2-40B4-BE49-F238E27FC236}">
              <a16:creationId xmlns:a16="http://schemas.microsoft.com/office/drawing/2014/main" id="{00000000-0008-0000-0100-0000F7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44" name="Drop Down 1" hidden="1">
          <a:extLst>
            <a:ext uri="{FF2B5EF4-FFF2-40B4-BE49-F238E27FC236}">
              <a16:creationId xmlns:a16="http://schemas.microsoft.com/office/drawing/2014/main" id="{00000000-0008-0000-0100-0000F8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45" name="Drop Down 1" hidden="1">
          <a:extLst>
            <a:ext uri="{FF2B5EF4-FFF2-40B4-BE49-F238E27FC236}">
              <a16:creationId xmlns:a16="http://schemas.microsoft.com/office/drawing/2014/main" id="{00000000-0008-0000-0100-0000F9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46" name="Drop Down 2" hidden="1">
          <a:extLst>
            <a:ext uri="{FF2B5EF4-FFF2-40B4-BE49-F238E27FC236}">
              <a16:creationId xmlns:a16="http://schemas.microsoft.com/office/drawing/2014/main" id="{00000000-0008-0000-0100-0000FA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47" name="Drop Down 1" hidden="1">
          <a:extLst>
            <a:ext uri="{FF2B5EF4-FFF2-40B4-BE49-F238E27FC236}">
              <a16:creationId xmlns:a16="http://schemas.microsoft.com/office/drawing/2014/main" id="{00000000-0008-0000-0100-0000FB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48" name="Drop Down -1022" hidden="1">
          <a:extLst>
            <a:ext uri="{FF2B5EF4-FFF2-40B4-BE49-F238E27FC236}">
              <a16:creationId xmlns:a16="http://schemas.microsoft.com/office/drawing/2014/main" id="{00000000-0008-0000-0100-0000FC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49" name="Drop Down 1" hidden="1">
          <a:extLst>
            <a:ext uri="{FF2B5EF4-FFF2-40B4-BE49-F238E27FC236}">
              <a16:creationId xmlns:a16="http://schemas.microsoft.com/office/drawing/2014/main" id="{00000000-0008-0000-0100-0000FD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50" name="Drop Down 1" hidden="1">
          <a:extLst>
            <a:ext uri="{FF2B5EF4-FFF2-40B4-BE49-F238E27FC236}">
              <a16:creationId xmlns:a16="http://schemas.microsoft.com/office/drawing/2014/main" id="{00000000-0008-0000-0100-0000FE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51" name="Drop Down 1" hidden="1">
          <a:extLst>
            <a:ext uri="{FF2B5EF4-FFF2-40B4-BE49-F238E27FC236}">
              <a16:creationId xmlns:a16="http://schemas.microsoft.com/office/drawing/2014/main" id="{00000000-0008-0000-0100-0000FF10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52" name="Drop Down 1" hidden="1">
          <a:extLst>
            <a:ext uri="{FF2B5EF4-FFF2-40B4-BE49-F238E27FC236}">
              <a16:creationId xmlns:a16="http://schemas.microsoft.com/office/drawing/2014/main" id="{00000000-0008-0000-0100-00000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53" name="Drop Down 2" hidden="1">
          <a:extLst>
            <a:ext uri="{FF2B5EF4-FFF2-40B4-BE49-F238E27FC236}">
              <a16:creationId xmlns:a16="http://schemas.microsoft.com/office/drawing/2014/main" id="{00000000-0008-0000-0100-00000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54" name="Drop Down 1" hidden="1">
          <a:extLst>
            <a:ext uri="{FF2B5EF4-FFF2-40B4-BE49-F238E27FC236}">
              <a16:creationId xmlns:a16="http://schemas.microsoft.com/office/drawing/2014/main" id="{00000000-0008-0000-0100-00000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55" name="Drop Down -1022" hidden="1">
          <a:extLst>
            <a:ext uri="{FF2B5EF4-FFF2-40B4-BE49-F238E27FC236}">
              <a16:creationId xmlns:a16="http://schemas.microsoft.com/office/drawing/2014/main" id="{00000000-0008-0000-0100-00000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56" name="Drop Down 1" hidden="1">
          <a:extLst>
            <a:ext uri="{FF2B5EF4-FFF2-40B4-BE49-F238E27FC236}">
              <a16:creationId xmlns:a16="http://schemas.microsoft.com/office/drawing/2014/main" id="{00000000-0008-0000-0100-00000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57" name="Drop Down 1" hidden="1">
          <a:extLst>
            <a:ext uri="{FF2B5EF4-FFF2-40B4-BE49-F238E27FC236}">
              <a16:creationId xmlns:a16="http://schemas.microsoft.com/office/drawing/2014/main" id="{00000000-0008-0000-0100-00000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58" name="Drop Down 1" hidden="1">
          <a:extLst>
            <a:ext uri="{FF2B5EF4-FFF2-40B4-BE49-F238E27FC236}">
              <a16:creationId xmlns:a16="http://schemas.microsoft.com/office/drawing/2014/main" id="{00000000-0008-0000-0100-00000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59" name="Drop Down 1" hidden="1">
          <a:extLst>
            <a:ext uri="{FF2B5EF4-FFF2-40B4-BE49-F238E27FC236}">
              <a16:creationId xmlns:a16="http://schemas.microsoft.com/office/drawing/2014/main" id="{00000000-0008-0000-0100-00000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60" name="Drop Down 2" hidden="1">
          <a:extLst>
            <a:ext uri="{FF2B5EF4-FFF2-40B4-BE49-F238E27FC236}">
              <a16:creationId xmlns:a16="http://schemas.microsoft.com/office/drawing/2014/main" id="{00000000-0008-0000-0100-00000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61" name="Drop Down 1" hidden="1">
          <a:extLst>
            <a:ext uri="{FF2B5EF4-FFF2-40B4-BE49-F238E27FC236}">
              <a16:creationId xmlns:a16="http://schemas.microsoft.com/office/drawing/2014/main" id="{00000000-0008-0000-0100-00000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62" name="Drop Down -1022" hidden="1">
          <a:extLst>
            <a:ext uri="{FF2B5EF4-FFF2-40B4-BE49-F238E27FC236}">
              <a16:creationId xmlns:a16="http://schemas.microsoft.com/office/drawing/2014/main" id="{00000000-0008-0000-0100-00000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63" name="Drop Down 1" hidden="1">
          <a:extLst>
            <a:ext uri="{FF2B5EF4-FFF2-40B4-BE49-F238E27FC236}">
              <a16:creationId xmlns:a16="http://schemas.microsoft.com/office/drawing/2014/main" id="{00000000-0008-0000-0100-00000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64" name="Drop Down 1" hidden="1">
          <a:extLst>
            <a:ext uri="{FF2B5EF4-FFF2-40B4-BE49-F238E27FC236}">
              <a16:creationId xmlns:a16="http://schemas.microsoft.com/office/drawing/2014/main" id="{00000000-0008-0000-0100-00000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65" name="Drop Down 1" hidden="1">
          <a:extLst>
            <a:ext uri="{FF2B5EF4-FFF2-40B4-BE49-F238E27FC236}">
              <a16:creationId xmlns:a16="http://schemas.microsoft.com/office/drawing/2014/main" id="{00000000-0008-0000-0100-00000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66" name="Drop Down 1" hidden="1">
          <a:extLst>
            <a:ext uri="{FF2B5EF4-FFF2-40B4-BE49-F238E27FC236}">
              <a16:creationId xmlns:a16="http://schemas.microsoft.com/office/drawing/2014/main" id="{00000000-0008-0000-0100-00000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67" name="Drop Down 2" hidden="1">
          <a:extLst>
            <a:ext uri="{FF2B5EF4-FFF2-40B4-BE49-F238E27FC236}">
              <a16:creationId xmlns:a16="http://schemas.microsoft.com/office/drawing/2014/main" id="{00000000-0008-0000-0100-00000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68" name="Drop Down 1" hidden="1">
          <a:extLst>
            <a:ext uri="{FF2B5EF4-FFF2-40B4-BE49-F238E27FC236}">
              <a16:creationId xmlns:a16="http://schemas.microsoft.com/office/drawing/2014/main" id="{00000000-0008-0000-0100-00001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69" name="Drop Down -1022" hidden="1">
          <a:extLst>
            <a:ext uri="{FF2B5EF4-FFF2-40B4-BE49-F238E27FC236}">
              <a16:creationId xmlns:a16="http://schemas.microsoft.com/office/drawing/2014/main" id="{00000000-0008-0000-0100-00001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70" name="Drop Down 1" hidden="1">
          <a:extLst>
            <a:ext uri="{FF2B5EF4-FFF2-40B4-BE49-F238E27FC236}">
              <a16:creationId xmlns:a16="http://schemas.microsoft.com/office/drawing/2014/main" id="{00000000-0008-0000-0100-00001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71" name="Drop Down 1" hidden="1">
          <a:extLst>
            <a:ext uri="{FF2B5EF4-FFF2-40B4-BE49-F238E27FC236}">
              <a16:creationId xmlns:a16="http://schemas.microsoft.com/office/drawing/2014/main" id="{00000000-0008-0000-0100-00001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72" name="Drop Down 1" hidden="1">
          <a:extLst>
            <a:ext uri="{FF2B5EF4-FFF2-40B4-BE49-F238E27FC236}">
              <a16:creationId xmlns:a16="http://schemas.microsoft.com/office/drawing/2014/main" id="{00000000-0008-0000-0100-00001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73" name="Drop Down 1" hidden="1">
          <a:extLst>
            <a:ext uri="{FF2B5EF4-FFF2-40B4-BE49-F238E27FC236}">
              <a16:creationId xmlns:a16="http://schemas.microsoft.com/office/drawing/2014/main" id="{00000000-0008-0000-0100-00001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74" name="Drop Down 2" hidden="1">
          <a:extLst>
            <a:ext uri="{FF2B5EF4-FFF2-40B4-BE49-F238E27FC236}">
              <a16:creationId xmlns:a16="http://schemas.microsoft.com/office/drawing/2014/main" id="{00000000-0008-0000-0100-00001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75" name="Drop Down 1" hidden="1">
          <a:extLst>
            <a:ext uri="{FF2B5EF4-FFF2-40B4-BE49-F238E27FC236}">
              <a16:creationId xmlns:a16="http://schemas.microsoft.com/office/drawing/2014/main" id="{00000000-0008-0000-0100-00001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376" name="Drop Down -1022" hidden="1">
          <a:extLst>
            <a:ext uri="{FF2B5EF4-FFF2-40B4-BE49-F238E27FC236}">
              <a16:creationId xmlns:a16="http://schemas.microsoft.com/office/drawing/2014/main" id="{00000000-0008-0000-0100-00001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77" name="Drop Down 1" hidden="1">
          <a:extLst>
            <a:ext uri="{FF2B5EF4-FFF2-40B4-BE49-F238E27FC236}">
              <a16:creationId xmlns:a16="http://schemas.microsoft.com/office/drawing/2014/main" id="{00000000-0008-0000-0100-00001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78" name="Drop Down 1" hidden="1">
          <a:extLst>
            <a:ext uri="{FF2B5EF4-FFF2-40B4-BE49-F238E27FC236}">
              <a16:creationId xmlns:a16="http://schemas.microsoft.com/office/drawing/2014/main" id="{00000000-0008-0000-0100-00001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79" name="Drop Down 1" hidden="1">
          <a:extLst>
            <a:ext uri="{FF2B5EF4-FFF2-40B4-BE49-F238E27FC236}">
              <a16:creationId xmlns:a16="http://schemas.microsoft.com/office/drawing/2014/main" id="{00000000-0008-0000-0100-00001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80" name="Drop Down 1" hidden="1">
          <a:extLst>
            <a:ext uri="{FF2B5EF4-FFF2-40B4-BE49-F238E27FC236}">
              <a16:creationId xmlns:a16="http://schemas.microsoft.com/office/drawing/2014/main" id="{00000000-0008-0000-0100-00001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81" name="Drop Down 2" hidden="1">
          <a:extLst>
            <a:ext uri="{FF2B5EF4-FFF2-40B4-BE49-F238E27FC236}">
              <a16:creationId xmlns:a16="http://schemas.microsoft.com/office/drawing/2014/main" id="{00000000-0008-0000-0100-00001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82" name="Drop Down 1" hidden="1">
          <a:extLst>
            <a:ext uri="{FF2B5EF4-FFF2-40B4-BE49-F238E27FC236}">
              <a16:creationId xmlns:a16="http://schemas.microsoft.com/office/drawing/2014/main" id="{00000000-0008-0000-0100-00001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383" name="Drop Down -1022" hidden="1">
          <a:extLst>
            <a:ext uri="{FF2B5EF4-FFF2-40B4-BE49-F238E27FC236}">
              <a16:creationId xmlns:a16="http://schemas.microsoft.com/office/drawing/2014/main" id="{00000000-0008-0000-0100-00001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84" name="Drop Down 1" hidden="1">
          <a:extLst>
            <a:ext uri="{FF2B5EF4-FFF2-40B4-BE49-F238E27FC236}">
              <a16:creationId xmlns:a16="http://schemas.microsoft.com/office/drawing/2014/main" id="{00000000-0008-0000-0100-000020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85" name="Drop Down 1" hidden="1">
          <a:extLst>
            <a:ext uri="{FF2B5EF4-FFF2-40B4-BE49-F238E27FC236}">
              <a16:creationId xmlns:a16="http://schemas.microsoft.com/office/drawing/2014/main" id="{00000000-0008-0000-0100-000021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86" name="Drop Down 1" hidden="1">
          <a:extLst>
            <a:ext uri="{FF2B5EF4-FFF2-40B4-BE49-F238E27FC236}">
              <a16:creationId xmlns:a16="http://schemas.microsoft.com/office/drawing/2014/main" id="{00000000-0008-0000-0100-000022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87" name="Drop Down 1" hidden="1">
          <a:extLst>
            <a:ext uri="{FF2B5EF4-FFF2-40B4-BE49-F238E27FC236}">
              <a16:creationId xmlns:a16="http://schemas.microsoft.com/office/drawing/2014/main" id="{00000000-0008-0000-0100-000023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88" name="Drop Down 2" hidden="1">
          <a:extLst>
            <a:ext uri="{FF2B5EF4-FFF2-40B4-BE49-F238E27FC236}">
              <a16:creationId xmlns:a16="http://schemas.microsoft.com/office/drawing/2014/main" id="{00000000-0008-0000-0100-000024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89" name="Drop Down 1" hidden="1">
          <a:extLst>
            <a:ext uri="{FF2B5EF4-FFF2-40B4-BE49-F238E27FC236}">
              <a16:creationId xmlns:a16="http://schemas.microsoft.com/office/drawing/2014/main" id="{00000000-0008-0000-0100-000025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90" name="Drop Down -1022" hidden="1">
          <a:extLst>
            <a:ext uri="{FF2B5EF4-FFF2-40B4-BE49-F238E27FC236}">
              <a16:creationId xmlns:a16="http://schemas.microsoft.com/office/drawing/2014/main" id="{00000000-0008-0000-0100-000026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91" name="Drop Down 1" hidden="1">
          <a:extLst>
            <a:ext uri="{FF2B5EF4-FFF2-40B4-BE49-F238E27FC236}">
              <a16:creationId xmlns:a16="http://schemas.microsoft.com/office/drawing/2014/main" id="{00000000-0008-0000-0100-000027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92" name="Drop Down 1" hidden="1">
          <a:extLst>
            <a:ext uri="{FF2B5EF4-FFF2-40B4-BE49-F238E27FC236}">
              <a16:creationId xmlns:a16="http://schemas.microsoft.com/office/drawing/2014/main" id="{00000000-0008-0000-0100-000028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93" name="Drop Down 1" hidden="1">
          <a:extLst>
            <a:ext uri="{FF2B5EF4-FFF2-40B4-BE49-F238E27FC236}">
              <a16:creationId xmlns:a16="http://schemas.microsoft.com/office/drawing/2014/main" id="{00000000-0008-0000-0100-000029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94" name="Drop Down 1" hidden="1">
          <a:extLst>
            <a:ext uri="{FF2B5EF4-FFF2-40B4-BE49-F238E27FC236}">
              <a16:creationId xmlns:a16="http://schemas.microsoft.com/office/drawing/2014/main" id="{00000000-0008-0000-0100-00002A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95" name="Drop Down 2" hidden="1">
          <a:extLst>
            <a:ext uri="{FF2B5EF4-FFF2-40B4-BE49-F238E27FC236}">
              <a16:creationId xmlns:a16="http://schemas.microsoft.com/office/drawing/2014/main" id="{00000000-0008-0000-0100-00002B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96" name="Drop Down 1" hidden="1">
          <a:extLst>
            <a:ext uri="{FF2B5EF4-FFF2-40B4-BE49-F238E27FC236}">
              <a16:creationId xmlns:a16="http://schemas.microsoft.com/office/drawing/2014/main" id="{00000000-0008-0000-0100-00002C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397" name="Drop Down -1022" hidden="1">
          <a:extLst>
            <a:ext uri="{FF2B5EF4-FFF2-40B4-BE49-F238E27FC236}">
              <a16:creationId xmlns:a16="http://schemas.microsoft.com/office/drawing/2014/main" id="{00000000-0008-0000-0100-00002D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98" name="Drop Down 1" hidden="1">
          <a:extLst>
            <a:ext uri="{FF2B5EF4-FFF2-40B4-BE49-F238E27FC236}">
              <a16:creationId xmlns:a16="http://schemas.microsoft.com/office/drawing/2014/main" id="{00000000-0008-0000-0100-00002E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399" name="Drop Down 1" hidden="1">
          <a:extLst>
            <a:ext uri="{FF2B5EF4-FFF2-40B4-BE49-F238E27FC236}">
              <a16:creationId xmlns:a16="http://schemas.microsoft.com/office/drawing/2014/main" id="{00000000-0008-0000-0100-00002F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00" name="Drop Down 1" hidden="1">
          <a:extLst>
            <a:ext uri="{FF2B5EF4-FFF2-40B4-BE49-F238E27FC236}">
              <a16:creationId xmlns:a16="http://schemas.microsoft.com/office/drawing/2014/main" id="{00000000-0008-0000-0100-000030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01" name="Drop Down 1" hidden="1">
          <a:extLst>
            <a:ext uri="{FF2B5EF4-FFF2-40B4-BE49-F238E27FC236}">
              <a16:creationId xmlns:a16="http://schemas.microsoft.com/office/drawing/2014/main" id="{00000000-0008-0000-0100-000031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02" name="Drop Down 2" hidden="1">
          <a:extLst>
            <a:ext uri="{FF2B5EF4-FFF2-40B4-BE49-F238E27FC236}">
              <a16:creationId xmlns:a16="http://schemas.microsoft.com/office/drawing/2014/main" id="{00000000-0008-0000-0100-000032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03" name="Drop Down 1" hidden="1">
          <a:extLst>
            <a:ext uri="{FF2B5EF4-FFF2-40B4-BE49-F238E27FC236}">
              <a16:creationId xmlns:a16="http://schemas.microsoft.com/office/drawing/2014/main" id="{00000000-0008-0000-0100-000033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04" name="Drop Down -1022" hidden="1">
          <a:extLst>
            <a:ext uri="{FF2B5EF4-FFF2-40B4-BE49-F238E27FC236}">
              <a16:creationId xmlns:a16="http://schemas.microsoft.com/office/drawing/2014/main" id="{00000000-0008-0000-0100-000034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05" name="Drop Down 1" hidden="1">
          <a:extLst>
            <a:ext uri="{FF2B5EF4-FFF2-40B4-BE49-F238E27FC236}">
              <a16:creationId xmlns:a16="http://schemas.microsoft.com/office/drawing/2014/main" id="{00000000-0008-0000-0100-000035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06" name="Drop Down 1" hidden="1">
          <a:extLst>
            <a:ext uri="{FF2B5EF4-FFF2-40B4-BE49-F238E27FC236}">
              <a16:creationId xmlns:a16="http://schemas.microsoft.com/office/drawing/2014/main" id="{00000000-0008-0000-0100-000036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07" name="Drop Down 1" hidden="1">
          <a:extLst>
            <a:ext uri="{FF2B5EF4-FFF2-40B4-BE49-F238E27FC236}">
              <a16:creationId xmlns:a16="http://schemas.microsoft.com/office/drawing/2014/main" id="{00000000-0008-0000-0100-000037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08" name="Drop Down 1" hidden="1">
          <a:extLst>
            <a:ext uri="{FF2B5EF4-FFF2-40B4-BE49-F238E27FC236}">
              <a16:creationId xmlns:a16="http://schemas.microsoft.com/office/drawing/2014/main" id="{00000000-0008-0000-0100-000038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09" name="Drop Down 2" hidden="1">
          <a:extLst>
            <a:ext uri="{FF2B5EF4-FFF2-40B4-BE49-F238E27FC236}">
              <a16:creationId xmlns:a16="http://schemas.microsoft.com/office/drawing/2014/main" id="{00000000-0008-0000-0100-000039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10" name="Drop Down 1" hidden="1">
          <a:extLst>
            <a:ext uri="{FF2B5EF4-FFF2-40B4-BE49-F238E27FC236}">
              <a16:creationId xmlns:a16="http://schemas.microsoft.com/office/drawing/2014/main" id="{00000000-0008-0000-0100-00003A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11" name="Drop Down -1022" hidden="1">
          <a:extLst>
            <a:ext uri="{FF2B5EF4-FFF2-40B4-BE49-F238E27FC236}">
              <a16:creationId xmlns:a16="http://schemas.microsoft.com/office/drawing/2014/main" id="{00000000-0008-0000-0100-00003B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12" name="Drop Down 1" hidden="1">
          <a:extLst>
            <a:ext uri="{FF2B5EF4-FFF2-40B4-BE49-F238E27FC236}">
              <a16:creationId xmlns:a16="http://schemas.microsoft.com/office/drawing/2014/main" id="{00000000-0008-0000-0100-00003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13" name="Drop Down 1" hidden="1">
          <a:extLst>
            <a:ext uri="{FF2B5EF4-FFF2-40B4-BE49-F238E27FC236}">
              <a16:creationId xmlns:a16="http://schemas.microsoft.com/office/drawing/2014/main" id="{00000000-0008-0000-0100-00003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14" name="Drop Down 1" hidden="1">
          <a:extLst>
            <a:ext uri="{FF2B5EF4-FFF2-40B4-BE49-F238E27FC236}">
              <a16:creationId xmlns:a16="http://schemas.microsoft.com/office/drawing/2014/main" id="{00000000-0008-0000-0100-00003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15" name="Drop Down 1" hidden="1">
          <a:extLst>
            <a:ext uri="{FF2B5EF4-FFF2-40B4-BE49-F238E27FC236}">
              <a16:creationId xmlns:a16="http://schemas.microsoft.com/office/drawing/2014/main" id="{00000000-0008-0000-0100-00003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16" name="Drop Down 2" hidden="1">
          <a:extLst>
            <a:ext uri="{FF2B5EF4-FFF2-40B4-BE49-F238E27FC236}">
              <a16:creationId xmlns:a16="http://schemas.microsoft.com/office/drawing/2014/main" id="{00000000-0008-0000-0100-00004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17" name="Drop Down 1" hidden="1">
          <a:extLst>
            <a:ext uri="{FF2B5EF4-FFF2-40B4-BE49-F238E27FC236}">
              <a16:creationId xmlns:a16="http://schemas.microsoft.com/office/drawing/2014/main" id="{00000000-0008-0000-0100-00004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18" name="Drop Down -1022" hidden="1">
          <a:extLst>
            <a:ext uri="{FF2B5EF4-FFF2-40B4-BE49-F238E27FC236}">
              <a16:creationId xmlns:a16="http://schemas.microsoft.com/office/drawing/2014/main" id="{00000000-0008-0000-0100-00004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19" name="Drop Down 1" hidden="1">
          <a:extLst>
            <a:ext uri="{FF2B5EF4-FFF2-40B4-BE49-F238E27FC236}">
              <a16:creationId xmlns:a16="http://schemas.microsoft.com/office/drawing/2014/main" id="{00000000-0008-0000-0100-00004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20" name="Drop Down 1" hidden="1">
          <a:extLst>
            <a:ext uri="{FF2B5EF4-FFF2-40B4-BE49-F238E27FC236}">
              <a16:creationId xmlns:a16="http://schemas.microsoft.com/office/drawing/2014/main" id="{00000000-0008-0000-0100-00004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21" name="Drop Down 1" hidden="1">
          <a:extLst>
            <a:ext uri="{FF2B5EF4-FFF2-40B4-BE49-F238E27FC236}">
              <a16:creationId xmlns:a16="http://schemas.microsoft.com/office/drawing/2014/main" id="{00000000-0008-0000-0100-00004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22" name="Drop Down 1" hidden="1">
          <a:extLst>
            <a:ext uri="{FF2B5EF4-FFF2-40B4-BE49-F238E27FC236}">
              <a16:creationId xmlns:a16="http://schemas.microsoft.com/office/drawing/2014/main" id="{00000000-0008-0000-0100-00004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23" name="Drop Down 2" hidden="1">
          <a:extLst>
            <a:ext uri="{FF2B5EF4-FFF2-40B4-BE49-F238E27FC236}">
              <a16:creationId xmlns:a16="http://schemas.microsoft.com/office/drawing/2014/main" id="{00000000-0008-0000-0100-00004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24" name="Drop Down 1" hidden="1">
          <a:extLst>
            <a:ext uri="{FF2B5EF4-FFF2-40B4-BE49-F238E27FC236}">
              <a16:creationId xmlns:a16="http://schemas.microsoft.com/office/drawing/2014/main" id="{00000000-0008-0000-0100-00004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25" name="Drop Down -1022" hidden="1">
          <a:extLst>
            <a:ext uri="{FF2B5EF4-FFF2-40B4-BE49-F238E27FC236}">
              <a16:creationId xmlns:a16="http://schemas.microsoft.com/office/drawing/2014/main" id="{00000000-0008-0000-0100-00004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26" name="Drop Down 1" hidden="1">
          <a:extLst>
            <a:ext uri="{FF2B5EF4-FFF2-40B4-BE49-F238E27FC236}">
              <a16:creationId xmlns:a16="http://schemas.microsoft.com/office/drawing/2014/main" id="{00000000-0008-0000-0100-00004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27" name="Drop Down 1" hidden="1">
          <a:extLst>
            <a:ext uri="{FF2B5EF4-FFF2-40B4-BE49-F238E27FC236}">
              <a16:creationId xmlns:a16="http://schemas.microsoft.com/office/drawing/2014/main" id="{00000000-0008-0000-0100-00004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28" name="Drop Down 1" hidden="1">
          <a:extLst>
            <a:ext uri="{FF2B5EF4-FFF2-40B4-BE49-F238E27FC236}">
              <a16:creationId xmlns:a16="http://schemas.microsoft.com/office/drawing/2014/main" id="{00000000-0008-0000-0100-00004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29" name="Drop Down 1" hidden="1">
          <a:extLst>
            <a:ext uri="{FF2B5EF4-FFF2-40B4-BE49-F238E27FC236}">
              <a16:creationId xmlns:a16="http://schemas.microsoft.com/office/drawing/2014/main" id="{00000000-0008-0000-0100-00004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30" name="Drop Down 2" hidden="1">
          <a:extLst>
            <a:ext uri="{FF2B5EF4-FFF2-40B4-BE49-F238E27FC236}">
              <a16:creationId xmlns:a16="http://schemas.microsoft.com/office/drawing/2014/main" id="{00000000-0008-0000-0100-00004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31" name="Drop Down 1" hidden="1">
          <a:extLst>
            <a:ext uri="{FF2B5EF4-FFF2-40B4-BE49-F238E27FC236}">
              <a16:creationId xmlns:a16="http://schemas.microsoft.com/office/drawing/2014/main" id="{00000000-0008-0000-0100-00004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32" name="Drop Down -1022" hidden="1">
          <a:extLst>
            <a:ext uri="{FF2B5EF4-FFF2-40B4-BE49-F238E27FC236}">
              <a16:creationId xmlns:a16="http://schemas.microsoft.com/office/drawing/2014/main" id="{00000000-0008-0000-0100-00005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33" name="Drop Down 1" hidden="1">
          <a:extLst>
            <a:ext uri="{FF2B5EF4-FFF2-40B4-BE49-F238E27FC236}">
              <a16:creationId xmlns:a16="http://schemas.microsoft.com/office/drawing/2014/main" id="{00000000-0008-0000-0100-00005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34" name="Drop Down 1" hidden="1">
          <a:extLst>
            <a:ext uri="{FF2B5EF4-FFF2-40B4-BE49-F238E27FC236}">
              <a16:creationId xmlns:a16="http://schemas.microsoft.com/office/drawing/2014/main" id="{00000000-0008-0000-0100-00005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35" name="Drop Down 1" hidden="1">
          <a:extLst>
            <a:ext uri="{FF2B5EF4-FFF2-40B4-BE49-F238E27FC236}">
              <a16:creationId xmlns:a16="http://schemas.microsoft.com/office/drawing/2014/main" id="{00000000-0008-0000-0100-00005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36" name="Drop Down 1" hidden="1">
          <a:extLst>
            <a:ext uri="{FF2B5EF4-FFF2-40B4-BE49-F238E27FC236}">
              <a16:creationId xmlns:a16="http://schemas.microsoft.com/office/drawing/2014/main" id="{00000000-0008-0000-0100-00005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37" name="Drop Down 2" hidden="1">
          <a:extLst>
            <a:ext uri="{FF2B5EF4-FFF2-40B4-BE49-F238E27FC236}">
              <a16:creationId xmlns:a16="http://schemas.microsoft.com/office/drawing/2014/main" id="{00000000-0008-0000-0100-00005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38" name="Drop Down 1" hidden="1">
          <a:extLst>
            <a:ext uri="{FF2B5EF4-FFF2-40B4-BE49-F238E27FC236}">
              <a16:creationId xmlns:a16="http://schemas.microsoft.com/office/drawing/2014/main" id="{00000000-0008-0000-0100-00005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39" name="Drop Down -1022" hidden="1">
          <a:extLst>
            <a:ext uri="{FF2B5EF4-FFF2-40B4-BE49-F238E27FC236}">
              <a16:creationId xmlns:a16="http://schemas.microsoft.com/office/drawing/2014/main" id="{00000000-0008-0000-0100-00005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40" name="Drop Down 1" hidden="1">
          <a:extLst>
            <a:ext uri="{FF2B5EF4-FFF2-40B4-BE49-F238E27FC236}">
              <a16:creationId xmlns:a16="http://schemas.microsoft.com/office/drawing/2014/main" id="{00000000-0008-0000-0100-000058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41" name="Drop Down 1" hidden="1">
          <a:extLst>
            <a:ext uri="{FF2B5EF4-FFF2-40B4-BE49-F238E27FC236}">
              <a16:creationId xmlns:a16="http://schemas.microsoft.com/office/drawing/2014/main" id="{00000000-0008-0000-0100-000059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42" name="Drop Down 1" hidden="1">
          <a:extLst>
            <a:ext uri="{FF2B5EF4-FFF2-40B4-BE49-F238E27FC236}">
              <a16:creationId xmlns:a16="http://schemas.microsoft.com/office/drawing/2014/main" id="{00000000-0008-0000-0100-00005A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43" name="Drop Down 1" hidden="1">
          <a:extLst>
            <a:ext uri="{FF2B5EF4-FFF2-40B4-BE49-F238E27FC236}">
              <a16:creationId xmlns:a16="http://schemas.microsoft.com/office/drawing/2014/main" id="{00000000-0008-0000-0100-00005B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44" name="Drop Down 2" hidden="1">
          <a:extLst>
            <a:ext uri="{FF2B5EF4-FFF2-40B4-BE49-F238E27FC236}">
              <a16:creationId xmlns:a16="http://schemas.microsoft.com/office/drawing/2014/main" id="{00000000-0008-0000-0100-00005C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45" name="Drop Down 1" hidden="1">
          <a:extLst>
            <a:ext uri="{FF2B5EF4-FFF2-40B4-BE49-F238E27FC236}">
              <a16:creationId xmlns:a16="http://schemas.microsoft.com/office/drawing/2014/main" id="{00000000-0008-0000-0100-00005D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46" name="Drop Down -1022" hidden="1">
          <a:extLst>
            <a:ext uri="{FF2B5EF4-FFF2-40B4-BE49-F238E27FC236}">
              <a16:creationId xmlns:a16="http://schemas.microsoft.com/office/drawing/2014/main" id="{00000000-0008-0000-0100-00005E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47" name="Drop Down 1" hidden="1">
          <a:extLst>
            <a:ext uri="{FF2B5EF4-FFF2-40B4-BE49-F238E27FC236}">
              <a16:creationId xmlns:a16="http://schemas.microsoft.com/office/drawing/2014/main" id="{00000000-0008-0000-0100-00005F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48" name="Drop Down 1" hidden="1">
          <a:extLst>
            <a:ext uri="{FF2B5EF4-FFF2-40B4-BE49-F238E27FC236}">
              <a16:creationId xmlns:a16="http://schemas.microsoft.com/office/drawing/2014/main" id="{00000000-0008-0000-0100-000060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49" name="Drop Down 1" hidden="1">
          <a:extLst>
            <a:ext uri="{FF2B5EF4-FFF2-40B4-BE49-F238E27FC236}">
              <a16:creationId xmlns:a16="http://schemas.microsoft.com/office/drawing/2014/main" id="{00000000-0008-0000-0100-000061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50" name="Drop Down 1" hidden="1">
          <a:extLst>
            <a:ext uri="{FF2B5EF4-FFF2-40B4-BE49-F238E27FC236}">
              <a16:creationId xmlns:a16="http://schemas.microsoft.com/office/drawing/2014/main" id="{00000000-0008-0000-0100-000062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51" name="Drop Down 2" hidden="1">
          <a:extLst>
            <a:ext uri="{FF2B5EF4-FFF2-40B4-BE49-F238E27FC236}">
              <a16:creationId xmlns:a16="http://schemas.microsoft.com/office/drawing/2014/main" id="{00000000-0008-0000-0100-000063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52" name="Drop Down 1" hidden="1">
          <a:extLst>
            <a:ext uri="{FF2B5EF4-FFF2-40B4-BE49-F238E27FC236}">
              <a16:creationId xmlns:a16="http://schemas.microsoft.com/office/drawing/2014/main" id="{00000000-0008-0000-0100-000064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53" name="Drop Down -1022" hidden="1">
          <a:extLst>
            <a:ext uri="{FF2B5EF4-FFF2-40B4-BE49-F238E27FC236}">
              <a16:creationId xmlns:a16="http://schemas.microsoft.com/office/drawing/2014/main" id="{00000000-0008-0000-0100-000065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54" name="Drop Down 1" hidden="1">
          <a:extLst>
            <a:ext uri="{FF2B5EF4-FFF2-40B4-BE49-F238E27FC236}">
              <a16:creationId xmlns:a16="http://schemas.microsoft.com/office/drawing/2014/main" id="{00000000-0008-0000-0100-000066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55" name="Drop Down 1" hidden="1">
          <a:extLst>
            <a:ext uri="{FF2B5EF4-FFF2-40B4-BE49-F238E27FC236}">
              <a16:creationId xmlns:a16="http://schemas.microsoft.com/office/drawing/2014/main" id="{00000000-0008-0000-0100-000067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56" name="Drop Down 1" hidden="1">
          <a:extLst>
            <a:ext uri="{FF2B5EF4-FFF2-40B4-BE49-F238E27FC236}">
              <a16:creationId xmlns:a16="http://schemas.microsoft.com/office/drawing/2014/main" id="{00000000-0008-0000-0100-000068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57" name="Drop Down 1" hidden="1">
          <a:extLst>
            <a:ext uri="{FF2B5EF4-FFF2-40B4-BE49-F238E27FC236}">
              <a16:creationId xmlns:a16="http://schemas.microsoft.com/office/drawing/2014/main" id="{00000000-0008-0000-0100-000069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58" name="Drop Down 2" hidden="1">
          <a:extLst>
            <a:ext uri="{FF2B5EF4-FFF2-40B4-BE49-F238E27FC236}">
              <a16:creationId xmlns:a16="http://schemas.microsoft.com/office/drawing/2014/main" id="{00000000-0008-0000-0100-00006A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59" name="Drop Down 1" hidden="1">
          <a:extLst>
            <a:ext uri="{FF2B5EF4-FFF2-40B4-BE49-F238E27FC236}">
              <a16:creationId xmlns:a16="http://schemas.microsoft.com/office/drawing/2014/main" id="{00000000-0008-0000-0100-00006B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460" name="Drop Down -1022" hidden="1">
          <a:extLst>
            <a:ext uri="{FF2B5EF4-FFF2-40B4-BE49-F238E27FC236}">
              <a16:creationId xmlns:a16="http://schemas.microsoft.com/office/drawing/2014/main" id="{00000000-0008-0000-0100-00006C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61" name="Drop Down 1" hidden="1">
          <a:extLst>
            <a:ext uri="{FF2B5EF4-FFF2-40B4-BE49-F238E27FC236}">
              <a16:creationId xmlns:a16="http://schemas.microsoft.com/office/drawing/2014/main" id="{00000000-0008-0000-0100-00006D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62" name="Drop Down 1" hidden="1">
          <a:extLst>
            <a:ext uri="{FF2B5EF4-FFF2-40B4-BE49-F238E27FC236}">
              <a16:creationId xmlns:a16="http://schemas.microsoft.com/office/drawing/2014/main" id="{00000000-0008-0000-0100-00006E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63" name="Drop Down 1" hidden="1">
          <a:extLst>
            <a:ext uri="{FF2B5EF4-FFF2-40B4-BE49-F238E27FC236}">
              <a16:creationId xmlns:a16="http://schemas.microsoft.com/office/drawing/2014/main" id="{00000000-0008-0000-0100-00006F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64" name="Drop Down 1" hidden="1">
          <a:extLst>
            <a:ext uri="{FF2B5EF4-FFF2-40B4-BE49-F238E27FC236}">
              <a16:creationId xmlns:a16="http://schemas.microsoft.com/office/drawing/2014/main" id="{00000000-0008-0000-0100-000070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65" name="Drop Down 2" hidden="1">
          <a:extLst>
            <a:ext uri="{FF2B5EF4-FFF2-40B4-BE49-F238E27FC236}">
              <a16:creationId xmlns:a16="http://schemas.microsoft.com/office/drawing/2014/main" id="{00000000-0008-0000-0100-000071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66" name="Drop Down 1" hidden="1">
          <a:extLst>
            <a:ext uri="{FF2B5EF4-FFF2-40B4-BE49-F238E27FC236}">
              <a16:creationId xmlns:a16="http://schemas.microsoft.com/office/drawing/2014/main" id="{00000000-0008-0000-0100-000072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467" name="Drop Down -1022" hidden="1">
          <a:extLst>
            <a:ext uri="{FF2B5EF4-FFF2-40B4-BE49-F238E27FC236}">
              <a16:creationId xmlns:a16="http://schemas.microsoft.com/office/drawing/2014/main" id="{00000000-0008-0000-0100-00007311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468" name="Drop Down 1" hidden="1">
          <a:extLst>
            <a:ext uri="{FF2B5EF4-FFF2-40B4-BE49-F238E27FC236}">
              <a16:creationId xmlns:a16="http://schemas.microsoft.com/office/drawing/2014/main" id="{00000000-0008-0000-0100-00007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469" name="Drop Down 1" hidden="1">
          <a:extLst>
            <a:ext uri="{FF2B5EF4-FFF2-40B4-BE49-F238E27FC236}">
              <a16:creationId xmlns:a16="http://schemas.microsoft.com/office/drawing/2014/main" id="{00000000-0008-0000-0100-00007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470" name="Drop Down 1" hidden="1">
          <a:extLst>
            <a:ext uri="{FF2B5EF4-FFF2-40B4-BE49-F238E27FC236}">
              <a16:creationId xmlns:a16="http://schemas.microsoft.com/office/drawing/2014/main" id="{00000000-0008-0000-0100-00007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471" name="Drop Down 1" hidden="1">
          <a:extLst>
            <a:ext uri="{FF2B5EF4-FFF2-40B4-BE49-F238E27FC236}">
              <a16:creationId xmlns:a16="http://schemas.microsoft.com/office/drawing/2014/main" id="{00000000-0008-0000-0100-00007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472" name="Drop Down 2" hidden="1">
          <a:extLst>
            <a:ext uri="{FF2B5EF4-FFF2-40B4-BE49-F238E27FC236}">
              <a16:creationId xmlns:a16="http://schemas.microsoft.com/office/drawing/2014/main" id="{00000000-0008-0000-0100-00007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473" name="Drop Down 1" hidden="1">
          <a:extLst>
            <a:ext uri="{FF2B5EF4-FFF2-40B4-BE49-F238E27FC236}">
              <a16:creationId xmlns:a16="http://schemas.microsoft.com/office/drawing/2014/main" id="{00000000-0008-0000-0100-00007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474" name="Drop Down -1022" hidden="1">
          <a:extLst>
            <a:ext uri="{FF2B5EF4-FFF2-40B4-BE49-F238E27FC236}">
              <a16:creationId xmlns:a16="http://schemas.microsoft.com/office/drawing/2014/main" id="{00000000-0008-0000-0100-00007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475" name="Drop Down 1" hidden="1">
          <a:extLst>
            <a:ext uri="{FF2B5EF4-FFF2-40B4-BE49-F238E27FC236}">
              <a16:creationId xmlns:a16="http://schemas.microsoft.com/office/drawing/2014/main" id="{00000000-0008-0000-0100-00007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476" name="Drop Down 1" hidden="1">
          <a:extLst>
            <a:ext uri="{FF2B5EF4-FFF2-40B4-BE49-F238E27FC236}">
              <a16:creationId xmlns:a16="http://schemas.microsoft.com/office/drawing/2014/main" id="{00000000-0008-0000-0100-00007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477" name="Drop Down 1" hidden="1">
          <a:extLst>
            <a:ext uri="{FF2B5EF4-FFF2-40B4-BE49-F238E27FC236}">
              <a16:creationId xmlns:a16="http://schemas.microsoft.com/office/drawing/2014/main" id="{00000000-0008-0000-0100-00007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478" name="Drop Down 1" hidden="1">
          <a:extLst>
            <a:ext uri="{FF2B5EF4-FFF2-40B4-BE49-F238E27FC236}">
              <a16:creationId xmlns:a16="http://schemas.microsoft.com/office/drawing/2014/main" id="{00000000-0008-0000-0100-00007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479" name="Drop Down 2" hidden="1">
          <a:extLst>
            <a:ext uri="{FF2B5EF4-FFF2-40B4-BE49-F238E27FC236}">
              <a16:creationId xmlns:a16="http://schemas.microsoft.com/office/drawing/2014/main" id="{00000000-0008-0000-0100-00007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480" name="Drop Down 1" hidden="1">
          <a:extLst>
            <a:ext uri="{FF2B5EF4-FFF2-40B4-BE49-F238E27FC236}">
              <a16:creationId xmlns:a16="http://schemas.microsoft.com/office/drawing/2014/main" id="{00000000-0008-0000-0100-00008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481" name="Drop Down -1022" hidden="1">
          <a:extLst>
            <a:ext uri="{FF2B5EF4-FFF2-40B4-BE49-F238E27FC236}">
              <a16:creationId xmlns:a16="http://schemas.microsoft.com/office/drawing/2014/main" id="{00000000-0008-0000-0100-00008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82" name="Drop Down 1" hidden="1">
          <a:extLst>
            <a:ext uri="{FF2B5EF4-FFF2-40B4-BE49-F238E27FC236}">
              <a16:creationId xmlns:a16="http://schemas.microsoft.com/office/drawing/2014/main" id="{00000000-0008-0000-0100-00008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83" name="Drop Down 1" hidden="1">
          <a:extLst>
            <a:ext uri="{FF2B5EF4-FFF2-40B4-BE49-F238E27FC236}">
              <a16:creationId xmlns:a16="http://schemas.microsoft.com/office/drawing/2014/main" id="{00000000-0008-0000-0100-00008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84" name="Drop Down 1" hidden="1">
          <a:extLst>
            <a:ext uri="{FF2B5EF4-FFF2-40B4-BE49-F238E27FC236}">
              <a16:creationId xmlns:a16="http://schemas.microsoft.com/office/drawing/2014/main" id="{00000000-0008-0000-0100-00008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85" name="Drop Down 1" hidden="1">
          <a:extLst>
            <a:ext uri="{FF2B5EF4-FFF2-40B4-BE49-F238E27FC236}">
              <a16:creationId xmlns:a16="http://schemas.microsoft.com/office/drawing/2014/main" id="{00000000-0008-0000-0100-00008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86" name="Drop Down 2" hidden="1">
          <a:extLst>
            <a:ext uri="{FF2B5EF4-FFF2-40B4-BE49-F238E27FC236}">
              <a16:creationId xmlns:a16="http://schemas.microsoft.com/office/drawing/2014/main" id="{00000000-0008-0000-0100-00008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87" name="Drop Down 1" hidden="1">
          <a:extLst>
            <a:ext uri="{FF2B5EF4-FFF2-40B4-BE49-F238E27FC236}">
              <a16:creationId xmlns:a16="http://schemas.microsoft.com/office/drawing/2014/main" id="{00000000-0008-0000-0100-00008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88" name="Drop Down -1022" hidden="1">
          <a:extLst>
            <a:ext uri="{FF2B5EF4-FFF2-40B4-BE49-F238E27FC236}">
              <a16:creationId xmlns:a16="http://schemas.microsoft.com/office/drawing/2014/main" id="{00000000-0008-0000-0100-00008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89" name="Drop Down 1" hidden="1">
          <a:extLst>
            <a:ext uri="{FF2B5EF4-FFF2-40B4-BE49-F238E27FC236}">
              <a16:creationId xmlns:a16="http://schemas.microsoft.com/office/drawing/2014/main" id="{00000000-0008-0000-0100-00008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90" name="Drop Down 1" hidden="1">
          <a:extLst>
            <a:ext uri="{FF2B5EF4-FFF2-40B4-BE49-F238E27FC236}">
              <a16:creationId xmlns:a16="http://schemas.microsoft.com/office/drawing/2014/main" id="{00000000-0008-0000-0100-00008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91" name="Drop Down 1" hidden="1">
          <a:extLst>
            <a:ext uri="{FF2B5EF4-FFF2-40B4-BE49-F238E27FC236}">
              <a16:creationId xmlns:a16="http://schemas.microsoft.com/office/drawing/2014/main" id="{00000000-0008-0000-0100-00008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92" name="Drop Down 1" hidden="1">
          <a:extLst>
            <a:ext uri="{FF2B5EF4-FFF2-40B4-BE49-F238E27FC236}">
              <a16:creationId xmlns:a16="http://schemas.microsoft.com/office/drawing/2014/main" id="{00000000-0008-0000-0100-00008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93" name="Drop Down 2" hidden="1">
          <a:extLst>
            <a:ext uri="{FF2B5EF4-FFF2-40B4-BE49-F238E27FC236}">
              <a16:creationId xmlns:a16="http://schemas.microsoft.com/office/drawing/2014/main" id="{00000000-0008-0000-0100-00008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94" name="Drop Down 1" hidden="1">
          <a:extLst>
            <a:ext uri="{FF2B5EF4-FFF2-40B4-BE49-F238E27FC236}">
              <a16:creationId xmlns:a16="http://schemas.microsoft.com/office/drawing/2014/main" id="{00000000-0008-0000-0100-00008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495" name="Drop Down -1022" hidden="1">
          <a:extLst>
            <a:ext uri="{FF2B5EF4-FFF2-40B4-BE49-F238E27FC236}">
              <a16:creationId xmlns:a16="http://schemas.microsoft.com/office/drawing/2014/main" id="{00000000-0008-0000-0100-00008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96" name="Drop Down 1" hidden="1">
          <a:extLst>
            <a:ext uri="{FF2B5EF4-FFF2-40B4-BE49-F238E27FC236}">
              <a16:creationId xmlns:a16="http://schemas.microsoft.com/office/drawing/2014/main" id="{00000000-0008-0000-0100-00009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97" name="Drop Down 1" hidden="1">
          <a:extLst>
            <a:ext uri="{FF2B5EF4-FFF2-40B4-BE49-F238E27FC236}">
              <a16:creationId xmlns:a16="http://schemas.microsoft.com/office/drawing/2014/main" id="{00000000-0008-0000-0100-00009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98" name="Drop Down 1" hidden="1">
          <a:extLst>
            <a:ext uri="{FF2B5EF4-FFF2-40B4-BE49-F238E27FC236}">
              <a16:creationId xmlns:a16="http://schemas.microsoft.com/office/drawing/2014/main" id="{00000000-0008-0000-0100-00009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499" name="Drop Down 1" hidden="1">
          <a:extLst>
            <a:ext uri="{FF2B5EF4-FFF2-40B4-BE49-F238E27FC236}">
              <a16:creationId xmlns:a16="http://schemas.microsoft.com/office/drawing/2014/main" id="{00000000-0008-0000-0100-00009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00" name="Drop Down 2" hidden="1">
          <a:extLst>
            <a:ext uri="{FF2B5EF4-FFF2-40B4-BE49-F238E27FC236}">
              <a16:creationId xmlns:a16="http://schemas.microsoft.com/office/drawing/2014/main" id="{00000000-0008-0000-0100-00009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01" name="Drop Down 1" hidden="1">
          <a:extLst>
            <a:ext uri="{FF2B5EF4-FFF2-40B4-BE49-F238E27FC236}">
              <a16:creationId xmlns:a16="http://schemas.microsoft.com/office/drawing/2014/main" id="{00000000-0008-0000-0100-00009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02" name="Drop Down -1022" hidden="1">
          <a:extLst>
            <a:ext uri="{FF2B5EF4-FFF2-40B4-BE49-F238E27FC236}">
              <a16:creationId xmlns:a16="http://schemas.microsoft.com/office/drawing/2014/main" id="{00000000-0008-0000-0100-00009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03" name="Drop Down 1" hidden="1">
          <a:extLst>
            <a:ext uri="{FF2B5EF4-FFF2-40B4-BE49-F238E27FC236}">
              <a16:creationId xmlns:a16="http://schemas.microsoft.com/office/drawing/2014/main" id="{00000000-0008-0000-0100-00009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04" name="Drop Down 1" hidden="1">
          <a:extLst>
            <a:ext uri="{FF2B5EF4-FFF2-40B4-BE49-F238E27FC236}">
              <a16:creationId xmlns:a16="http://schemas.microsoft.com/office/drawing/2014/main" id="{00000000-0008-0000-0100-00009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05" name="Drop Down 1" hidden="1">
          <a:extLst>
            <a:ext uri="{FF2B5EF4-FFF2-40B4-BE49-F238E27FC236}">
              <a16:creationId xmlns:a16="http://schemas.microsoft.com/office/drawing/2014/main" id="{00000000-0008-0000-0100-00009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06" name="Drop Down 1" hidden="1">
          <a:extLst>
            <a:ext uri="{FF2B5EF4-FFF2-40B4-BE49-F238E27FC236}">
              <a16:creationId xmlns:a16="http://schemas.microsoft.com/office/drawing/2014/main" id="{00000000-0008-0000-0100-00009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07" name="Drop Down 2" hidden="1">
          <a:extLst>
            <a:ext uri="{FF2B5EF4-FFF2-40B4-BE49-F238E27FC236}">
              <a16:creationId xmlns:a16="http://schemas.microsoft.com/office/drawing/2014/main" id="{00000000-0008-0000-0100-00009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08" name="Drop Down 1" hidden="1">
          <a:extLst>
            <a:ext uri="{FF2B5EF4-FFF2-40B4-BE49-F238E27FC236}">
              <a16:creationId xmlns:a16="http://schemas.microsoft.com/office/drawing/2014/main" id="{00000000-0008-0000-0100-00009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09" name="Drop Down -1022" hidden="1">
          <a:extLst>
            <a:ext uri="{FF2B5EF4-FFF2-40B4-BE49-F238E27FC236}">
              <a16:creationId xmlns:a16="http://schemas.microsoft.com/office/drawing/2014/main" id="{00000000-0008-0000-0100-00009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10" name="Drop Down 1" hidden="1">
          <a:extLst>
            <a:ext uri="{FF2B5EF4-FFF2-40B4-BE49-F238E27FC236}">
              <a16:creationId xmlns:a16="http://schemas.microsoft.com/office/drawing/2014/main" id="{00000000-0008-0000-0100-00009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11" name="Drop Down 1" hidden="1">
          <a:extLst>
            <a:ext uri="{FF2B5EF4-FFF2-40B4-BE49-F238E27FC236}">
              <a16:creationId xmlns:a16="http://schemas.microsoft.com/office/drawing/2014/main" id="{00000000-0008-0000-0100-00009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12" name="Drop Down 1" hidden="1">
          <a:extLst>
            <a:ext uri="{FF2B5EF4-FFF2-40B4-BE49-F238E27FC236}">
              <a16:creationId xmlns:a16="http://schemas.microsoft.com/office/drawing/2014/main" id="{00000000-0008-0000-0100-0000A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13" name="Drop Down 1" hidden="1">
          <a:extLst>
            <a:ext uri="{FF2B5EF4-FFF2-40B4-BE49-F238E27FC236}">
              <a16:creationId xmlns:a16="http://schemas.microsoft.com/office/drawing/2014/main" id="{00000000-0008-0000-0100-0000A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14" name="Drop Down 2" hidden="1">
          <a:extLst>
            <a:ext uri="{FF2B5EF4-FFF2-40B4-BE49-F238E27FC236}">
              <a16:creationId xmlns:a16="http://schemas.microsoft.com/office/drawing/2014/main" id="{00000000-0008-0000-0100-0000A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15" name="Drop Down 1" hidden="1">
          <a:extLst>
            <a:ext uri="{FF2B5EF4-FFF2-40B4-BE49-F238E27FC236}">
              <a16:creationId xmlns:a16="http://schemas.microsoft.com/office/drawing/2014/main" id="{00000000-0008-0000-0100-0000A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16" name="Drop Down -1022" hidden="1">
          <a:extLst>
            <a:ext uri="{FF2B5EF4-FFF2-40B4-BE49-F238E27FC236}">
              <a16:creationId xmlns:a16="http://schemas.microsoft.com/office/drawing/2014/main" id="{00000000-0008-0000-0100-0000A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17" name="Drop Down 1" hidden="1">
          <a:extLst>
            <a:ext uri="{FF2B5EF4-FFF2-40B4-BE49-F238E27FC236}">
              <a16:creationId xmlns:a16="http://schemas.microsoft.com/office/drawing/2014/main" id="{00000000-0008-0000-0100-0000A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18" name="Drop Down 1" hidden="1">
          <a:extLst>
            <a:ext uri="{FF2B5EF4-FFF2-40B4-BE49-F238E27FC236}">
              <a16:creationId xmlns:a16="http://schemas.microsoft.com/office/drawing/2014/main" id="{00000000-0008-0000-0100-0000A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19" name="Drop Down 1" hidden="1">
          <a:extLst>
            <a:ext uri="{FF2B5EF4-FFF2-40B4-BE49-F238E27FC236}">
              <a16:creationId xmlns:a16="http://schemas.microsoft.com/office/drawing/2014/main" id="{00000000-0008-0000-0100-0000A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20" name="Drop Down 1" hidden="1">
          <a:extLst>
            <a:ext uri="{FF2B5EF4-FFF2-40B4-BE49-F238E27FC236}">
              <a16:creationId xmlns:a16="http://schemas.microsoft.com/office/drawing/2014/main" id="{00000000-0008-0000-0100-0000A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21" name="Drop Down 2" hidden="1">
          <a:extLst>
            <a:ext uri="{FF2B5EF4-FFF2-40B4-BE49-F238E27FC236}">
              <a16:creationId xmlns:a16="http://schemas.microsoft.com/office/drawing/2014/main" id="{00000000-0008-0000-0100-0000A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22" name="Drop Down 1" hidden="1">
          <a:extLst>
            <a:ext uri="{FF2B5EF4-FFF2-40B4-BE49-F238E27FC236}">
              <a16:creationId xmlns:a16="http://schemas.microsoft.com/office/drawing/2014/main" id="{00000000-0008-0000-0100-0000A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23" name="Drop Down -1022" hidden="1">
          <a:extLst>
            <a:ext uri="{FF2B5EF4-FFF2-40B4-BE49-F238E27FC236}">
              <a16:creationId xmlns:a16="http://schemas.microsoft.com/office/drawing/2014/main" id="{00000000-0008-0000-0100-0000A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24" name="Drop Down 1" hidden="1">
          <a:extLst>
            <a:ext uri="{FF2B5EF4-FFF2-40B4-BE49-F238E27FC236}">
              <a16:creationId xmlns:a16="http://schemas.microsoft.com/office/drawing/2014/main" id="{00000000-0008-0000-0100-0000A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25" name="Drop Down 1" hidden="1">
          <a:extLst>
            <a:ext uri="{FF2B5EF4-FFF2-40B4-BE49-F238E27FC236}">
              <a16:creationId xmlns:a16="http://schemas.microsoft.com/office/drawing/2014/main" id="{00000000-0008-0000-0100-0000A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26" name="Drop Down 1" hidden="1">
          <a:extLst>
            <a:ext uri="{FF2B5EF4-FFF2-40B4-BE49-F238E27FC236}">
              <a16:creationId xmlns:a16="http://schemas.microsoft.com/office/drawing/2014/main" id="{00000000-0008-0000-0100-0000A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27" name="Drop Down 1" hidden="1">
          <a:extLst>
            <a:ext uri="{FF2B5EF4-FFF2-40B4-BE49-F238E27FC236}">
              <a16:creationId xmlns:a16="http://schemas.microsoft.com/office/drawing/2014/main" id="{00000000-0008-0000-0100-0000A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28" name="Drop Down 2" hidden="1">
          <a:extLst>
            <a:ext uri="{FF2B5EF4-FFF2-40B4-BE49-F238E27FC236}">
              <a16:creationId xmlns:a16="http://schemas.microsoft.com/office/drawing/2014/main" id="{00000000-0008-0000-0100-0000B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29" name="Drop Down 1" hidden="1">
          <a:extLst>
            <a:ext uri="{FF2B5EF4-FFF2-40B4-BE49-F238E27FC236}">
              <a16:creationId xmlns:a16="http://schemas.microsoft.com/office/drawing/2014/main" id="{00000000-0008-0000-0100-0000B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30" name="Drop Down -1022" hidden="1">
          <a:extLst>
            <a:ext uri="{FF2B5EF4-FFF2-40B4-BE49-F238E27FC236}">
              <a16:creationId xmlns:a16="http://schemas.microsoft.com/office/drawing/2014/main" id="{00000000-0008-0000-0100-0000B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31" name="Drop Down 1" hidden="1">
          <a:extLst>
            <a:ext uri="{FF2B5EF4-FFF2-40B4-BE49-F238E27FC236}">
              <a16:creationId xmlns:a16="http://schemas.microsoft.com/office/drawing/2014/main" id="{00000000-0008-0000-0100-0000B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32" name="Drop Down 1" hidden="1">
          <a:extLst>
            <a:ext uri="{FF2B5EF4-FFF2-40B4-BE49-F238E27FC236}">
              <a16:creationId xmlns:a16="http://schemas.microsoft.com/office/drawing/2014/main" id="{00000000-0008-0000-0100-0000B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33" name="Drop Down 1" hidden="1">
          <a:extLst>
            <a:ext uri="{FF2B5EF4-FFF2-40B4-BE49-F238E27FC236}">
              <a16:creationId xmlns:a16="http://schemas.microsoft.com/office/drawing/2014/main" id="{00000000-0008-0000-0100-0000B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34" name="Drop Down 1" hidden="1">
          <a:extLst>
            <a:ext uri="{FF2B5EF4-FFF2-40B4-BE49-F238E27FC236}">
              <a16:creationId xmlns:a16="http://schemas.microsoft.com/office/drawing/2014/main" id="{00000000-0008-0000-0100-0000B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35" name="Drop Down 2" hidden="1">
          <a:extLst>
            <a:ext uri="{FF2B5EF4-FFF2-40B4-BE49-F238E27FC236}">
              <a16:creationId xmlns:a16="http://schemas.microsoft.com/office/drawing/2014/main" id="{00000000-0008-0000-0100-0000B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36" name="Drop Down 1" hidden="1">
          <a:extLst>
            <a:ext uri="{FF2B5EF4-FFF2-40B4-BE49-F238E27FC236}">
              <a16:creationId xmlns:a16="http://schemas.microsoft.com/office/drawing/2014/main" id="{00000000-0008-0000-0100-0000B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37" name="Drop Down -1022" hidden="1">
          <a:extLst>
            <a:ext uri="{FF2B5EF4-FFF2-40B4-BE49-F238E27FC236}">
              <a16:creationId xmlns:a16="http://schemas.microsoft.com/office/drawing/2014/main" id="{00000000-0008-0000-0100-0000B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38" name="Drop Down 1" hidden="1">
          <a:extLst>
            <a:ext uri="{FF2B5EF4-FFF2-40B4-BE49-F238E27FC236}">
              <a16:creationId xmlns:a16="http://schemas.microsoft.com/office/drawing/2014/main" id="{00000000-0008-0000-0100-0000B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39" name="Drop Down 1" hidden="1">
          <a:extLst>
            <a:ext uri="{FF2B5EF4-FFF2-40B4-BE49-F238E27FC236}">
              <a16:creationId xmlns:a16="http://schemas.microsoft.com/office/drawing/2014/main" id="{00000000-0008-0000-0100-0000B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40" name="Drop Down 1" hidden="1">
          <a:extLst>
            <a:ext uri="{FF2B5EF4-FFF2-40B4-BE49-F238E27FC236}">
              <a16:creationId xmlns:a16="http://schemas.microsoft.com/office/drawing/2014/main" id="{00000000-0008-0000-0100-0000B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41" name="Drop Down 1" hidden="1">
          <a:extLst>
            <a:ext uri="{FF2B5EF4-FFF2-40B4-BE49-F238E27FC236}">
              <a16:creationId xmlns:a16="http://schemas.microsoft.com/office/drawing/2014/main" id="{00000000-0008-0000-0100-0000B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42" name="Drop Down 2" hidden="1">
          <a:extLst>
            <a:ext uri="{FF2B5EF4-FFF2-40B4-BE49-F238E27FC236}">
              <a16:creationId xmlns:a16="http://schemas.microsoft.com/office/drawing/2014/main" id="{00000000-0008-0000-0100-0000B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43" name="Drop Down 1" hidden="1">
          <a:extLst>
            <a:ext uri="{FF2B5EF4-FFF2-40B4-BE49-F238E27FC236}">
              <a16:creationId xmlns:a16="http://schemas.microsoft.com/office/drawing/2014/main" id="{00000000-0008-0000-0100-0000B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44" name="Drop Down -1022" hidden="1">
          <a:extLst>
            <a:ext uri="{FF2B5EF4-FFF2-40B4-BE49-F238E27FC236}">
              <a16:creationId xmlns:a16="http://schemas.microsoft.com/office/drawing/2014/main" id="{00000000-0008-0000-0100-0000C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45" name="Drop Down 1" hidden="1">
          <a:extLst>
            <a:ext uri="{FF2B5EF4-FFF2-40B4-BE49-F238E27FC236}">
              <a16:creationId xmlns:a16="http://schemas.microsoft.com/office/drawing/2014/main" id="{00000000-0008-0000-0100-0000C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46" name="Drop Down 1" hidden="1">
          <a:extLst>
            <a:ext uri="{FF2B5EF4-FFF2-40B4-BE49-F238E27FC236}">
              <a16:creationId xmlns:a16="http://schemas.microsoft.com/office/drawing/2014/main" id="{00000000-0008-0000-0100-0000C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47" name="Drop Down 1" hidden="1">
          <a:extLst>
            <a:ext uri="{FF2B5EF4-FFF2-40B4-BE49-F238E27FC236}">
              <a16:creationId xmlns:a16="http://schemas.microsoft.com/office/drawing/2014/main" id="{00000000-0008-0000-0100-0000C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48" name="Drop Down 1" hidden="1">
          <a:extLst>
            <a:ext uri="{FF2B5EF4-FFF2-40B4-BE49-F238E27FC236}">
              <a16:creationId xmlns:a16="http://schemas.microsoft.com/office/drawing/2014/main" id="{00000000-0008-0000-0100-0000C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49" name="Drop Down 2" hidden="1">
          <a:extLst>
            <a:ext uri="{FF2B5EF4-FFF2-40B4-BE49-F238E27FC236}">
              <a16:creationId xmlns:a16="http://schemas.microsoft.com/office/drawing/2014/main" id="{00000000-0008-0000-0100-0000C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50" name="Drop Down 1" hidden="1">
          <a:extLst>
            <a:ext uri="{FF2B5EF4-FFF2-40B4-BE49-F238E27FC236}">
              <a16:creationId xmlns:a16="http://schemas.microsoft.com/office/drawing/2014/main" id="{00000000-0008-0000-0100-0000C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51" name="Drop Down -1022" hidden="1">
          <a:extLst>
            <a:ext uri="{FF2B5EF4-FFF2-40B4-BE49-F238E27FC236}">
              <a16:creationId xmlns:a16="http://schemas.microsoft.com/office/drawing/2014/main" id="{00000000-0008-0000-0100-0000C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552" name="Drop Down 1" hidden="1">
          <a:extLst>
            <a:ext uri="{FF2B5EF4-FFF2-40B4-BE49-F238E27FC236}">
              <a16:creationId xmlns:a16="http://schemas.microsoft.com/office/drawing/2014/main" id="{00000000-0008-0000-0100-0000C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553" name="Drop Down 1" hidden="1">
          <a:extLst>
            <a:ext uri="{FF2B5EF4-FFF2-40B4-BE49-F238E27FC236}">
              <a16:creationId xmlns:a16="http://schemas.microsoft.com/office/drawing/2014/main" id="{00000000-0008-0000-0100-0000C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554" name="Drop Down 1" hidden="1">
          <a:extLst>
            <a:ext uri="{FF2B5EF4-FFF2-40B4-BE49-F238E27FC236}">
              <a16:creationId xmlns:a16="http://schemas.microsoft.com/office/drawing/2014/main" id="{00000000-0008-0000-0100-0000C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555" name="Drop Down 1" hidden="1">
          <a:extLst>
            <a:ext uri="{FF2B5EF4-FFF2-40B4-BE49-F238E27FC236}">
              <a16:creationId xmlns:a16="http://schemas.microsoft.com/office/drawing/2014/main" id="{00000000-0008-0000-0100-0000C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556" name="Drop Down 2" hidden="1">
          <a:extLst>
            <a:ext uri="{FF2B5EF4-FFF2-40B4-BE49-F238E27FC236}">
              <a16:creationId xmlns:a16="http://schemas.microsoft.com/office/drawing/2014/main" id="{00000000-0008-0000-0100-0000C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557" name="Drop Down 1" hidden="1">
          <a:extLst>
            <a:ext uri="{FF2B5EF4-FFF2-40B4-BE49-F238E27FC236}">
              <a16:creationId xmlns:a16="http://schemas.microsoft.com/office/drawing/2014/main" id="{00000000-0008-0000-0100-0000C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558" name="Drop Down -1022" hidden="1">
          <a:extLst>
            <a:ext uri="{FF2B5EF4-FFF2-40B4-BE49-F238E27FC236}">
              <a16:creationId xmlns:a16="http://schemas.microsoft.com/office/drawing/2014/main" id="{00000000-0008-0000-0100-0000C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559" name="Drop Down 1" hidden="1">
          <a:extLst>
            <a:ext uri="{FF2B5EF4-FFF2-40B4-BE49-F238E27FC236}">
              <a16:creationId xmlns:a16="http://schemas.microsoft.com/office/drawing/2014/main" id="{00000000-0008-0000-0100-0000C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560" name="Drop Down 1" hidden="1">
          <a:extLst>
            <a:ext uri="{FF2B5EF4-FFF2-40B4-BE49-F238E27FC236}">
              <a16:creationId xmlns:a16="http://schemas.microsoft.com/office/drawing/2014/main" id="{00000000-0008-0000-0100-0000D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561" name="Drop Down 1" hidden="1">
          <a:extLst>
            <a:ext uri="{FF2B5EF4-FFF2-40B4-BE49-F238E27FC236}">
              <a16:creationId xmlns:a16="http://schemas.microsoft.com/office/drawing/2014/main" id="{00000000-0008-0000-0100-0000D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562" name="Drop Down 1" hidden="1">
          <a:extLst>
            <a:ext uri="{FF2B5EF4-FFF2-40B4-BE49-F238E27FC236}">
              <a16:creationId xmlns:a16="http://schemas.microsoft.com/office/drawing/2014/main" id="{00000000-0008-0000-0100-0000D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563" name="Drop Down 2" hidden="1">
          <a:extLst>
            <a:ext uri="{FF2B5EF4-FFF2-40B4-BE49-F238E27FC236}">
              <a16:creationId xmlns:a16="http://schemas.microsoft.com/office/drawing/2014/main" id="{00000000-0008-0000-0100-0000D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564" name="Drop Down 1" hidden="1">
          <a:extLst>
            <a:ext uri="{FF2B5EF4-FFF2-40B4-BE49-F238E27FC236}">
              <a16:creationId xmlns:a16="http://schemas.microsoft.com/office/drawing/2014/main" id="{00000000-0008-0000-0100-0000D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565" name="Drop Down -1022" hidden="1">
          <a:extLst>
            <a:ext uri="{FF2B5EF4-FFF2-40B4-BE49-F238E27FC236}">
              <a16:creationId xmlns:a16="http://schemas.microsoft.com/office/drawing/2014/main" id="{00000000-0008-0000-0100-0000D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66" name="Drop Down 1" hidden="1">
          <a:extLst>
            <a:ext uri="{FF2B5EF4-FFF2-40B4-BE49-F238E27FC236}">
              <a16:creationId xmlns:a16="http://schemas.microsoft.com/office/drawing/2014/main" id="{00000000-0008-0000-0100-0000D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67" name="Drop Down 1" hidden="1">
          <a:extLst>
            <a:ext uri="{FF2B5EF4-FFF2-40B4-BE49-F238E27FC236}">
              <a16:creationId xmlns:a16="http://schemas.microsoft.com/office/drawing/2014/main" id="{00000000-0008-0000-0100-0000D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68" name="Drop Down 1" hidden="1">
          <a:extLst>
            <a:ext uri="{FF2B5EF4-FFF2-40B4-BE49-F238E27FC236}">
              <a16:creationId xmlns:a16="http://schemas.microsoft.com/office/drawing/2014/main" id="{00000000-0008-0000-0100-0000D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69" name="Drop Down 1" hidden="1">
          <a:extLst>
            <a:ext uri="{FF2B5EF4-FFF2-40B4-BE49-F238E27FC236}">
              <a16:creationId xmlns:a16="http://schemas.microsoft.com/office/drawing/2014/main" id="{00000000-0008-0000-0100-0000D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70" name="Drop Down 2" hidden="1">
          <a:extLst>
            <a:ext uri="{FF2B5EF4-FFF2-40B4-BE49-F238E27FC236}">
              <a16:creationId xmlns:a16="http://schemas.microsoft.com/office/drawing/2014/main" id="{00000000-0008-0000-0100-0000D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71" name="Drop Down 1" hidden="1">
          <a:extLst>
            <a:ext uri="{FF2B5EF4-FFF2-40B4-BE49-F238E27FC236}">
              <a16:creationId xmlns:a16="http://schemas.microsoft.com/office/drawing/2014/main" id="{00000000-0008-0000-0100-0000D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72" name="Drop Down -1022" hidden="1">
          <a:extLst>
            <a:ext uri="{FF2B5EF4-FFF2-40B4-BE49-F238E27FC236}">
              <a16:creationId xmlns:a16="http://schemas.microsoft.com/office/drawing/2014/main" id="{00000000-0008-0000-0100-0000D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73" name="Drop Down 1" hidden="1">
          <a:extLst>
            <a:ext uri="{FF2B5EF4-FFF2-40B4-BE49-F238E27FC236}">
              <a16:creationId xmlns:a16="http://schemas.microsoft.com/office/drawing/2014/main" id="{00000000-0008-0000-0100-0000D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74" name="Drop Down 1" hidden="1">
          <a:extLst>
            <a:ext uri="{FF2B5EF4-FFF2-40B4-BE49-F238E27FC236}">
              <a16:creationId xmlns:a16="http://schemas.microsoft.com/office/drawing/2014/main" id="{00000000-0008-0000-0100-0000D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75" name="Drop Down 1" hidden="1">
          <a:extLst>
            <a:ext uri="{FF2B5EF4-FFF2-40B4-BE49-F238E27FC236}">
              <a16:creationId xmlns:a16="http://schemas.microsoft.com/office/drawing/2014/main" id="{00000000-0008-0000-0100-0000D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76" name="Drop Down 1" hidden="1">
          <a:extLst>
            <a:ext uri="{FF2B5EF4-FFF2-40B4-BE49-F238E27FC236}">
              <a16:creationId xmlns:a16="http://schemas.microsoft.com/office/drawing/2014/main" id="{00000000-0008-0000-0100-0000E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77" name="Drop Down 2" hidden="1">
          <a:extLst>
            <a:ext uri="{FF2B5EF4-FFF2-40B4-BE49-F238E27FC236}">
              <a16:creationId xmlns:a16="http://schemas.microsoft.com/office/drawing/2014/main" id="{00000000-0008-0000-0100-0000E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78" name="Drop Down 1" hidden="1">
          <a:extLst>
            <a:ext uri="{FF2B5EF4-FFF2-40B4-BE49-F238E27FC236}">
              <a16:creationId xmlns:a16="http://schemas.microsoft.com/office/drawing/2014/main" id="{00000000-0008-0000-0100-0000E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79" name="Drop Down -1022" hidden="1">
          <a:extLst>
            <a:ext uri="{FF2B5EF4-FFF2-40B4-BE49-F238E27FC236}">
              <a16:creationId xmlns:a16="http://schemas.microsoft.com/office/drawing/2014/main" id="{00000000-0008-0000-0100-0000E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80" name="Drop Down 1" hidden="1">
          <a:extLst>
            <a:ext uri="{FF2B5EF4-FFF2-40B4-BE49-F238E27FC236}">
              <a16:creationId xmlns:a16="http://schemas.microsoft.com/office/drawing/2014/main" id="{00000000-0008-0000-0100-0000E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81" name="Drop Down 1" hidden="1">
          <a:extLst>
            <a:ext uri="{FF2B5EF4-FFF2-40B4-BE49-F238E27FC236}">
              <a16:creationId xmlns:a16="http://schemas.microsoft.com/office/drawing/2014/main" id="{00000000-0008-0000-0100-0000E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82" name="Drop Down 1" hidden="1">
          <a:extLst>
            <a:ext uri="{FF2B5EF4-FFF2-40B4-BE49-F238E27FC236}">
              <a16:creationId xmlns:a16="http://schemas.microsoft.com/office/drawing/2014/main" id="{00000000-0008-0000-0100-0000E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83" name="Drop Down 1" hidden="1">
          <a:extLst>
            <a:ext uri="{FF2B5EF4-FFF2-40B4-BE49-F238E27FC236}">
              <a16:creationId xmlns:a16="http://schemas.microsoft.com/office/drawing/2014/main" id="{00000000-0008-0000-0100-0000E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84" name="Drop Down 2" hidden="1">
          <a:extLst>
            <a:ext uri="{FF2B5EF4-FFF2-40B4-BE49-F238E27FC236}">
              <a16:creationId xmlns:a16="http://schemas.microsoft.com/office/drawing/2014/main" id="{00000000-0008-0000-0100-0000E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85" name="Drop Down 1" hidden="1">
          <a:extLst>
            <a:ext uri="{FF2B5EF4-FFF2-40B4-BE49-F238E27FC236}">
              <a16:creationId xmlns:a16="http://schemas.microsoft.com/office/drawing/2014/main" id="{00000000-0008-0000-0100-0000E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86" name="Drop Down -1022" hidden="1">
          <a:extLst>
            <a:ext uri="{FF2B5EF4-FFF2-40B4-BE49-F238E27FC236}">
              <a16:creationId xmlns:a16="http://schemas.microsoft.com/office/drawing/2014/main" id="{00000000-0008-0000-0100-0000E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87" name="Drop Down 1" hidden="1">
          <a:extLst>
            <a:ext uri="{FF2B5EF4-FFF2-40B4-BE49-F238E27FC236}">
              <a16:creationId xmlns:a16="http://schemas.microsoft.com/office/drawing/2014/main" id="{00000000-0008-0000-0100-0000E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88" name="Drop Down 1" hidden="1">
          <a:extLst>
            <a:ext uri="{FF2B5EF4-FFF2-40B4-BE49-F238E27FC236}">
              <a16:creationId xmlns:a16="http://schemas.microsoft.com/office/drawing/2014/main" id="{00000000-0008-0000-0100-0000E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89" name="Drop Down 1" hidden="1">
          <a:extLst>
            <a:ext uri="{FF2B5EF4-FFF2-40B4-BE49-F238E27FC236}">
              <a16:creationId xmlns:a16="http://schemas.microsoft.com/office/drawing/2014/main" id="{00000000-0008-0000-0100-0000E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90" name="Drop Down 1" hidden="1">
          <a:extLst>
            <a:ext uri="{FF2B5EF4-FFF2-40B4-BE49-F238E27FC236}">
              <a16:creationId xmlns:a16="http://schemas.microsoft.com/office/drawing/2014/main" id="{00000000-0008-0000-0100-0000E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91" name="Drop Down 2" hidden="1">
          <a:extLst>
            <a:ext uri="{FF2B5EF4-FFF2-40B4-BE49-F238E27FC236}">
              <a16:creationId xmlns:a16="http://schemas.microsoft.com/office/drawing/2014/main" id="{00000000-0008-0000-0100-0000E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92" name="Drop Down 1" hidden="1">
          <a:extLst>
            <a:ext uri="{FF2B5EF4-FFF2-40B4-BE49-F238E27FC236}">
              <a16:creationId xmlns:a16="http://schemas.microsoft.com/office/drawing/2014/main" id="{00000000-0008-0000-0100-0000F0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593" name="Drop Down -1022" hidden="1">
          <a:extLst>
            <a:ext uri="{FF2B5EF4-FFF2-40B4-BE49-F238E27FC236}">
              <a16:creationId xmlns:a16="http://schemas.microsoft.com/office/drawing/2014/main" id="{00000000-0008-0000-0100-0000F1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94" name="Drop Down 1" hidden="1">
          <a:extLst>
            <a:ext uri="{FF2B5EF4-FFF2-40B4-BE49-F238E27FC236}">
              <a16:creationId xmlns:a16="http://schemas.microsoft.com/office/drawing/2014/main" id="{00000000-0008-0000-0100-0000F2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95" name="Drop Down 1" hidden="1">
          <a:extLst>
            <a:ext uri="{FF2B5EF4-FFF2-40B4-BE49-F238E27FC236}">
              <a16:creationId xmlns:a16="http://schemas.microsoft.com/office/drawing/2014/main" id="{00000000-0008-0000-0100-0000F3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96" name="Drop Down 1" hidden="1">
          <a:extLst>
            <a:ext uri="{FF2B5EF4-FFF2-40B4-BE49-F238E27FC236}">
              <a16:creationId xmlns:a16="http://schemas.microsoft.com/office/drawing/2014/main" id="{00000000-0008-0000-0100-0000F4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97" name="Drop Down 1" hidden="1">
          <a:extLst>
            <a:ext uri="{FF2B5EF4-FFF2-40B4-BE49-F238E27FC236}">
              <a16:creationId xmlns:a16="http://schemas.microsoft.com/office/drawing/2014/main" id="{00000000-0008-0000-0100-0000F5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98" name="Drop Down 2" hidden="1">
          <a:extLst>
            <a:ext uri="{FF2B5EF4-FFF2-40B4-BE49-F238E27FC236}">
              <a16:creationId xmlns:a16="http://schemas.microsoft.com/office/drawing/2014/main" id="{00000000-0008-0000-0100-0000F6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599" name="Drop Down 1" hidden="1">
          <a:extLst>
            <a:ext uri="{FF2B5EF4-FFF2-40B4-BE49-F238E27FC236}">
              <a16:creationId xmlns:a16="http://schemas.microsoft.com/office/drawing/2014/main" id="{00000000-0008-0000-0100-0000F7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00" name="Drop Down -1022" hidden="1">
          <a:extLst>
            <a:ext uri="{FF2B5EF4-FFF2-40B4-BE49-F238E27FC236}">
              <a16:creationId xmlns:a16="http://schemas.microsoft.com/office/drawing/2014/main" id="{00000000-0008-0000-0100-0000F8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01" name="Drop Down 1" hidden="1">
          <a:extLst>
            <a:ext uri="{FF2B5EF4-FFF2-40B4-BE49-F238E27FC236}">
              <a16:creationId xmlns:a16="http://schemas.microsoft.com/office/drawing/2014/main" id="{00000000-0008-0000-0100-0000F9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02" name="Drop Down 1" hidden="1">
          <a:extLst>
            <a:ext uri="{FF2B5EF4-FFF2-40B4-BE49-F238E27FC236}">
              <a16:creationId xmlns:a16="http://schemas.microsoft.com/office/drawing/2014/main" id="{00000000-0008-0000-0100-0000FA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03" name="Drop Down 1" hidden="1">
          <a:extLst>
            <a:ext uri="{FF2B5EF4-FFF2-40B4-BE49-F238E27FC236}">
              <a16:creationId xmlns:a16="http://schemas.microsoft.com/office/drawing/2014/main" id="{00000000-0008-0000-0100-0000FB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04" name="Drop Down 1" hidden="1">
          <a:extLst>
            <a:ext uri="{FF2B5EF4-FFF2-40B4-BE49-F238E27FC236}">
              <a16:creationId xmlns:a16="http://schemas.microsoft.com/office/drawing/2014/main" id="{00000000-0008-0000-0100-0000FC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05" name="Drop Down 2" hidden="1">
          <a:extLst>
            <a:ext uri="{FF2B5EF4-FFF2-40B4-BE49-F238E27FC236}">
              <a16:creationId xmlns:a16="http://schemas.microsoft.com/office/drawing/2014/main" id="{00000000-0008-0000-0100-0000FD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06" name="Drop Down 1" hidden="1">
          <a:extLst>
            <a:ext uri="{FF2B5EF4-FFF2-40B4-BE49-F238E27FC236}">
              <a16:creationId xmlns:a16="http://schemas.microsoft.com/office/drawing/2014/main" id="{00000000-0008-0000-0100-0000FE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07" name="Drop Down -1022" hidden="1">
          <a:extLst>
            <a:ext uri="{FF2B5EF4-FFF2-40B4-BE49-F238E27FC236}">
              <a16:creationId xmlns:a16="http://schemas.microsoft.com/office/drawing/2014/main" id="{00000000-0008-0000-0100-0000FF11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08" name="Drop Down 1" hidden="1">
          <a:extLst>
            <a:ext uri="{FF2B5EF4-FFF2-40B4-BE49-F238E27FC236}">
              <a16:creationId xmlns:a16="http://schemas.microsoft.com/office/drawing/2014/main" id="{00000000-0008-0000-0100-00000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09" name="Drop Down 1" hidden="1">
          <a:extLst>
            <a:ext uri="{FF2B5EF4-FFF2-40B4-BE49-F238E27FC236}">
              <a16:creationId xmlns:a16="http://schemas.microsoft.com/office/drawing/2014/main" id="{00000000-0008-0000-0100-00000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10" name="Drop Down 1" hidden="1">
          <a:extLst>
            <a:ext uri="{FF2B5EF4-FFF2-40B4-BE49-F238E27FC236}">
              <a16:creationId xmlns:a16="http://schemas.microsoft.com/office/drawing/2014/main" id="{00000000-0008-0000-0100-00000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11" name="Drop Down 1" hidden="1">
          <a:extLst>
            <a:ext uri="{FF2B5EF4-FFF2-40B4-BE49-F238E27FC236}">
              <a16:creationId xmlns:a16="http://schemas.microsoft.com/office/drawing/2014/main" id="{00000000-0008-0000-0100-00000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12" name="Drop Down 2" hidden="1">
          <a:extLst>
            <a:ext uri="{FF2B5EF4-FFF2-40B4-BE49-F238E27FC236}">
              <a16:creationId xmlns:a16="http://schemas.microsoft.com/office/drawing/2014/main" id="{00000000-0008-0000-0100-00000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13" name="Drop Down 1" hidden="1">
          <a:extLst>
            <a:ext uri="{FF2B5EF4-FFF2-40B4-BE49-F238E27FC236}">
              <a16:creationId xmlns:a16="http://schemas.microsoft.com/office/drawing/2014/main" id="{00000000-0008-0000-0100-00000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14" name="Drop Down -1022" hidden="1">
          <a:extLst>
            <a:ext uri="{FF2B5EF4-FFF2-40B4-BE49-F238E27FC236}">
              <a16:creationId xmlns:a16="http://schemas.microsoft.com/office/drawing/2014/main" id="{00000000-0008-0000-0100-00000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15" name="Drop Down 1" hidden="1">
          <a:extLst>
            <a:ext uri="{FF2B5EF4-FFF2-40B4-BE49-F238E27FC236}">
              <a16:creationId xmlns:a16="http://schemas.microsoft.com/office/drawing/2014/main" id="{00000000-0008-0000-0100-00000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16" name="Drop Down 1" hidden="1">
          <a:extLst>
            <a:ext uri="{FF2B5EF4-FFF2-40B4-BE49-F238E27FC236}">
              <a16:creationId xmlns:a16="http://schemas.microsoft.com/office/drawing/2014/main" id="{00000000-0008-0000-0100-00000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17" name="Drop Down 1" hidden="1">
          <a:extLst>
            <a:ext uri="{FF2B5EF4-FFF2-40B4-BE49-F238E27FC236}">
              <a16:creationId xmlns:a16="http://schemas.microsoft.com/office/drawing/2014/main" id="{00000000-0008-0000-0100-00000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18" name="Drop Down 1" hidden="1">
          <a:extLst>
            <a:ext uri="{FF2B5EF4-FFF2-40B4-BE49-F238E27FC236}">
              <a16:creationId xmlns:a16="http://schemas.microsoft.com/office/drawing/2014/main" id="{00000000-0008-0000-0100-00000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19" name="Drop Down 2" hidden="1">
          <a:extLst>
            <a:ext uri="{FF2B5EF4-FFF2-40B4-BE49-F238E27FC236}">
              <a16:creationId xmlns:a16="http://schemas.microsoft.com/office/drawing/2014/main" id="{00000000-0008-0000-0100-00000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20" name="Drop Down 1" hidden="1">
          <a:extLst>
            <a:ext uri="{FF2B5EF4-FFF2-40B4-BE49-F238E27FC236}">
              <a16:creationId xmlns:a16="http://schemas.microsoft.com/office/drawing/2014/main" id="{00000000-0008-0000-0100-00000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21" name="Drop Down -1022" hidden="1">
          <a:extLst>
            <a:ext uri="{FF2B5EF4-FFF2-40B4-BE49-F238E27FC236}">
              <a16:creationId xmlns:a16="http://schemas.microsoft.com/office/drawing/2014/main" id="{00000000-0008-0000-0100-00000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22" name="Drop Down 1" hidden="1">
          <a:extLst>
            <a:ext uri="{FF2B5EF4-FFF2-40B4-BE49-F238E27FC236}">
              <a16:creationId xmlns:a16="http://schemas.microsoft.com/office/drawing/2014/main" id="{00000000-0008-0000-0100-00000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23" name="Drop Down 1" hidden="1">
          <a:extLst>
            <a:ext uri="{FF2B5EF4-FFF2-40B4-BE49-F238E27FC236}">
              <a16:creationId xmlns:a16="http://schemas.microsoft.com/office/drawing/2014/main" id="{00000000-0008-0000-0100-00000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24" name="Drop Down 1" hidden="1">
          <a:extLst>
            <a:ext uri="{FF2B5EF4-FFF2-40B4-BE49-F238E27FC236}">
              <a16:creationId xmlns:a16="http://schemas.microsoft.com/office/drawing/2014/main" id="{00000000-0008-0000-0100-00001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25" name="Drop Down 1" hidden="1">
          <a:extLst>
            <a:ext uri="{FF2B5EF4-FFF2-40B4-BE49-F238E27FC236}">
              <a16:creationId xmlns:a16="http://schemas.microsoft.com/office/drawing/2014/main" id="{00000000-0008-0000-0100-00001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26" name="Drop Down 2" hidden="1">
          <a:extLst>
            <a:ext uri="{FF2B5EF4-FFF2-40B4-BE49-F238E27FC236}">
              <a16:creationId xmlns:a16="http://schemas.microsoft.com/office/drawing/2014/main" id="{00000000-0008-0000-0100-00001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27" name="Drop Down 1" hidden="1">
          <a:extLst>
            <a:ext uri="{FF2B5EF4-FFF2-40B4-BE49-F238E27FC236}">
              <a16:creationId xmlns:a16="http://schemas.microsoft.com/office/drawing/2014/main" id="{00000000-0008-0000-0100-00001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28" name="Drop Down -1022" hidden="1">
          <a:extLst>
            <a:ext uri="{FF2B5EF4-FFF2-40B4-BE49-F238E27FC236}">
              <a16:creationId xmlns:a16="http://schemas.microsoft.com/office/drawing/2014/main" id="{00000000-0008-0000-0100-00001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29" name="Drop Down 1" hidden="1">
          <a:extLst>
            <a:ext uri="{FF2B5EF4-FFF2-40B4-BE49-F238E27FC236}">
              <a16:creationId xmlns:a16="http://schemas.microsoft.com/office/drawing/2014/main" id="{00000000-0008-0000-0100-00001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30" name="Drop Down 1" hidden="1">
          <a:extLst>
            <a:ext uri="{FF2B5EF4-FFF2-40B4-BE49-F238E27FC236}">
              <a16:creationId xmlns:a16="http://schemas.microsoft.com/office/drawing/2014/main" id="{00000000-0008-0000-0100-00001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31" name="Drop Down 1" hidden="1">
          <a:extLst>
            <a:ext uri="{FF2B5EF4-FFF2-40B4-BE49-F238E27FC236}">
              <a16:creationId xmlns:a16="http://schemas.microsoft.com/office/drawing/2014/main" id="{00000000-0008-0000-0100-00001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32" name="Drop Down 1" hidden="1">
          <a:extLst>
            <a:ext uri="{FF2B5EF4-FFF2-40B4-BE49-F238E27FC236}">
              <a16:creationId xmlns:a16="http://schemas.microsoft.com/office/drawing/2014/main" id="{00000000-0008-0000-0100-00001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33" name="Drop Down 2" hidden="1">
          <a:extLst>
            <a:ext uri="{FF2B5EF4-FFF2-40B4-BE49-F238E27FC236}">
              <a16:creationId xmlns:a16="http://schemas.microsoft.com/office/drawing/2014/main" id="{00000000-0008-0000-0100-00001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34" name="Drop Down 1" hidden="1">
          <a:extLst>
            <a:ext uri="{FF2B5EF4-FFF2-40B4-BE49-F238E27FC236}">
              <a16:creationId xmlns:a16="http://schemas.microsoft.com/office/drawing/2014/main" id="{00000000-0008-0000-0100-00001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35" name="Drop Down -1022" hidden="1">
          <a:extLst>
            <a:ext uri="{FF2B5EF4-FFF2-40B4-BE49-F238E27FC236}">
              <a16:creationId xmlns:a16="http://schemas.microsoft.com/office/drawing/2014/main" id="{00000000-0008-0000-0100-00001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636" name="Drop Down 1" hidden="1">
          <a:extLst>
            <a:ext uri="{FF2B5EF4-FFF2-40B4-BE49-F238E27FC236}">
              <a16:creationId xmlns:a16="http://schemas.microsoft.com/office/drawing/2014/main" id="{00000000-0008-0000-0100-00001C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637" name="Drop Down 1" hidden="1">
          <a:extLst>
            <a:ext uri="{FF2B5EF4-FFF2-40B4-BE49-F238E27FC236}">
              <a16:creationId xmlns:a16="http://schemas.microsoft.com/office/drawing/2014/main" id="{00000000-0008-0000-0100-00001D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638" name="Drop Down 1" hidden="1">
          <a:extLst>
            <a:ext uri="{FF2B5EF4-FFF2-40B4-BE49-F238E27FC236}">
              <a16:creationId xmlns:a16="http://schemas.microsoft.com/office/drawing/2014/main" id="{00000000-0008-0000-0100-00001E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639" name="Drop Down 1" hidden="1">
          <a:extLst>
            <a:ext uri="{FF2B5EF4-FFF2-40B4-BE49-F238E27FC236}">
              <a16:creationId xmlns:a16="http://schemas.microsoft.com/office/drawing/2014/main" id="{00000000-0008-0000-0100-00001F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640" name="Drop Down 2" hidden="1">
          <a:extLst>
            <a:ext uri="{FF2B5EF4-FFF2-40B4-BE49-F238E27FC236}">
              <a16:creationId xmlns:a16="http://schemas.microsoft.com/office/drawing/2014/main" id="{00000000-0008-0000-0100-000020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641" name="Drop Down 1" hidden="1">
          <a:extLst>
            <a:ext uri="{FF2B5EF4-FFF2-40B4-BE49-F238E27FC236}">
              <a16:creationId xmlns:a16="http://schemas.microsoft.com/office/drawing/2014/main" id="{00000000-0008-0000-0100-000021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642" name="Drop Down -1022" hidden="1">
          <a:extLst>
            <a:ext uri="{FF2B5EF4-FFF2-40B4-BE49-F238E27FC236}">
              <a16:creationId xmlns:a16="http://schemas.microsoft.com/office/drawing/2014/main" id="{00000000-0008-0000-0100-000022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643" name="Drop Down 1" hidden="1">
          <a:extLst>
            <a:ext uri="{FF2B5EF4-FFF2-40B4-BE49-F238E27FC236}">
              <a16:creationId xmlns:a16="http://schemas.microsoft.com/office/drawing/2014/main" id="{00000000-0008-0000-0100-000023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644" name="Drop Down 1" hidden="1">
          <a:extLst>
            <a:ext uri="{FF2B5EF4-FFF2-40B4-BE49-F238E27FC236}">
              <a16:creationId xmlns:a16="http://schemas.microsoft.com/office/drawing/2014/main" id="{00000000-0008-0000-0100-000024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645" name="Drop Down 1" hidden="1">
          <a:extLst>
            <a:ext uri="{FF2B5EF4-FFF2-40B4-BE49-F238E27FC236}">
              <a16:creationId xmlns:a16="http://schemas.microsoft.com/office/drawing/2014/main" id="{00000000-0008-0000-0100-000025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646" name="Drop Down 1" hidden="1">
          <a:extLst>
            <a:ext uri="{FF2B5EF4-FFF2-40B4-BE49-F238E27FC236}">
              <a16:creationId xmlns:a16="http://schemas.microsoft.com/office/drawing/2014/main" id="{00000000-0008-0000-0100-000026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647" name="Drop Down 2" hidden="1">
          <a:extLst>
            <a:ext uri="{FF2B5EF4-FFF2-40B4-BE49-F238E27FC236}">
              <a16:creationId xmlns:a16="http://schemas.microsoft.com/office/drawing/2014/main" id="{00000000-0008-0000-0100-000027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648" name="Drop Down 1" hidden="1">
          <a:extLst>
            <a:ext uri="{FF2B5EF4-FFF2-40B4-BE49-F238E27FC236}">
              <a16:creationId xmlns:a16="http://schemas.microsoft.com/office/drawing/2014/main" id="{00000000-0008-0000-0100-000028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649" name="Drop Down -1022" hidden="1">
          <a:extLst>
            <a:ext uri="{FF2B5EF4-FFF2-40B4-BE49-F238E27FC236}">
              <a16:creationId xmlns:a16="http://schemas.microsoft.com/office/drawing/2014/main" id="{00000000-0008-0000-0100-000029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650" name="Drop Down 1" hidden="1">
          <a:extLst>
            <a:ext uri="{FF2B5EF4-FFF2-40B4-BE49-F238E27FC236}">
              <a16:creationId xmlns:a16="http://schemas.microsoft.com/office/drawing/2014/main" id="{00000000-0008-0000-0100-00002A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651" name="Drop Down 1" hidden="1">
          <a:extLst>
            <a:ext uri="{FF2B5EF4-FFF2-40B4-BE49-F238E27FC236}">
              <a16:creationId xmlns:a16="http://schemas.microsoft.com/office/drawing/2014/main" id="{00000000-0008-0000-0100-00002B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652" name="Drop Down 1" hidden="1">
          <a:extLst>
            <a:ext uri="{FF2B5EF4-FFF2-40B4-BE49-F238E27FC236}">
              <a16:creationId xmlns:a16="http://schemas.microsoft.com/office/drawing/2014/main" id="{00000000-0008-0000-0100-00002C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653" name="Drop Down 1" hidden="1">
          <a:extLst>
            <a:ext uri="{FF2B5EF4-FFF2-40B4-BE49-F238E27FC236}">
              <a16:creationId xmlns:a16="http://schemas.microsoft.com/office/drawing/2014/main" id="{00000000-0008-0000-0100-00002D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654" name="Drop Down 2" hidden="1">
          <a:extLst>
            <a:ext uri="{FF2B5EF4-FFF2-40B4-BE49-F238E27FC236}">
              <a16:creationId xmlns:a16="http://schemas.microsoft.com/office/drawing/2014/main" id="{00000000-0008-0000-0100-00002E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655" name="Drop Down 1" hidden="1">
          <a:extLst>
            <a:ext uri="{FF2B5EF4-FFF2-40B4-BE49-F238E27FC236}">
              <a16:creationId xmlns:a16="http://schemas.microsoft.com/office/drawing/2014/main" id="{00000000-0008-0000-0100-00002F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656" name="Drop Down -1022" hidden="1">
          <a:extLst>
            <a:ext uri="{FF2B5EF4-FFF2-40B4-BE49-F238E27FC236}">
              <a16:creationId xmlns:a16="http://schemas.microsoft.com/office/drawing/2014/main" id="{00000000-0008-0000-0100-000030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57" name="Drop Down 1" hidden="1">
          <a:extLst>
            <a:ext uri="{FF2B5EF4-FFF2-40B4-BE49-F238E27FC236}">
              <a16:creationId xmlns:a16="http://schemas.microsoft.com/office/drawing/2014/main" id="{00000000-0008-0000-0100-000031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58" name="Drop Down 1" hidden="1">
          <a:extLst>
            <a:ext uri="{FF2B5EF4-FFF2-40B4-BE49-F238E27FC236}">
              <a16:creationId xmlns:a16="http://schemas.microsoft.com/office/drawing/2014/main" id="{00000000-0008-0000-0100-000032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59" name="Drop Down 1" hidden="1">
          <a:extLst>
            <a:ext uri="{FF2B5EF4-FFF2-40B4-BE49-F238E27FC236}">
              <a16:creationId xmlns:a16="http://schemas.microsoft.com/office/drawing/2014/main" id="{00000000-0008-0000-0100-000033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60" name="Drop Down 1" hidden="1">
          <a:extLst>
            <a:ext uri="{FF2B5EF4-FFF2-40B4-BE49-F238E27FC236}">
              <a16:creationId xmlns:a16="http://schemas.microsoft.com/office/drawing/2014/main" id="{00000000-0008-0000-0100-000034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61" name="Drop Down 2" hidden="1">
          <a:extLst>
            <a:ext uri="{FF2B5EF4-FFF2-40B4-BE49-F238E27FC236}">
              <a16:creationId xmlns:a16="http://schemas.microsoft.com/office/drawing/2014/main" id="{00000000-0008-0000-0100-000035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62" name="Drop Down 1" hidden="1">
          <a:extLst>
            <a:ext uri="{FF2B5EF4-FFF2-40B4-BE49-F238E27FC236}">
              <a16:creationId xmlns:a16="http://schemas.microsoft.com/office/drawing/2014/main" id="{00000000-0008-0000-0100-000036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663" name="Drop Down -1022" hidden="1">
          <a:extLst>
            <a:ext uri="{FF2B5EF4-FFF2-40B4-BE49-F238E27FC236}">
              <a16:creationId xmlns:a16="http://schemas.microsoft.com/office/drawing/2014/main" id="{00000000-0008-0000-0100-000037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64" name="Drop Down 1" hidden="1">
          <a:extLst>
            <a:ext uri="{FF2B5EF4-FFF2-40B4-BE49-F238E27FC236}">
              <a16:creationId xmlns:a16="http://schemas.microsoft.com/office/drawing/2014/main" id="{00000000-0008-0000-0100-00003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65" name="Drop Down 1" hidden="1">
          <a:extLst>
            <a:ext uri="{FF2B5EF4-FFF2-40B4-BE49-F238E27FC236}">
              <a16:creationId xmlns:a16="http://schemas.microsoft.com/office/drawing/2014/main" id="{00000000-0008-0000-0100-00003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66" name="Drop Down 1" hidden="1">
          <a:extLst>
            <a:ext uri="{FF2B5EF4-FFF2-40B4-BE49-F238E27FC236}">
              <a16:creationId xmlns:a16="http://schemas.microsoft.com/office/drawing/2014/main" id="{00000000-0008-0000-0100-00003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67" name="Drop Down 1" hidden="1">
          <a:extLst>
            <a:ext uri="{FF2B5EF4-FFF2-40B4-BE49-F238E27FC236}">
              <a16:creationId xmlns:a16="http://schemas.microsoft.com/office/drawing/2014/main" id="{00000000-0008-0000-0100-00003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68" name="Drop Down 2" hidden="1">
          <a:extLst>
            <a:ext uri="{FF2B5EF4-FFF2-40B4-BE49-F238E27FC236}">
              <a16:creationId xmlns:a16="http://schemas.microsoft.com/office/drawing/2014/main" id="{00000000-0008-0000-0100-00003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69" name="Drop Down 1" hidden="1">
          <a:extLst>
            <a:ext uri="{FF2B5EF4-FFF2-40B4-BE49-F238E27FC236}">
              <a16:creationId xmlns:a16="http://schemas.microsoft.com/office/drawing/2014/main" id="{00000000-0008-0000-0100-00003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70" name="Drop Down -1022" hidden="1">
          <a:extLst>
            <a:ext uri="{FF2B5EF4-FFF2-40B4-BE49-F238E27FC236}">
              <a16:creationId xmlns:a16="http://schemas.microsoft.com/office/drawing/2014/main" id="{00000000-0008-0000-0100-00003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71" name="Drop Down 1" hidden="1">
          <a:extLst>
            <a:ext uri="{FF2B5EF4-FFF2-40B4-BE49-F238E27FC236}">
              <a16:creationId xmlns:a16="http://schemas.microsoft.com/office/drawing/2014/main" id="{00000000-0008-0000-0100-00003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72" name="Drop Down 1" hidden="1">
          <a:extLst>
            <a:ext uri="{FF2B5EF4-FFF2-40B4-BE49-F238E27FC236}">
              <a16:creationId xmlns:a16="http://schemas.microsoft.com/office/drawing/2014/main" id="{00000000-0008-0000-0100-00004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73" name="Drop Down 1" hidden="1">
          <a:extLst>
            <a:ext uri="{FF2B5EF4-FFF2-40B4-BE49-F238E27FC236}">
              <a16:creationId xmlns:a16="http://schemas.microsoft.com/office/drawing/2014/main" id="{00000000-0008-0000-0100-00004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74" name="Drop Down 1" hidden="1">
          <a:extLst>
            <a:ext uri="{FF2B5EF4-FFF2-40B4-BE49-F238E27FC236}">
              <a16:creationId xmlns:a16="http://schemas.microsoft.com/office/drawing/2014/main" id="{00000000-0008-0000-0100-00004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75" name="Drop Down 2" hidden="1">
          <a:extLst>
            <a:ext uri="{FF2B5EF4-FFF2-40B4-BE49-F238E27FC236}">
              <a16:creationId xmlns:a16="http://schemas.microsoft.com/office/drawing/2014/main" id="{00000000-0008-0000-0100-00004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76" name="Drop Down 1" hidden="1">
          <a:extLst>
            <a:ext uri="{FF2B5EF4-FFF2-40B4-BE49-F238E27FC236}">
              <a16:creationId xmlns:a16="http://schemas.microsoft.com/office/drawing/2014/main" id="{00000000-0008-0000-0100-00004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77" name="Drop Down -1022" hidden="1">
          <a:extLst>
            <a:ext uri="{FF2B5EF4-FFF2-40B4-BE49-F238E27FC236}">
              <a16:creationId xmlns:a16="http://schemas.microsoft.com/office/drawing/2014/main" id="{00000000-0008-0000-0100-00004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78" name="Drop Down 1" hidden="1">
          <a:extLst>
            <a:ext uri="{FF2B5EF4-FFF2-40B4-BE49-F238E27FC236}">
              <a16:creationId xmlns:a16="http://schemas.microsoft.com/office/drawing/2014/main" id="{00000000-0008-0000-0100-00004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79" name="Drop Down 1" hidden="1">
          <a:extLst>
            <a:ext uri="{FF2B5EF4-FFF2-40B4-BE49-F238E27FC236}">
              <a16:creationId xmlns:a16="http://schemas.microsoft.com/office/drawing/2014/main" id="{00000000-0008-0000-0100-00004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80" name="Drop Down 1" hidden="1">
          <a:extLst>
            <a:ext uri="{FF2B5EF4-FFF2-40B4-BE49-F238E27FC236}">
              <a16:creationId xmlns:a16="http://schemas.microsoft.com/office/drawing/2014/main" id="{00000000-0008-0000-0100-00004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81" name="Drop Down 1" hidden="1">
          <a:extLst>
            <a:ext uri="{FF2B5EF4-FFF2-40B4-BE49-F238E27FC236}">
              <a16:creationId xmlns:a16="http://schemas.microsoft.com/office/drawing/2014/main" id="{00000000-0008-0000-0100-00004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82" name="Drop Down 2" hidden="1">
          <a:extLst>
            <a:ext uri="{FF2B5EF4-FFF2-40B4-BE49-F238E27FC236}">
              <a16:creationId xmlns:a16="http://schemas.microsoft.com/office/drawing/2014/main" id="{00000000-0008-0000-0100-00004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83" name="Drop Down 1" hidden="1">
          <a:extLst>
            <a:ext uri="{FF2B5EF4-FFF2-40B4-BE49-F238E27FC236}">
              <a16:creationId xmlns:a16="http://schemas.microsoft.com/office/drawing/2014/main" id="{00000000-0008-0000-0100-00004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84" name="Drop Down -1022" hidden="1">
          <a:extLst>
            <a:ext uri="{FF2B5EF4-FFF2-40B4-BE49-F238E27FC236}">
              <a16:creationId xmlns:a16="http://schemas.microsoft.com/office/drawing/2014/main" id="{00000000-0008-0000-0100-00004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85" name="Drop Down 1" hidden="1">
          <a:extLst>
            <a:ext uri="{FF2B5EF4-FFF2-40B4-BE49-F238E27FC236}">
              <a16:creationId xmlns:a16="http://schemas.microsoft.com/office/drawing/2014/main" id="{00000000-0008-0000-0100-00004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86" name="Drop Down 1" hidden="1">
          <a:extLst>
            <a:ext uri="{FF2B5EF4-FFF2-40B4-BE49-F238E27FC236}">
              <a16:creationId xmlns:a16="http://schemas.microsoft.com/office/drawing/2014/main" id="{00000000-0008-0000-0100-00004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87" name="Drop Down 1" hidden="1">
          <a:extLst>
            <a:ext uri="{FF2B5EF4-FFF2-40B4-BE49-F238E27FC236}">
              <a16:creationId xmlns:a16="http://schemas.microsoft.com/office/drawing/2014/main" id="{00000000-0008-0000-0100-00004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88" name="Drop Down 1" hidden="1">
          <a:extLst>
            <a:ext uri="{FF2B5EF4-FFF2-40B4-BE49-F238E27FC236}">
              <a16:creationId xmlns:a16="http://schemas.microsoft.com/office/drawing/2014/main" id="{00000000-0008-0000-0100-00005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89" name="Drop Down 2" hidden="1">
          <a:extLst>
            <a:ext uri="{FF2B5EF4-FFF2-40B4-BE49-F238E27FC236}">
              <a16:creationId xmlns:a16="http://schemas.microsoft.com/office/drawing/2014/main" id="{00000000-0008-0000-0100-00005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90" name="Drop Down 1" hidden="1">
          <a:extLst>
            <a:ext uri="{FF2B5EF4-FFF2-40B4-BE49-F238E27FC236}">
              <a16:creationId xmlns:a16="http://schemas.microsoft.com/office/drawing/2014/main" id="{00000000-0008-0000-0100-00005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91" name="Drop Down -1022" hidden="1">
          <a:extLst>
            <a:ext uri="{FF2B5EF4-FFF2-40B4-BE49-F238E27FC236}">
              <a16:creationId xmlns:a16="http://schemas.microsoft.com/office/drawing/2014/main" id="{00000000-0008-0000-0100-00005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92" name="Drop Down 1" hidden="1">
          <a:extLst>
            <a:ext uri="{FF2B5EF4-FFF2-40B4-BE49-F238E27FC236}">
              <a16:creationId xmlns:a16="http://schemas.microsoft.com/office/drawing/2014/main" id="{00000000-0008-0000-0100-00005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93" name="Drop Down 1" hidden="1">
          <a:extLst>
            <a:ext uri="{FF2B5EF4-FFF2-40B4-BE49-F238E27FC236}">
              <a16:creationId xmlns:a16="http://schemas.microsoft.com/office/drawing/2014/main" id="{00000000-0008-0000-0100-00005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94" name="Drop Down 1" hidden="1">
          <a:extLst>
            <a:ext uri="{FF2B5EF4-FFF2-40B4-BE49-F238E27FC236}">
              <a16:creationId xmlns:a16="http://schemas.microsoft.com/office/drawing/2014/main" id="{00000000-0008-0000-0100-00005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95" name="Drop Down 1" hidden="1">
          <a:extLst>
            <a:ext uri="{FF2B5EF4-FFF2-40B4-BE49-F238E27FC236}">
              <a16:creationId xmlns:a16="http://schemas.microsoft.com/office/drawing/2014/main" id="{00000000-0008-0000-0100-00005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96" name="Drop Down 2" hidden="1">
          <a:extLst>
            <a:ext uri="{FF2B5EF4-FFF2-40B4-BE49-F238E27FC236}">
              <a16:creationId xmlns:a16="http://schemas.microsoft.com/office/drawing/2014/main" id="{00000000-0008-0000-0100-00005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97" name="Drop Down 1" hidden="1">
          <a:extLst>
            <a:ext uri="{FF2B5EF4-FFF2-40B4-BE49-F238E27FC236}">
              <a16:creationId xmlns:a16="http://schemas.microsoft.com/office/drawing/2014/main" id="{00000000-0008-0000-0100-00005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698" name="Drop Down -1022" hidden="1">
          <a:extLst>
            <a:ext uri="{FF2B5EF4-FFF2-40B4-BE49-F238E27FC236}">
              <a16:creationId xmlns:a16="http://schemas.microsoft.com/office/drawing/2014/main" id="{00000000-0008-0000-0100-00005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699" name="Drop Down 1" hidden="1">
          <a:extLst>
            <a:ext uri="{FF2B5EF4-FFF2-40B4-BE49-F238E27FC236}">
              <a16:creationId xmlns:a16="http://schemas.microsoft.com/office/drawing/2014/main" id="{00000000-0008-0000-0100-00005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00" name="Drop Down 1" hidden="1">
          <a:extLst>
            <a:ext uri="{FF2B5EF4-FFF2-40B4-BE49-F238E27FC236}">
              <a16:creationId xmlns:a16="http://schemas.microsoft.com/office/drawing/2014/main" id="{00000000-0008-0000-0100-00005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01" name="Drop Down 1" hidden="1">
          <a:extLst>
            <a:ext uri="{FF2B5EF4-FFF2-40B4-BE49-F238E27FC236}">
              <a16:creationId xmlns:a16="http://schemas.microsoft.com/office/drawing/2014/main" id="{00000000-0008-0000-0100-00005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02" name="Drop Down 1" hidden="1">
          <a:extLst>
            <a:ext uri="{FF2B5EF4-FFF2-40B4-BE49-F238E27FC236}">
              <a16:creationId xmlns:a16="http://schemas.microsoft.com/office/drawing/2014/main" id="{00000000-0008-0000-0100-00005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03" name="Drop Down 2" hidden="1">
          <a:extLst>
            <a:ext uri="{FF2B5EF4-FFF2-40B4-BE49-F238E27FC236}">
              <a16:creationId xmlns:a16="http://schemas.microsoft.com/office/drawing/2014/main" id="{00000000-0008-0000-0100-00005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04" name="Drop Down 1" hidden="1">
          <a:extLst>
            <a:ext uri="{FF2B5EF4-FFF2-40B4-BE49-F238E27FC236}">
              <a16:creationId xmlns:a16="http://schemas.microsoft.com/office/drawing/2014/main" id="{00000000-0008-0000-0100-00006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05" name="Drop Down -1022" hidden="1">
          <a:extLst>
            <a:ext uri="{FF2B5EF4-FFF2-40B4-BE49-F238E27FC236}">
              <a16:creationId xmlns:a16="http://schemas.microsoft.com/office/drawing/2014/main" id="{00000000-0008-0000-0100-00006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06" name="Drop Down 1" hidden="1">
          <a:extLst>
            <a:ext uri="{FF2B5EF4-FFF2-40B4-BE49-F238E27FC236}">
              <a16:creationId xmlns:a16="http://schemas.microsoft.com/office/drawing/2014/main" id="{00000000-0008-0000-0100-00006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07" name="Drop Down 1" hidden="1">
          <a:extLst>
            <a:ext uri="{FF2B5EF4-FFF2-40B4-BE49-F238E27FC236}">
              <a16:creationId xmlns:a16="http://schemas.microsoft.com/office/drawing/2014/main" id="{00000000-0008-0000-0100-00006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08" name="Drop Down 1" hidden="1">
          <a:extLst>
            <a:ext uri="{FF2B5EF4-FFF2-40B4-BE49-F238E27FC236}">
              <a16:creationId xmlns:a16="http://schemas.microsoft.com/office/drawing/2014/main" id="{00000000-0008-0000-0100-00006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09" name="Drop Down 1" hidden="1">
          <a:extLst>
            <a:ext uri="{FF2B5EF4-FFF2-40B4-BE49-F238E27FC236}">
              <a16:creationId xmlns:a16="http://schemas.microsoft.com/office/drawing/2014/main" id="{00000000-0008-0000-0100-00006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10" name="Drop Down 2" hidden="1">
          <a:extLst>
            <a:ext uri="{FF2B5EF4-FFF2-40B4-BE49-F238E27FC236}">
              <a16:creationId xmlns:a16="http://schemas.microsoft.com/office/drawing/2014/main" id="{00000000-0008-0000-0100-00006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11" name="Drop Down 1" hidden="1">
          <a:extLst>
            <a:ext uri="{FF2B5EF4-FFF2-40B4-BE49-F238E27FC236}">
              <a16:creationId xmlns:a16="http://schemas.microsoft.com/office/drawing/2014/main" id="{00000000-0008-0000-0100-00006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12" name="Drop Down -1022" hidden="1">
          <a:extLst>
            <a:ext uri="{FF2B5EF4-FFF2-40B4-BE49-F238E27FC236}">
              <a16:creationId xmlns:a16="http://schemas.microsoft.com/office/drawing/2014/main" id="{00000000-0008-0000-0100-00006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13" name="Drop Down 1" hidden="1">
          <a:extLst>
            <a:ext uri="{FF2B5EF4-FFF2-40B4-BE49-F238E27FC236}">
              <a16:creationId xmlns:a16="http://schemas.microsoft.com/office/drawing/2014/main" id="{00000000-0008-0000-0100-00006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14" name="Drop Down 1" hidden="1">
          <a:extLst>
            <a:ext uri="{FF2B5EF4-FFF2-40B4-BE49-F238E27FC236}">
              <a16:creationId xmlns:a16="http://schemas.microsoft.com/office/drawing/2014/main" id="{00000000-0008-0000-0100-00006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15" name="Drop Down 1" hidden="1">
          <a:extLst>
            <a:ext uri="{FF2B5EF4-FFF2-40B4-BE49-F238E27FC236}">
              <a16:creationId xmlns:a16="http://schemas.microsoft.com/office/drawing/2014/main" id="{00000000-0008-0000-0100-00006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16" name="Drop Down 1" hidden="1">
          <a:extLst>
            <a:ext uri="{FF2B5EF4-FFF2-40B4-BE49-F238E27FC236}">
              <a16:creationId xmlns:a16="http://schemas.microsoft.com/office/drawing/2014/main" id="{00000000-0008-0000-0100-00006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17" name="Drop Down 2" hidden="1">
          <a:extLst>
            <a:ext uri="{FF2B5EF4-FFF2-40B4-BE49-F238E27FC236}">
              <a16:creationId xmlns:a16="http://schemas.microsoft.com/office/drawing/2014/main" id="{00000000-0008-0000-0100-00006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18" name="Drop Down 1" hidden="1">
          <a:extLst>
            <a:ext uri="{FF2B5EF4-FFF2-40B4-BE49-F238E27FC236}">
              <a16:creationId xmlns:a16="http://schemas.microsoft.com/office/drawing/2014/main" id="{00000000-0008-0000-0100-00006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19" name="Drop Down -1022" hidden="1">
          <a:extLst>
            <a:ext uri="{FF2B5EF4-FFF2-40B4-BE49-F238E27FC236}">
              <a16:creationId xmlns:a16="http://schemas.microsoft.com/office/drawing/2014/main" id="{00000000-0008-0000-0100-00006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20" name="Drop Down 1" hidden="1">
          <a:extLst>
            <a:ext uri="{FF2B5EF4-FFF2-40B4-BE49-F238E27FC236}">
              <a16:creationId xmlns:a16="http://schemas.microsoft.com/office/drawing/2014/main" id="{00000000-0008-0000-0100-000070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21" name="Drop Down 1" hidden="1">
          <a:extLst>
            <a:ext uri="{FF2B5EF4-FFF2-40B4-BE49-F238E27FC236}">
              <a16:creationId xmlns:a16="http://schemas.microsoft.com/office/drawing/2014/main" id="{00000000-0008-0000-0100-000071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22" name="Drop Down 1" hidden="1">
          <a:extLst>
            <a:ext uri="{FF2B5EF4-FFF2-40B4-BE49-F238E27FC236}">
              <a16:creationId xmlns:a16="http://schemas.microsoft.com/office/drawing/2014/main" id="{00000000-0008-0000-0100-000072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23" name="Drop Down 1" hidden="1">
          <a:extLst>
            <a:ext uri="{FF2B5EF4-FFF2-40B4-BE49-F238E27FC236}">
              <a16:creationId xmlns:a16="http://schemas.microsoft.com/office/drawing/2014/main" id="{00000000-0008-0000-0100-000073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24" name="Drop Down 2" hidden="1">
          <a:extLst>
            <a:ext uri="{FF2B5EF4-FFF2-40B4-BE49-F238E27FC236}">
              <a16:creationId xmlns:a16="http://schemas.microsoft.com/office/drawing/2014/main" id="{00000000-0008-0000-0100-000074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25" name="Drop Down 1" hidden="1">
          <a:extLst>
            <a:ext uri="{FF2B5EF4-FFF2-40B4-BE49-F238E27FC236}">
              <a16:creationId xmlns:a16="http://schemas.microsoft.com/office/drawing/2014/main" id="{00000000-0008-0000-0100-000075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26" name="Drop Down -1022" hidden="1">
          <a:extLst>
            <a:ext uri="{FF2B5EF4-FFF2-40B4-BE49-F238E27FC236}">
              <a16:creationId xmlns:a16="http://schemas.microsoft.com/office/drawing/2014/main" id="{00000000-0008-0000-0100-000076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27" name="Drop Down 1" hidden="1">
          <a:extLst>
            <a:ext uri="{FF2B5EF4-FFF2-40B4-BE49-F238E27FC236}">
              <a16:creationId xmlns:a16="http://schemas.microsoft.com/office/drawing/2014/main" id="{00000000-0008-0000-0100-000077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28" name="Drop Down 1" hidden="1">
          <a:extLst>
            <a:ext uri="{FF2B5EF4-FFF2-40B4-BE49-F238E27FC236}">
              <a16:creationId xmlns:a16="http://schemas.microsoft.com/office/drawing/2014/main" id="{00000000-0008-0000-0100-000078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29" name="Drop Down 1" hidden="1">
          <a:extLst>
            <a:ext uri="{FF2B5EF4-FFF2-40B4-BE49-F238E27FC236}">
              <a16:creationId xmlns:a16="http://schemas.microsoft.com/office/drawing/2014/main" id="{00000000-0008-0000-0100-000079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30" name="Drop Down 1" hidden="1">
          <a:extLst>
            <a:ext uri="{FF2B5EF4-FFF2-40B4-BE49-F238E27FC236}">
              <a16:creationId xmlns:a16="http://schemas.microsoft.com/office/drawing/2014/main" id="{00000000-0008-0000-0100-00007A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31" name="Drop Down 2" hidden="1">
          <a:extLst>
            <a:ext uri="{FF2B5EF4-FFF2-40B4-BE49-F238E27FC236}">
              <a16:creationId xmlns:a16="http://schemas.microsoft.com/office/drawing/2014/main" id="{00000000-0008-0000-0100-00007B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32" name="Drop Down 1" hidden="1">
          <a:extLst>
            <a:ext uri="{FF2B5EF4-FFF2-40B4-BE49-F238E27FC236}">
              <a16:creationId xmlns:a16="http://schemas.microsoft.com/office/drawing/2014/main" id="{00000000-0008-0000-0100-00007C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33" name="Drop Down -1022" hidden="1">
          <a:extLst>
            <a:ext uri="{FF2B5EF4-FFF2-40B4-BE49-F238E27FC236}">
              <a16:creationId xmlns:a16="http://schemas.microsoft.com/office/drawing/2014/main" id="{00000000-0008-0000-0100-00007D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34" name="Drop Down 1" hidden="1">
          <a:extLst>
            <a:ext uri="{FF2B5EF4-FFF2-40B4-BE49-F238E27FC236}">
              <a16:creationId xmlns:a16="http://schemas.microsoft.com/office/drawing/2014/main" id="{00000000-0008-0000-0100-00007E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35" name="Drop Down 1" hidden="1">
          <a:extLst>
            <a:ext uri="{FF2B5EF4-FFF2-40B4-BE49-F238E27FC236}">
              <a16:creationId xmlns:a16="http://schemas.microsoft.com/office/drawing/2014/main" id="{00000000-0008-0000-0100-00007F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36" name="Drop Down 1" hidden="1">
          <a:extLst>
            <a:ext uri="{FF2B5EF4-FFF2-40B4-BE49-F238E27FC236}">
              <a16:creationId xmlns:a16="http://schemas.microsoft.com/office/drawing/2014/main" id="{00000000-0008-0000-0100-000080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37" name="Drop Down 1" hidden="1">
          <a:extLst>
            <a:ext uri="{FF2B5EF4-FFF2-40B4-BE49-F238E27FC236}">
              <a16:creationId xmlns:a16="http://schemas.microsoft.com/office/drawing/2014/main" id="{00000000-0008-0000-0100-000081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38" name="Drop Down 2" hidden="1">
          <a:extLst>
            <a:ext uri="{FF2B5EF4-FFF2-40B4-BE49-F238E27FC236}">
              <a16:creationId xmlns:a16="http://schemas.microsoft.com/office/drawing/2014/main" id="{00000000-0008-0000-0100-000082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39" name="Drop Down 1" hidden="1">
          <a:extLst>
            <a:ext uri="{FF2B5EF4-FFF2-40B4-BE49-F238E27FC236}">
              <a16:creationId xmlns:a16="http://schemas.microsoft.com/office/drawing/2014/main" id="{00000000-0008-0000-0100-000083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40" name="Drop Down -1022" hidden="1">
          <a:extLst>
            <a:ext uri="{FF2B5EF4-FFF2-40B4-BE49-F238E27FC236}">
              <a16:creationId xmlns:a16="http://schemas.microsoft.com/office/drawing/2014/main" id="{00000000-0008-0000-0100-000084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41" name="Drop Down 1" hidden="1">
          <a:extLst>
            <a:ext uri="{FF2B5EF4-FFF2-40B4-BE49-F238E27FC236}">
              <a16:creationId xmlns:a16="http://schemas.microsoft.com/office/drawing/2014/main" id="{00000000-0008-0000-0100-000085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42" name="Drop Down 1" hidden="1">
          <a:extLst>
            <a:ext uri="{FF2B5EF4-FFF2-40B4-BE49-F238E27FC236}">
              <a16:creationId xmlns:a16="http://schemas.microsoft.com/office/drawing/2014/main" id="{00000000-0008-0000-0100-000086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43" name="Drop Down 1" hidden="1">
          <a:extLst>
            <a:ext uri="{FF2B5EF4-FFF2-40B4-BE49-F238E27FC236}">
              <a16:creationId xmlns:a16="http://schemas.microsoft.com/office/drawing/2014/main" id="{00000000-0008-0000-0100-000087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44" name="Drop Down 1" hidden="1">
          <a:extLst>
            <a:ext uri="{FF2B5EF4-FFF2-40B4-BE49-F238E27FC236}">
              <a16:creationId xmlns:a16="http://schemas.microsoft.com/office/drawing/2014/main" id="{00000000-0008-0000-0100-000088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45" name="Drop Down 2" hidden="1">
          <a:extLst>
            <a:ext uri="{FF2B5EF4-FFF2-40B4-BE49-F238E27FC236}">
              <a16:creationId xmlns:a16="http://schemas.microsoft.com/office/drawing/2014/main" id="{00000000-0008-0000-0100-000089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46" name="Drop Down 1" hidden="1">
          <a:extLst>
            <a:ext uri="{FF2B5EF4-FFF2-40B4-BE49-F238E27FC236}">
              <a16:creationId xmlns:a16="http://schemas.microsoft.com/office/drawing/2014/main" id="{00000000-0008-0000-0100-00008A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47" name="Drop Down -1022" hidden="1">
          <a:extLst>
            <a:ext uri="{FF2B5EF4-FFF2-40B4-BE49-F238E27FC236}">
              <a16:creationId xmlns:a16="http://schemas.microsoft.com/office/drawing/2014/main" id="{00000000-0008-0000-0100-00008B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48" name="Drop Down 1" hidden="1">
          <a:extLst>
            <a:ext uri="{FF2B5EF4-FFF2-40B4-BE49-F238E27FC236}">
              <a16:creationId xmlns:a16="http://schemas.microsoft.com/office/drawing/2014/main" id="{00000000-0008-0000-0100-00008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49" name="Drop Down 1" hidden="1">
          <a:extLst>
            <a:ext uri="{FF2B5EF4-FFF2-40B4-BE49-F238E27FC236}">
              <a16:creationId xmlns:a16="http://schemas.microsoft.com/office/drawing/2014/main" id="{00000000-0008-0000-0100-00008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50" name="Drop Down 1" hidden="1">
          <a:extLst>
            <a:ext uri="{FF2B5EF4-FFF2-40B4-BE49-F238E27FC236}">
              <a16:creationId xmlns:a16="http://schemas.microsoft.com/office/drawing/2014/main" id="{00000000-0008-0000-0100-00008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51" name="Drop Down 1" hidden="1">
          <a:extLst>
            <a:ext uri="{FF2B5EF4-FFF2-40B4-BE49-F238E27FC236}">
              <a16:creationId xmlns:a16="http://schemas.microsoft.com/office/drawing/2014/main" id="{00000000-0008-0000-0100-00008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52" name="Drop Down 2" hidden="1">
          <a:extLst>
            <a:ext uri="{FF2B5EF4-FFF2-40B4-BE49-F238E27FC236}">
              <a16:creationId xmlns:a16="http://schemas.microsoft.com/office/drawing/2014/main" id="{00000000-0008-0000-0100-00009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53" name="Drop Down 1" hidden="1">
          <a:extLst>
            <a:ext uri="{FF2B5EF4-FFF2-40B4-BE49-F238E27FC236}">
              <a16:creationId xmlns:a16="http://schemas.microsoft.com/office/drawing/2014/main" id="{00000000-0008-0000-0100-00009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54" name="Drop Down -1022" hidden="1">
          <a:extLst>
            <a:ext uri="{FF2B5EF4-FFF2-40B4-BE49-F238E27FC236}">
              <a16:creationId xmlns:a16="http://schemas.microsoft.com/office/drawing/2014/main" id="{00000000-0008-0000-0100-00009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55" name="Drop Down 1" hidden="1">
          <a:extLst>
            <a:ext uri="{FF2B5EF4-FFF2-40B4-BE49-F238E27FC236}">
              <a16:creationId xmlns:a16="http://schemas.microsoft.com/office/drawing/2014/main" id="{00000000-0008-0000-0100-00009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56" name="Drop Down 1" hidden="1">
          <a:extLst>
            <a:ext uri="{FF2B5EF4-FFF2-40B4-BE49-F238E27FC236}">
              <a16:creationId xmlns:a16="http://schemas.microsoft.com/office/drawing/2014/main" id="{00000000-0008-0000-0100-00009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57" name="Drop Down 1" hidden="1">
          <a:extLst>
            <a:ext uri="{FF2B5EF4-FFF2-40B4-BE49-F238E27FC236}">
              <a16:creationId xmlns:a16="http://schemas.microsoft.com/office/drawing/2014/main" id="{00000000-0008-0000-0100-00009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58" name="Drop Down 1" hidden="1">
          <a:extLst>
            <a:ext uri="{FF2B5EF4-FFF2-40B4-BE49-F238E27FC236}">
              <a16:creationId xmlns:a16="http://schemas.microsoft.com/office/drawing/2014/main" id="{00000000-0008-0000-0100-00009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59" name="Drop Down 2" hidden="1">
          <a:extLst>
            <a:ext uri="{FF2B5EF4-FFF2-40B4-BE49-F238E27FC236}">
              <a16:creationId xmlns:a16="http://schemas.microsoft.com/office/drawing/2014/main" id="{00000000-0008-0000-0100-00009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60" name="Drop Down 1" hidden="1">
          <a:extLst>
            <a:ext uri="{FF2B5EF4-FFF2-40B4-BE49-F238E27FC236}">
              <a16:creationId xmlns:a16="http://schemas.microsoft.com/office/drawing/2014/main" id="{00000000-0008-0000-0100-00009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61" name="Drop Down -1022" hidden="1">
          <a:extLst>
            <a:ext uri="{FF2B5EF4-FFF2-40B4-BE49-F238E27FC236}">
              <a16:creationId xmlns:a16="http://schemas.microsoft.com/office/drawing/2014/main" id="{00000000-0008-0000-0100-00009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62" name="Drop Down 1" hidden="1">
          <a:extLst>
            <a:ext uri="{FF2B5EF4-FFF2-40B4-BE49-F238E27FC236}">
              <a16:creationId xmlns:a16="http://schemas.microsoft.com/office/drawing/2014/main" id="{00000000-0008-0000-0100-00009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63" name="Drop Down 1" hidden="1">
          <a:extLst>
            <a:ext uri="{FF2B5EF4-FFF2-40B4-BE49-F238E27FC236}">
              <a16:creationId xmlns:a16="http://schemas.microsoft.com/office/drawing/2014/main" id="{00000000-0008-0000-0100-00009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64" name="Drop Down 1" hidden="1">
          <a:extLst>
            <a:ext uri="{FF2B5EF4-FFF2-40B4-BE49-F238E27FC236}">
              <a16:creationId xmlns:a16="http://schemas.microsoft.com/office/drawing/2014/main" id="{00000000-0008-0000-0100-00009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65" name="Drop Down 1" hidden="1">
          <a:extLst>
            <a:ext uri="{FF2B5EF4-FFF2-40B4-BE49-F238E27FC236}">
              <a16:creationId xmlns:a16="http://schemas.microsoft.com/office/drawing/2014/main" id="{00000000-0008-0000-0100-00009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66" name="Drop Down 2" hidden="1">
          <a:extLst>
            <a:ext uri="{FF2B5EF4-FFF2-40B4-BE49-F238E27FC236}">
              <a16:creationId xmlns:a16="http://schemas.microsoft.com/office/drawing/2014/main" id="{00000000-0008-0000-0100-00009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67" name="Drop Down 1" hidden="1">
          <a:extLst>
            <a:ext uri="{FF2B5EF4-FFF2-40B4-BE49-F238E27FC236}">
              <a16:creationId xmlns:a16="http://schemas.microsoft.com/office/drawing/2014/main" id="{00000000-0008-0000-0100-00009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768" name="Drop Down -1022" hidden="1">
          <a:extLst>
            <a:ext uri="{FF2B5EF4-FFF2-40B4-BE49-F238E27FC236}">
              <a16:creationId xmlns:a16="http://schemas.microsoft.com/office/drawing/2014/main" id="{00000000-0008-0000-0100-0000A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69" name="Drop Down 1" hidden="1">
          <a:extLst>
            <a:ext uri="{FF2B5EF4-FFF2-40B4-BE49-F238E27FC236}">
              <a16:creationId xmlns:a16="http://schemas.microsoft.com/office/drawing/2014/main" id="{00000000-0008-0000-0100-0000A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70" name="Drop Down 1" hidden="1">
          <a:extLst>
            <a:ext uri="{FF2B5EF4-FFF2-40B4-BE49-F238E27FC236}">
              <a16:creationId xmlns:a16="http://schemas.microsoft.com/office/drawing/2014/main" id="{00000000-0008-0000-0100-0000A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71" name="Drop Down 1" hidden="1">
          <a:extLst>
            <a:ext uri="{FF2B5EF4-FFF2-40B4-BE49-F238E27FC236}">
              <a16:creationId xmlns:a16="http://schemas.microsoft.com/office/drawing/2014/main" id="{00000000-0008-0000-0100-0000A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72" name="Drop Down 1" hidden="1">
          <a:extLst>
            <a:ext uri="{FF2B5EF4-FFF2-40B4-BE49-F238E27FC236}">
              <a16:creationId xmlns:a16="http://schemas.microsoft.com/office/drawing/2014/main" id="{00000000-0008-0000-0100-0000A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73" name="Drop Down 2" hidden="1">
          <a:extLst>
            <a:ext uri="{FF2B5EF4-FFF2-40B4-BE49-F238E27FC236}">
              <a16:creationId xmlns:a16="http://schemas.microsoft.com/office/drawing/2014/main" id="{00000000-0008-0000-0100-0000A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74" name="Drop Down 1" hidden="1">
          <a:extLst>
            <a:ext uri="{FF2B5EF4-FFF2-40B4-BE49-F238E27FC236}">
              <a16:creationId xmlns:a16="http://schemas.microsoft.com/office/drawing/2014/main" id="{00000000-0008-0000-0100-0000A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775" name="Drop Down -1022" hidden="1">
          <a:extLst>
            <a:ext uri="{FF2B5EF4-FFF2-40B4-BE49-F238E27FC236}">
              <a16:creationId xmlns:a16="http://schemas.microsoft.com/office/drawing/2014/main" id="{00000000-0008-0000-0100-0000A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76" name="Drop Down 1" hidden="1">
          <a:extLst>
            <a:ext uri="{FF2B5EF4-FFF2-40B4-BE49-F238E27FC236}">
              <a16:creationId xmlns:a16="http://schemas.microsoft.com/office/drawing/2014/main" id="{00000000-0008-0000-0100-0000A8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77" name="Drop Down 1" hidden="1">
          <a:extLst>
            <a:ext uri="{FF2B5EF4-FFF2-40B4-BE49-F238E27FC236}">
              <a16:creationId xmlns:a16="http://schemas.microsoft.com/office/drawing/2014/main" id="{00000000-0008-0000-0100-0000A9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78" name="Drop Down 1" hidden="1">
          <a:extLst>
            <a:ext uri="{FF2B5EF4-FFF2-40B4-BE49-F238E27FC236}">
              <a16:creationId xmlns:a16="http://schemas.microsoft.com/office/drawing/2014/main" id="{00000000-0008-0000-0100-0000AA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79" name="Drop Down 1" hidden="1">
          <a:extLst>
            <a:ext uri="{FF2B5EF4-FFF2-40B4-BE49-F238E27FC236}">
              <a16:creationId xmlns:a16="http://schemas.microsoft.com/office/drawing/2014/main" id="{00000000-0008-0000-0100-0000AB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80" name="Drop Down 2" hidden="1">
          <a:extLst>
            <a:ext uri="{FF2B5EF4-FFF2-40B4-BE49-F238E27FC236}">
              <a16:creationId xmlns:a16="http://schemas.microsoft.com/office/drawing/2014/main" id="{00000000-0008-0000-0100-0000AC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81" name="Drop Down 1" hidden="1">
          <a:extLst>
            <a:ext uri="{FF2B5EF4-FFF2-40B4-BE49-F238E27FC236}">
              <a16:creationId xmlns:a16="http://schemas.microsoft.com/office/drawing/2014/main" id="{00000000-0008-0000-0100-0000AD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82" name="Drop Down -1022" hidden="1">
          <a:extLst>
            <a:ext uri="{FF2B5EF4-FFF2-40B4-BE49-F238E27FC236}">
              <a16:creationId xmlns:a16="http://schemas.microsoft.com/office/drawing/2014/main" id="{00000000-0008-0000-0100-0000AE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83" name="Drop Down 1" hidden="1">
          <a:extLst>
            <a:ext uri="{FF2B5EF4-FFF2-40B4-BE49-F238E27FC236}">
              <a16:creationId xmlns:a16="http://schemas.microsoft.com/office/drawing/2014/main" id="{00000000-0008-0000-0100-0000AF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84" name="Drop Down 1" hidden="1">
          <a:extLst>
            <a:ext uri="{FF2B5EF4-FFF2-40B4-BE49-F238E27FC236}">
              <a16:creationId xmlns:a16="http://schemas.microsoft.com/office/drawing/2014/main" id="{00000000-0008-0000-0100-0000B0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85" name="Drop Down 1" hidden="1">
          <a:extLst>
            <a:ext uri="{FF2B5EF4-FFF2-40B4-BE49-F238E27FC236}">
              <a16:creationId xmlns:a16="http://schemas.microsoft.com/office/drawing/2014/main" id="{00000000-0008-0000-0100-0000B1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86" name="Drop Down 1" hidden="1">
          <a:extLst>
            <a:ext uri="{FF2B5EF4-FFF2-40B4-BE49-F238E27FC236}">
              <a16:creationId xmlns:a16="http://schemas.microsoft.com/office/drawing/2014/main" id="{00000000-0008-0000-0100-0000B2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87" name="Drop Down 2" hidden="1">
          <a:extLst>
            <a:ext uri="{FF2B5EF4-FFF2-40B4-BE49-F238E27FC236}">
              <a16:creationId xmlns:a16="http://schemas.microsoft.com/office/drawing/2014/main" id="{00000000-0008-0000-0100-0000B3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88" name="Drop Down 1" hidden="1">
          <a:extLst>
            <a:ext uri="{FF2B5EF4-FFF2-40B4-BE49-F238E27FC236}">
              <a16:creationId xmlns:a16="http://schemas.microsoft.com/office/drawing/2014/main" id="{00000000-0008-0000-0100-0000B4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89" name="Drop Down -1022" hidden="1">
          <a:extLst>
            <a:ext uri="{FF2B5EF4-FFF2-40B4-BE49-F238E27FC236}">
              <a16:creationId xmlns:a16="http://schemas.microsoft.com/office/drawing/2014/main" id="{00000000-0008-0000-0100-0000B5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90" name="Drop Down 1" hidden="1">
          <a:extLst>
            <a:ext uri="{FF2B5EF4-FFF2-40B4-BE49-F238E27FC236}">
              <a16:creationId xmlns:a16="http://schemas.microsoft.com/office/drawing/2014/main" id="{00000000-0008-0000-0100-0000B6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91" name="Drop Down 1" hidden="1">
          <a:extLst>
            <a:ext uri="{FF2B5EF4-FFF2-40B4-BE49-F238E27FC236}">
              <a16:creationId xmlns:a16="http://schemas.microsoft.com/office/drawing/2014/main" id="{00000000-0008-0000-0100-0000B7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92" name="Drop Down 1" hidden="1">
          <a:extLst>
            <a:ext uri="{FF2B5EF4-FFF2-40B4-BE49-F238E27FC236}">
              <a16:creationId xmlns:a16="http://schemas.microsoft.com/office/drawing/2014/main" id="{00000000-0008-0000-0100-0000B8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93" name="Drop Down 1" hidden="1">
          <a:extLst>
            <a:ext uri="{FF2B5EF4-FFF2-40B4-BE49-F238E27FC236}">
              <a16:creationId xmlns:a16="http://schemas.microsoft.com/office/drawing/2014/main" id="{00000000-0008-0000-0100-0000B9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94" name="Drop Down 2" hidden="1">
          <a:extLst>
            <a:ext uri="{FF2B5EF4-FFF2-40B4-BE49-F238E27FC236}">
              <a16:creationId xmlns:a16="http://schemas.microsoft.com/office/drawing/2014/main" id="{00000000-0008-0000-0100-0000BA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95" name="Drop Down 1" hidden="1">
          <a:extLst>
            <a:ext uri="{FF2B5EF4-FFF2-40B4-BE49-F238E27FC236}">
              <a16:creationId xmlns:a16="http://schemas.microsoft.com/office/drawing/2014/main" id="{00000000-0008-0000-0100-0000BB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796" name="Drop Down -1022" hidden="1">
          <a:extLst>
            <a:ext uri="{FF2B5EF4-FFF2-40B4-BE49-F238E27FC236}">
              <a16:creationId xmlns:a16="http://schemas.microsoft.com/office/drawing/2014/main" id="{00000000-0008-0000-0100-0000BC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97" name="Drop Down 1" hidden="1">
          <a:extLst>
            <a:ext uri="{FF2B5EF4-FFF2-40B4-BE49-F238E27FC236}">
              <a16:creationId xmlns:a16="http://schemas.microsoft.com/office/drawing/2014/main" id="{00000000-0008-0000-0100-0000BD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98" name="Drop Down 1" hidden="1">
          <a:extLst>
            <a:ext uri="{FF2B5EF4-FFF2-40B4-BE49-F238E27FC236}">
              <a16:creationId xmlns:a16="http://schemas.microsoft.com/office/drawing/2014/main" id="{00000000-0008-0000-0100-0000BE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799" name="Drop Down 1" hidden="1">
          <a:extLst>
            <a:ext uri="{FF2B5EF4-FFF2-40B4-BE49-F238E27FC236}">
              <a16:creationId xmlns:a16="http://schemas.microsoft.com/office/drawing/2014/main" id="{00000000-0008-0000-0100-0000BF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00" name="Drop Down 1" hidden="1">
          <a:extLst>
            <a:ext uri="{FF2B5EF4-FFF2-40B4-BE49-F238E27FC236}">
              <a16:creationId xmlns:a16="http://schemas.microsoft.com/office/drawing/2014/main" id="{00000000-0008-0000-0100-0000C0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01" name="Drop Down 2" hidden="1">
          <a:extLst>
            <a:ext uri="{FF2B5EF4-FFF2-40B4-BE49-F238E27FC236}">
              <a16:creationId xmlns:a16="http://schemas.microsoft.com/office/drawing/2014/main" id="{00000000-0008-0000-0100-0000C1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02" name="Drop Down 1" hidden="1">
          <a:extLst>
            <a:ext uri="{FF2B5EF4-FFF2-40B4-BE49-F238E27FC236}">
              <a16:creationId xmlns:a16="http://schemas.microsoft.com/office/drawing/2014/main" id="{00000000-0008-0000-0100-0000C2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03" name="Drop Down -1022" hidden="1">
          <a:extLst>
            <a:ext uri="{FF2B5EF4-FFF2-40B4-BE49-F238E27FC236}">
              <a16:creationId xmlns:a16="http://schemas.microsoft.com/office/drawing/2014/main" id="{00000000-0008-0000-0100-0000C3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804" name="Drop Down 1" hidden="1">
          <a:extLst>
            <a:ext uri="{FF2B5EF4-FFF2-40B4-BE49-F238E27FC236}">
              <a16:creationId xmlns:a16="http://schemas.microsoft.com/office/drawing/2014/main" id="{00000000-0008-0000-0100-0000C4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805" name="Drop Down 1" hidden="1">
          <a:extLst>
            <a:ext uri="{FF2B5EF4-FFF2-40B4-BE49-F238E27FC236}">
              <a16:creationId xmlns:a16="http://schemas.microsoft.com/office/drawing/2014/main" id="{00000000-0008-0000-0100-0000C5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806" name="Drop Down 1" hidden="1">
          <a:extLst>
            <a:ext uri="{FF2B5EF4-FFF2-40B4-BE49-F238E27FC236}">
              <a16:creationId xmlns:a16="http://schemas.microsoft.com/office/drawing/2014/main" id="{00000000-0008-0000-0100-0000C6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807" name="Drop Down 1" hidden="1">
          <a:extLst>
            <a:ext uri="{FF2B5EF4-FFF2-40B4-BE49-F238E27FC236}">
              <a16:creationId xmlns:a16="http://schemas.microsoft.com/office/drawing/2014/main" id="{00000000-0008-0000-0100-0000C7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808" name="Drop Down 2" hidden="1">
          <a:extLst>
            <a:ext uri="{FF2B5EF4-FFF2-40B4-BE49-F238E27FC236}">
              <a16:creationId xmlns:a16="http://schemas.microsoft.com/office/drawing/2014/main" id="{00000000-0008-0000-0100-0000C8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809" name="Drop Down 1" hidden="1">
          <a:extLst>
            <a:ext uri="{FF2B5EF4-FFF2-40B4-BE49-F238E27FC236}">
              <a16:creationId xmlns:a16="http://schemas.microsoft.com/office/drawing/2014/main" id="{00000000-0008-0000-0100-0000C9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4810" name="Drop Down -1022" hidden="1">
          <a:extLst>
            <a:ext uri="{FF2B5EF4-FFF2-40B4-BE49-F238E27FC236}">
              <a16:creationId xmlns:a16="http://schemas.microsoft.com/office/drawing/2014/main" id="{00000000-0008-0000-0100-0000CA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811" name="Drop Down 1" hidden="1">
          <a:extLst>
            <a:ext uri="{FF2B5EF4-FFF2-40B4-BE49-F238E27FC236}">
              <a16:creationId xmlns:a16="http://schemas.microsoft.com/office/drawing/2014/main" id="{00000000-0008-0000-0100-0000CB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812" name="Drop Down 1" hidden="1">
          <a:extLst>
            <a:ext uri="{FF2B5EF4-FFF2-40B4-BE49-F238E27FC236}">
              <a16:creationId xmlns:a16="http://schemas.microsoft.com/office/drawing/2014/main" id="{00000000-0008-0000-0100-0000CC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813" name="Drop Down 1" hidden="1">
          <a:extLst>
            <a:ext uri="{FF2B5EF4-FFF2-40B4-BE49-F238E27FC236}">
              <a16:creationId xmlns:a16="http://schemas.microsoft.com/office/drawing/2014/main" id="{00000000-0008-0000-0100-0000CD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814" name="Drop Down 1" hidden="1">
          <a:extLst>
            <a:ext uri="{FF2B5EF4-FFF2-40B4-BE49-F238E27FC236}">
              <a16:creationId xmlns:a16="http://schemas.microsoft.com/office/drawing/2014/main" id="{00000000-0008-0000-0100-0000CE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815" name="Drop Down 2" hidden="1">
          <a:extLst>
            <a:ext uri="{FF2B5EF4-FFF2-40B4-BE49-F238E27FC236}">
              <a16:creationId xmlns:a16="http://schemas.microsoft.com/office/drawing/2014/main" id="{00000000-0008-0000-0100-0000CF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816" name="Drop Down 1" hidden="1">
          <a:extLst>
            <a:ext uri="{FF2B5EF4-FFF2-40B4-BE49-F238E27FC236}">
              <a16:creationId xmlns:a16="http://schemas.microsoft.com/office/drawing/2014/main" id="{00000000-0008-0000-0100-0000D0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4817" name="Drop Down -1022" hidden="1">
          <a:extLst>
            <a:ext uri="{FF2B5EF4-FFF2-40B4-BE49-F238E27FC236}">
              <a16:creationId xmlns:a16="http://schemas.microsoft.com/office/drawing/2014/main" id="{00000000-0008-0000-0100-0000D1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18" name="Drop Down 1" hidden="1">
          <a:extLst>
            <a:ext uri="{FF2B5EF4-FFF2-40B4-BE49-F238E27FC236}">
              <a16:creationId xmlns:a16="http://schemas.microsoft.com/office/drawing/2014/main" id="{00000000-0008-0000-0100-0000D2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19" name="Drop Down 1" hidden="1">
          <a:extLst>
            <a:ext uri="{FF2B5EF4-FFF2-40B4-BE49-F238E27FC236}">
              <a16:creationId xmlns:a16="http://schemas.microsoft.com/office/drawing/2014/main" id="{00000000-0008-0000-0100-0000D3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20" name="Drop Down 1" hidden="1">
          <a:extLst>
            <a:ext uri="{FF2B5EF4-FFF2-40B4-BE49-F238E27FC236}">
              <a16:creationId xmlns:a16="http://schemas.microsoft.com/office/drawing/2014/main" id="{00000000-0008-0000-0100-0000D4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21" name="Drop Down 1" hidden="1">
          <a:extLst>
            <a:ext uri="{FF2B5EF4-FFF2-40B4-BE49-F238E27FC236}">
              <a16:creationId xmlns:a16="http://schemas.microsoft.com/office/drawing/2014/main" id="{00000000-0008-0000-0100-0000D5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22" name="Drop Down 2" hidden="1">
          <a:extLst>
            <a:ext uri="{FF2B5EF4-FFF2-40B4-BE49-F238E27FC236}">
              <a16:creationId xmlns:a16="http://schemas.microsoft.com/office/drawing/2014/main" id="{00000000-0008-0000-0100-0000D6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23" name="Drop Down 1" hidden="1">
          <a:extLst>
            <a:ext uri="{FF2B5EF4-FFF2-40B4-BE49-F238E27FC236}">
              <a16:creationId xmlns:a16="http://schemas.microsoft.com/office/drawing/2014/main" id="{00000000-0008-0000-0100-0000D7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24" name="Drop Down -1022" hidden="1">
          <a:extLst>
            <a:ext uri="{FF2B5EF4-FFF2-40B4-BE49-F238E27FC236}">
              <a16:creationId xmlns:a16="http://schemas.microsoft.com/office/drawing/2014/main" id="{00000000-0008-0000-0100-0000D8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25" name="Drop Down 1" hidden="1">
          <a:extLst>
            <a:ext uri="{FF2B5EF4-FFF2-40B4-BE49-F238E27FC236}">
              <a16:creationId xmlns:a16="http://schemas.microsoft.com/office/drawing/2014/main" id="{00000000-0008-0000-0100-0000D9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26" name="Drop Down 1" hidden="1">
          <a:extLst>
            <a:ext uri="{FF2B5EF4-FFF2-40B4-BE49-F238E27FC236}">
              <a16:creationId xmlns:a16="http://schemas.microsoft.com/office/drawing/2014/main" id="{00000000-0008-0000-0100-0000DA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27" name="Drop Down 1" hidden="1">
          <a:extLst>
            <a:ext uri="{FF2B5EF4-FFF2-40B4-BE49-F238E27FC236}">
              <a16:creationId xmlns:a16="http://schemas.microsoft.com/office/drawing/2014/main" id="{00000000-0008-0000-0100-0000DB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28" name="Drop Down 1" hidden="1">
          <a:extLst>
            <a:ext uri="{FF2B5EF4-FFF2-40B4-BE49-F238E27FC236}">
              <a16:creationId xmlns:a16="http://schemas.microsoft.com/office/drawing/2014/main" id="{00000000-0008-0000-0100-0000DC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29" name="Drop Down 2" hidden="1">
          <a:extLst>
            <a:ext uri="{FF2B5EF4-FFF2-40B4-BE49-F238E27FC236}">
              <a16:creationId xmlns:a16="http://schemas.microsoft.com/office/drawing/2014/main" id="{00000000-0008-0000-0100-0000DD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30" name="Drop Down 1" hidden="1">
          <a:extLst>
            <a:ext uri="{FF2B5EF4-FFF2-40B4-BE49-F238E27FC236}">
              <a16:creationId xmlns:a16="http://schemas.microsoft.com/office/drawing/2014/main" id="{00000000-0008-0000-0100-0000DE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31" name="Drop Down -1022" hidden="1">
          <a:extLst>
            <a:ext uri="{FF2B5EF4-FFF2-40B4-BE49-F238E27FC236}">
              <a16:creationId xmlns:a16="http://schemas.microsoft.com/office/drawing/2014/main" id="{00000000-0008-0000-0100-0000DF12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32" name="Drop Down 1" hidden="1">
          <a:extLst>
            <a:ext uri="{FF2B5EF4-FFF2-40B4-BE49-F238E27FC236}">
              <a16:creationId xmlns:a16="http://schemas.microsoft.com/office/drawing/2014/main" id="{00000000-0008-0000-0100-0000E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33" name="Drop Down 1" hidden="1">
          <a:extLst>
            <a:ext uri="{FF2B5EF4-FFF2-40B4-BE49-F238E27FC236}">
              <a16:creationId xmlns:a16="http://schemas.microsoft.com/office/drawing/2014/main" id="{00000000-0008-0000-0100-0000E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34" name="Drop Down 1" hidden="1">
          <a:extLst>
            <a:ext uri="{FF2B5EF4-FFF2-40B4-BE49-F238E27FC236}">
              <a16:creationId xmlns:a16="http://schemas.microsoft.com/office/drawing/2014/main" id="{00000000-0008-0000-0100-0000E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35" name="Drop Down 1" hidden="1">
          <a:extLst>
            <a:ext uri="{FF2B5EF4-FFF2-40B4-BE49-F238E27FC236}">
              <a16:creationId xmlns:a16="http://schemas.microsoft.com/office/drawing/2014/main" id="{00000000-0008-0000-0100-0000E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36" name="Drop Down 2" hidden="1">
          <a:extLst>
            <a:ext uri="{FF2B5EF4-FFF2-40B4-BE49-F238E27FC236}">
              <a16:creationId xmlns:a16="http://schemas.microsoft.com/office/drawing/2014/main" id="{00000000-0008-0000-0100-0000E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37" name="Drop Down 1" hidden="1">
          <a:extLst>
            <a:ext uri="{FF2B5EF4-FFF2-40B4-BE49-F238E27FC236}">
              <a16:creationId xmlns:a16="http://schemas.microsoft.com/office/drawing/2014/main" id="{00000000-0008-0000-0100-0000E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38" name="Drop Down -1022" hidden="1">
          <a:extLst>
            <a:ext uri="{FF2B5EF4-FFF2-40B4-BE49-F238E27FC236}">
              <a16:creationId xmlns:a16="http://schemas.microsoft.com/office/drawing/2014/main" id="{00000000-0008-0000-0100-0000E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39" name="Drop Down 1" hidden="1">
          <a:extLst>
            <a:ext uri="{FF2B5EF4-FFF2-40B4-BE49-F238E27FC236}">
              <a16:creationId xmlns:a16="http://schemas.microsoft.com/office/drawing/2014/main" id="{00000000-0008-0000-0100-0000E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40" name="Drop Down 1" hidden="1">
          <a:extLst>
            <a:ext uri="{FF2B5EF4-FFF2-40B4-BE49-F238E27FC236}">
              <a16:creationId xmlns:a16="http://schemas.microsoft.com/office/drawing/2014/main" id="{00000000-0008-0000-0100-0000E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41" name="Drop Down 1" hidden="1">
          <a:extLst>
            <a:ext uri="{FF2B5EF4-FFF2-40B4-BE49-F238E27FC236}">
              <a16:creationId xmlns:a16="http://schemas.microsoft.com/office/drawing/2014/main" id="{00000000-0008-0000-0100-0000E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42" name="Drop Down 1" hidden="1">
          <a:extLst>
            <a:ext uri="{FF2B5EF4-FFF2-40B4-BE49-F238E27FC236}">
              <a16:creationId xmlns:a16="http://schemas.microsoft.com/office/drawing/2014/main" id="{00000000-0008-0000-0100-0000E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43" name="Drop Down 2" hidden="1">
          <a:extLst>
            <a:ext uri="{FF2B5EF4-FFF2-40B4-BE49-F238E27FC236}">
              <a16:creationId xmlns:a16="http://schemas.microsoft.com/office/drawing/2014/main" id="{00000000-0008-0000-0100-0000E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44" name="Drop Down 1" hidden="1">
          <a:extLst>
            <a:ext uri="{FF2B5EF4-FFF2-40B4-BE49-F238E27FC236}">
              <a16:creationId xmlns:a16="http://schemas.microsoft.com/office/drawing/2014/main" id="{00000000-0008-0000-0100-0000E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45" name="Drop Down -1022" hidden="1">
          <a:extLst>
            <a:ext uri="{FF2B5EF4-FFF2-40B4-BE49-F238E27FC236}">
              <a16:creationId xmlns:a16="http://schemas.microsoft.com/office/drawing/2014/main" id="{00000000-0008-0000-0100-0000E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46" name="Drop Down 1" hidden="1">
          <a:extLst>
            <a:ext uri="{FF2B5EF4-FFF2-40B4-BE49-F238E27FC236}">
              <a16:creationId xmlns:a16="http://schemas.microsoft.com/office/drawing/2014/main" id="{00000000-0008-0000-0100-0000E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47" name="Drop Down 1" hidden="1">
          <a:extLst>
            <a:ext uri="{FF2B5EF4-FFF2-40B4-BE49-F238E27FC236}">
              <a16:creationId xmlns:a16="http://schemas.microsoft.com/office/drawing/2014/main" id="{00000000-0008-0000-0100-0000E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48" name="Drop Down 1" hidden="1">
          <a:extLst>
            <a:ext uri="{FF2B5EF4-FFF2-40B4-BE49-F238E27FC236}">
              <a16:creationId xmlns:a16="http://schemas.microsoft.com/office/drawing/2014/main" id="{00000000-0008-0000-0100-0000F0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49" name="Drop Down 1" hidden="1">
          <a:extLst>
            <a:ext uri="{FF2B5EF4-FFF2-40B4-BE49-F238E27FC236}">
              <a16:creationId xmlns:a16="http://schemas.microsoft.com/office/drawing/2014/main" id="{00000000-0008-0000-0100-0000F1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50" name="Drop Down 2" hidden="1">
          <a:extLst>
            <a:ext uri="{FF2B5EF4-FFF2-40B4-BE49-F238E27FC236}">
              <a16:creationId xmlns:a16="http://schemas.microsoft.com/office/drawing/2014/main" id="{00000000-0008-0000-0100-0000F2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51" name="Drop Down 1" hidden="1">
          <a:extLst>
            <a:ext uri="{FF2B5EF4-FFF2-40B4-BE49-F238E27FC236}">
              <a16:creationId xmlns:a16="http://schemas.microsoft.com/office/drawing/2014/main" id="{00000000-0008-0000-0100-0000F3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52" name="Drop Down -1022" hidden="1">
          <a:extLst>
            <a:ext uri="{FF2B5EF4-FFF2-40B4-BE49-F238E27FC236}">
              <a16:creationId xmlns:a16="http://schemas.microsoft.com/office/drawing/2014/main" id="{00000000-0008-0000-0100-0000F4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53" name="Drop Down 1" hidden="1">
          <a:extLst>
            <a:ext uri="{FF2B5EF4-FFF2-40B4-BE49-F238E27FC236}">
              <a16:creationId xmlns:a16="http://schemas.microsoft.com/office/drawing/2014/main" id="{00000000-0008-0000-0100-0000F5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54" name="Drop Down 1" hidden="1">
          <a:extLst>
            <a:ext uri="{FF2B5EF4-FFF2-40B4-BE49-F238E27FC236}">
              <a16:creationId xmlns:a16="http://schemas.microsoft.com/office/drawing/2014/main" id="{00000000-0008-0000-0100-0000F6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55" name="Drop Down 1" hidden="1">
          <a:extLst>
            <a:ext uri="{FF2B5EF4-FFF2-40B4-BE49-F238E27FC236}">
              <a16:creationId xmlns:a16="http://schemas.microsoft.com/office/drawing/2014/main" id="{00000000-0008-0000-0100-0000F7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56" name="Drop Down 1" hidden="1">
          <a:extLst>
            <a:ext uri="{FF2B5EF4-FFF2-40B4-BE49-F238E27FC236}">
              <a16:creationId xmlns:a16="http://schemas.microsoft.com/office/drawing/2014/main" id="{00000000-0008-0000-0100-0000F8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57" name="Drop Down 2" hidden="1">
          <a:extLst>
            <a:ext uri="{FF2B5EF4-FFF2-40B4-BE49-F238E27FC236}">
              <a16:creationId xmlns:a16="http://schemas.microsoft.com/office/drawing/2014/main" id="{00000000-0008-0000-0100-0000F9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58" name="Drop Down 1" hidden="1">
          <a:extLst>
            <a:ext uri="{FF2B5EF4-FFF2-40B4-BE49-F238E27FC236}">
              <a16:creationId xmlns:a16="http://schemas.microsoft.com/office/drawing/2014/main" id="{00000000-0008-0000-0100-0000FA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59" name="Drop Down -1022" hidden="1">
          <a:extLst>
            <a:ext uri="{FF2B5EF4-FFF2-40B4-BE49-F238E27FC236}">
              <a16:creationId xmlns:a16="http://schemas.microsoft.com/office/drawing/2014/main" id="{00000000-0008-0000-0100-0000FB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60" name="Drop Down 1" hidden="1">
          <a:extLst>
            <a:ext uri="{FF2B5EF4-FFF2-40B4-BE49-F238E27FC236}">
              <a16:creationId xmlns:a16="http://schemas.microsoft.com/office/drawing/2014/main" id="{00000000-0008-0000-0100-0000FC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61" name="Drop Down 1" hidden="1">
          <a:extLst>
            <a:ext uri="{FF2B5EF4-FFF2-40B4-BE49-F238E27FC236}">
              <a16:creationId xmlns:a16="http://schemas.microsoft.com/office/drawing/2014/main" id="{00000000-0008-0000-0100-0000FD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62" name="Drop Down 1" hidden="1">
          <a:extLst>
            <a:ext uri="{FF2B5EF4-FFF2-40B4-BE49-F238E27FC236}">
              <a16:creationId xmlns:a16="http://schemas.microsoft.com/office/drawing/2014/main" id="{00000000-0008-0000-0100-0000FE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63" name="Drop Down 1" hidden="1">
          <a:extLst>
            <a:ext uri="{FF2B5EF4-FFF2-40B4-BE49-F238E27FC236}">
              <a16:creationId xmlns:a16="http://schemas.microsoft.com/office/drawing/2014/main" id="{00000000-0008-0000-0100-0000FF12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64" name="Drop Down 2" hidden="1">
          <a:extLst>
            <a:ext uri="{FF2B5EF4-FFF2-40B4-BE49-F238E27FC236}">
              <a16:creationId xmlns:a16="http://schemas.microsoft.com/office/drawing/2014/main" id="{00000000-0008-0000-0100-00000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65" name="Drop Down 1" hidden="1">
          <a:extLst>
            <a:ext uri="{FF2B5EF4-FFF2-40B4-BE49-F238E27FC236}">
              <a16:creationId xmlns:a16="http://schemas.microsoft.com/office/drawing/2014/main" id="{00000000-0008-0000-0100-00000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66" name="Drop Down -1022" hidden="1">
          <a:extLst>
            <a:ext uri="{FF2B5EF4-FFF2-40B4-BE49-F238E27FC236}">
              <a16:creationId xmlns:a16="http://schemas.microsoft.com/office/drawing/2014/main" id="{00000000-0008-0000-0100-00000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67" name="Drop Down 1" hidden="1">
          <a:extLst>
            <a:ext uri="{FF2B5EF4-FFF2-40B4-BE49-F238E27FC236}">
              <a16:creationId xmlns:a16="http://schemas.microsoft.com/office/drawing/2014/main" id="{00000000-0008-0000-0100-00000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68" name="Drop Down 1" hidden="1">
          <a:extLst>
            <a:ext uri="{FF2B5EF4-FFF2-40B4-BE49-F238E27FC236}">
              <a16:creationId xmlns:a16="http://schemas.microsoft.com/office/drawing/2014/main" id="{00000000-0008-0000-0100-00000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69" name="Drop Down 1" hidden="1">
          <a:extLst>
            <a:ext uri="{FF2B5EF4-FFF2-40B4-BE49-F238E27FC236}">
              <a16:creationId xmlns:a16="http://schemas.microsoft.com/office/drawing/2014/main" id="{00000000-0008-0000-0100-00000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70" name="Drop Down 1" hidden="1">
          <a:extLst>
            <a:ext uri="{FF2B5EF4-FFF2-40B4-BE49-F238E27FC236}">
              <a16:creationId xmlns:a16="http://schemas.microsoft.com/office/drawing/2014/main" id="{00000000-0008-0000-0100-00000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71" name="Drop Down 2" hidden="1">
          <a:extLst>
            <a:ext uri="{FF2B5EF4-FFF2-40B4-BE49-F238E27FC236}">
              <a16:creationId xmlns:a16="http://schemas.microsoft.com/office/drawing/2014/main" id="{00000000-0008-0000-0100-00000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72" name="Drop Down 1" hidden="1">
          <a:extLst>
            <a:ext uri="{FF2B5EF4-FFF2-40B4-BE49-F238E27FC236}">
              <a16:creationId xmlns:a16="http://schemas.microsoft.com/office/drawing/2014/main" id="{00000000-0008-0000-0100-00000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73" name="Drop Down -1022" hidden="1">
          <a:extLst>
            <a:ext uri="{FF2B5EF4-FFF2-40B4-BE49-F238E27FC236}">
              <a16:creationId xmlns:a16="http://schemas.microsoft.com/office/drawing/2014/main" id="{00000000-0008-0000-0100-00000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74" name="Drop Down 1" hidden="1">
          <a:extLst>
            <a:ext uri="{FF2B5EF4-FFF2-40B4-BE49-F238E27FC236}">
              <a16:creationId xmlns:a16="http://schemas.microsoft.com/office/drawing/2014/main" id="{00000000-0008-0000-0100-00000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75" name="Drop Down 1" hidden="1">
          <a:extLst>
            <a:ext uri="{FF2B5EF4-FFF2-40B4-BE49-F238E27FC236}">
              <a16:creationId xmlns:a16="http://schemas.microsoft.com/office/drawing/2014/main" id="{00000000-0008-0000-0100-00000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76" name="Drop Down 1" hidden="1">
          <a:extLst>
            <a:ext uri="{FF2B5EF4-FFF2-40B4-BE49-F238E27FC236}">
              <a16:creationId xmlns:a16="http://schemas.microsoft.com/office/drawing/2014/main" id="{00000000-0008-0000-0100-00000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77" name="Drop Down 1" hidden="1">
          <a:extLst>
            <a:ext uri="{FF2B5EF4-FFF2-40B4-BE49-F238E27FC236}">
              <a16:creationId xmlns:a16="http://schemas.microsoft.com/office/drawing/2014/main" id="{00000000-0008-0000-0100-00000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78" name="Drop Down 2" hidden="1">
          <a:extLst>
            <a:ext uri="{FF2B5EF4-FFF2-40B4-BE49-F238E27FC236}">
              <a16:creationId xmlns:a16="http://schemas.microsoft.com/office/drawing/2014/main" id="{00000000-0008-0000-0100-00000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79" name="Drop Down 1" hidden="1">
          <a:extLst>
            <a:ext uri="{FF2B5EF4-FFF2-40B4-BE49-F238E27FC236}">
              <a16:creationId xmlns:a16="http://schemas.microsoft.com/office/drawing/2014/main" id="{00000000-0008-0000-0100-00000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880" name="Drop Down -1022" hidden="1">
          <a:extLst>
            <a:ext uri="{FF2B5EF4-FFF2-40B4-BE49-F238E27FC236}">
              <a16:creationId xmlns:a16="http://schemas.microsoft.com/office/drawing/2014/main" id="{00000000-0008-0000-0100-00001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81" name="Drop Down 1" hidden="1">
          <a:extLst>
            <a:ext uri="{FF2B5EF4-FFF2-40B4-BE49-F238E27FC236}">
              <a16:creationId xmlns:a16="http://schemas.microsoft.com/office/drawing/2014/main" id="{00000000-0008-0000-0100-00001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82" name="Drop Down 1" hidden="1">
          <a:extLst>
            <a:ext uri="{FF2B5EF4-FFF2-40B4-BE49-F238E27FC236}">
              <a16:creationId xmlns:a16="http://schemas.microsoft.com/office/drawing/2014/main" id="{00000000-0008-0000-0100-00001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83" name="Drop Down 1" hidden="1">
          <a:extLst>
            <a:ext uri="{FF2B5EF4-FFF2-40B4-BE49-F238E27FC236}">
              <a16:creationId xmlns:a16="http://schemas.microsoft.com/office/drawing/2014/main" id="{00000000-0008-0000-0100-00001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84" name="Drop Down 1" hidden="1">
          <a:extLst>
            <a:ext uri="{FF2B5EF4-FFF2-40B4-BE49-F238E27FC236}">
              <a16:creationId xmlns:a16="http://schemas.microsoft.com/office/drawing/2014/main" id="{00000000-0008-0000-0100-00001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85" name="Drop Down 2" hidden="1">
          <a:extLst>
            <a:ext uri="{FF2B5EF4-FFF2-40B4-BE49-F238E27FC236}">
              <a16:creationId xmlns:a16="http://schemas.microsoft.com/office/drawing/2014/main" id="{00000000-0008-0000-0100-00001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86" name="Drop Down 1" hidden="1">
          <a:extLst>
            <a:ext uri="{FF2B5EF4-FFF2-40B4-BE49-F238E27FC236}">
              <a16:creationId xmlns:a16="http://schemas.microsoft.com/office/drawing/2014/main" id="{00000000-0008-0000-0100-00001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887" name="Drop Down -1022" hidden="1">
          <a:extLst>
            <a:ext uri="{FF2B5EF4-FFF2-40B4-BE49-F238E27FC236}">
              <a16:creationId xmlns:a16="http://schemas.microsoft.com/office/drawing/2014/main" id="{00000000-0008-0000-0100-00001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88" name="Drop Down 1" hidden="1">
          <a:extLst>
            <a:ext uri="{FF2B5EF4-FFF2-40B4-BE49-F238E27FC236}">
              <a16:creationId xmlns:a16="http://schemas.microsoft.com/office/drawing/2014/main" id="{00000000-0008-0000-0100-000018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89" name="Drop Down 1" hidden="1">
          <a:extLst>
            <a:ext uri="{FF2B5EF4-FFF2-40B4-BE49-F238E27FC236}">
              <a16:creationId xmlns:a16="http://schemas.microsoft.com/office/drawing/2014/main" id="{00000000-0008-0000-0100-000019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90" name="Drop Down 1" hidden="1">
          <a:extLst>
            <a:ext uri="{FF2B5EF4-FFF2-40B4-BE49-F238E27FC236}">
              <a16:creationId xmlns:a16="http://schemas.microsoft.com/office/drawing/2014/main" id="{00000000-0008-0000-0100-00001A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91" name="Drop Down 1" hidden="1">
          <a:extLst>
            <a:ext uri="{FF2B5EF4-FFF2-40B4-BE49-F238E27FC236}">
              <a16:creationId xmlns:a16="http://schemas.microsoft.com/office/drawing/2014/main" id="{00000000-0008-0000-0100-00001B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92" name="Drop Down 2" hidden="1">
          <a:extLst>
            <a:ext uri="{FF2B5EF4-FFF2-40B4-BE49-F238E27FC236}">
              <a16:creationId xmlns:a16="http://schemas.microsoft.com/office/drawing/2014/main" id="{00000000-0008-0000-0100-00001C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93" name="Drop Down 1" hidden="1">
          <a:extLst>
            <a:ext uri="{FF2B5EF4-FFF2-40B4-BE49-F238E27FC236}">
              <a16:creationId xmlns:a16="http://schemas.microsoft.com/office/drawing/2014/main" id="{00000000-0008-0000-0100-00001D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894" name="Drop Down -1022" hidden="1">
          <a:extLst>
            <a:ext uri="{FF2B5EF4-FFF2-40B4-BE49-F238E27FC236}">
              <a16:creationId xmlns:a16="http://schemas.microsoft.com/office/drawing/2014/main" id="{00000000-0008-0000-0100-00001E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95" name="Drop Down 1" hidden="1">
          <a:extLst>
            <a:ext uri="{FF2B5EF4-FFF2-40B4-BE49-F238E27FC236}">
              <a16:creationId xmlns:a16="http://schemas.microsoft.com/office/drawing/2014/main" id="{00000000-0008-0000-0100-00001F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96" name="Drop Down 1" hidden="1">
          <a:extLst>
            <a:ext uri="{FF2B5EF4-FFF2-40B4-BE49-F238E27FC236}">
              <a16:creationId xmlns:a16="http://schemas.microsoft.com/office/drawing/2014/main" id="{00000000-0008-0000-0100-000020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97" name="Drop Down 1" hidden="1">
          <a:extLst>
            <a:ext uri="{FF2B5EF4-FFF2-40B4-BE49-F238E27FC236}">
              <a16:creationId xmlns:a16="http://schemas.microsoft.com/office/drawing/2014/main" id="{00000000-0008-0000-0100-000021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98" name="Drop Down 1" hidden="1">
          <a:extLst>
            <a:ext uri="{FF2B5EF4-FFF2-40B4-BE49-F238E27FC236}">
              <a16:creationId xmlns:a16="http://schemas.microsoft.com/office/drawing/2014/main" id="{00000000-0008-0000-0100-000022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899" name="Drop Down 2" hidden="1">
          <a:extLst>
            <a:ext uri="{FF2B5EF4-FFF2-40B4-BE49-F238E27FC236}">
              <a16:creationId xmlns:a16="http://schemas.microsoft.com/office/drawing/2014/main" id="{00000000-0008-0000-0100-000023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00" name="Drop Down 1" hidden="1">
          <a:extLst>
            <a:ext uri="{FF2B5EF4-FFF2-40B4-BE49-F238E27FC236}">
              <a16:creationId xmlns:a16="http://schemas.microsoft.com/office/drawing/2014/main" id="{00000000-0008-0000-0100-000024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01" name="Drop Down -1022" hidden="1">
          <a:extLst>
            <a:ext uri="{FF2B5EF4-FFF2-40B4-BE49-F238E27FC236}">
              <a16:creationId xmlns:a16="http://schemas.microsoft.com/office/drawing/2014/main" id="{00000000-0008-0000-0100-000025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02" name="Drop Down 1" hidden="1">
          <a:extLst>
            <a:ext uri="{FF2B5EF4-FFF2-40B4-BE49-F238E27FC236}">
              <a16:creationId xmlns:a16="http://schemas.microsoft.com/office/drawing/2014/main" id="{00000000-0008-0000-0100-000026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03" name="Drop Down 1" hidden="1">
          <a:extLst>
            <a:ext uri="{FF2B5EF4-FFF2-40B4-BE49-F238E27FC236}">
              <a16:creationId xmlns:a16="http://schemas.microsoft.com/office/drawing/2014/main" id="{00000000-0008-0000-0100-000027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04" name="Drop Down 1" hidden="1">
          <a:extLst>
            <a:ext uri="{FF2B5EF4-FFF2-40B4-BE49-F238E27FC236}">
              <a16:creationId xmlns:a16="http://schemas.microsoft.com/office/drawing/2014/main" id="{00000000-0008-0000-0100-000028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05" name="Drop Down 1" hidden="1">
          <a:extLst>
            <a:ext uri="{FF2B5EF4-FFF2-40B4-BE49-F238E27FC236}">
              <a16:creationId xmlns:a16="http://schemas.microsoft.com/office/drawing/2014/main" id="{00000000-0008-0000-0100-000029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06" name="Drop Down 2" hidden="1">
          <a:extLst>
            <a:ext uri="{FF2B5EF4-FFF2-40B4-BE49-F238E27FC236}">
              <a16:creationId xmlns:a16="http://schemas.microsoft.com/office/drawing/2014/main" id="{00000000-0008-0000-0100-00002A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07" name="Drop Down 1" hidden="1">
          <a:extLst>
            <a:ext uri="{FF2B5EF4-FFF2-40B4-BE49-F238E27FC236}">
              <a16:creationId xmlns:a16="http://schemas.microsoft.com/office/drawing/2014/main" id="{00000000-0008-0000-0100-00002B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08" name="Drop Down -1022" hidden="1">
          <a:extLst>
            <a:ext uri="{FF2B5EF4-FFF2-40B4-BE49-F238E27FC236}">
              <a16:creationId xmlns:a16="http://schemas.microsoft.com/office/drawing/2014/main" id="{00000000-0008-0000-0100-00002C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09" name="Drop Down 1" hidden="1">
          <a:extLst>
            <a:ext uri="{FF2B5EF4-FFF2-40B4-BE49-F238E27FC236}">
              <a16:creationId xmlns:a16="http://schemas.microsoft.com/office/drawing/2014/main" id="{00000000-0008-0000-0100-00002D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10" name="Drop Down 1" hidden="1">
          <a:extLst>
            <a:ext uri="{FF2B5EF4-FFF2-40B4-BE49-F238E27FC236}">
              <a16:creationId xmlns:a16="http://schemas.microsoft.com/office/drawing/2014/main" id="{00000000-0008-0000-0100-00002E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11" name="Drop Down 1" hidden="1">
          <a:extLst>
            <a:ext uri="{FF2B5EF4-FFF2-40B4-BE49-F238E27FC236}">
              <a16:creationId xmlns:a16="http://schemas.microsoft.com/office/drawing/2014/main" id="{00000000-0008-0000-0100-00002F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12" name="Drop Down 1" hidden="1">
          <a:extLst>
            <a:ext uri="{FF2B5EF4-FFF2-40B4-BE49-F238E27FC236}">
              <a16:creationId xmlns:a16="http://schemas.microsoft.com/office/drawing/2014/main" id="{00000000-0008-0000-0100-000030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13" name="Drop Down 2" hidden="1">
          <a:extLst>
            <a:ext uri="{FF2B5EF4-FFF2-40B4-BE49-F238E27FC236}">
              <a16:creationId xmlns:a16="http://schemas.microsoft.com/office/drawing/2014/main" id="{00000000-0008-0000-0100-000031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14" name="Drop Down 1" hidden="1">
          <a:extLst>
            <a:ext uri="{FF2B5EF4-FFF2-40B4-BE49-F238E27FC236}">
              <a16:creationId xmlns:a16="http://schemas.microsoft.com/office/drawing/2014/main" id="{00000000-0008-0000-0100-000032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15" name="Drop Down -1022" hidden="1">
          <a:extLst>
            <a:ext uri="{FF2B5EF4-FFF2-40B4-BE49-F238E27FC236}">
              <a16:creationId xmlns:a16="http://schemas.microsoft.com/office/drawing/2014/main" id="{00000000-0008-0000-0100-000033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16" name="Drop Down 1" hidden="1">
          <a:extLst>
            <a:ext uri="{FF2B5EF4-FFF2-40B4-BE49-F238E27FC236}">
              <a16:creationId xmlns:a16="http://schemas.microsoft.com/office/drawing/2014/main" id="{00000000-0008-0000-0100-00003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17" name="Drop Down 1" hidden="1">
          <a:extLst>
            <a:ext uri="{FF2B5EF4-FFF2-40B4-BE49-F238E27FC236}">
              <a16:creationId xmlns:a16="http://schemas.microsoft.com/office/drawing/2014/main" id="{00000000-0008-0000-0100-00003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18" name="Drop Down 1" hidden="1">
          <a:extLst>
            <a:ext uri="{FF2B5EF4-FFF2-40B4-BE49-F238E27FC236}">
              <a16:creationId xmlns:a16="http://schemas.microsoft.com/office/drawing/2014/main" id="{00000000-0008-0000-0100-00003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19" name="Drop Down 1" hidden="1">
          <a:extLst>
            <a:ext uri="{FF2B5EF4-FFF2-40B4-BE49-F238E27FC236}">
              <a16:creationId xmlns:a16="http://schemas.microsoft.com/office/drawing/2014/main" id="{00000000-0008-0000-0100-00003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20" name="Drop Down 2" hidden="1">
          <a:extLst>
            <a:ext uri="{FF2B5EF4-FFF2-40B4-BE49-F238E27FC236}">
              <a16:creationId xmlns:a16="http://schemas.microsoft.com/office/drawing/2014/main" id="{00000000-0008-0000-0100-00003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21" name="Drop Down 1" hidden="1">
          <a:extLst>
            <a:ext uri="{FF2B5EF4-FFF2-40B4-BE49-F238E27FC236}">
              <a16:creationId xmlns:a16="http://schemas.microsoft.com/office/drawing/2014/main" id="{00000000-0008-0000-0100-00003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22" name="Drop Down -1022" hidden="1">
          <a:extLst>
            <a:ext uri="{FF2B5EF4-FFF2-40B4-BE49-F238E27FC236}">
              <a16:creationId xmlns:a16="http://schemas.microsoft.com/office/drawing/2014/main" id="{00000000-0008-0000-0100-00003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23" name="Drop Down 1" hidden="1">
          <a:extLst>
            <a:ext uri="{FF2B5EF4-FFF2-40B4-BE49-F238E27FC236}">
              <a16:creationId xmlns:a16="http://schemas.microsoft.com/office/drawing/2014/main" id="{00000000-0008-0000-0100-00003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24" name="Drop Down 1" hidden="1">
          <a:extLst>
            <a:ext uri="{FF2B5EF4-FFF2-40B4-BE49-F238E27FC236}">
              <a16:creationId xmlns:a16="http://schemas.microsoft.com/office/drawing/2014/main" id="{00000000-0008-0000-0100-00003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25" name="Drop Down 1" hidden="1">
          <a:extLst>
            <a:ext uri="{FF2B5EF4-FFF2-40B4-BE49-F238E27FC236}">
              <a16:creationId xmlns:a16="http://schemas.microsoft.com/office/drawing/2014/main" id="{00000000-0008-0000-0100-00003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26" name="Drop Down 1" hidden="1">
          <a:extLst>
            <a:ext uri="{FF2B5EF4-FFF2-40B4-BE49-F238E27FC236}">
              <a16:creationId xmlns:a16="http://schemas.microsoft.com/office/drawing/2014/main" id="{00000000-0008-0000-0100-00003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27" name="Drop Down 2" hidden="1">
          <a:extLst>
            <a:ext uri="{FF2B5EF4-FFF2-40B4-BE49-F238E27FC236}">
              <a16:creationId xmlns:a16="http://schemas.microsoft.com/office/drawing/2014/main" id="{00000000-0008-0000-0100-00003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28" name="Drop Down 1" hidden="1">
          <a:extLst>
            <a:ext uri="{FF2B5EF4-FFF2-40B4-BE49-F238E27FC236}">
              <a16:creationId xmlns:a16="http://schemas.microsoft.com/office/drawing/2014/main" id="{00000000-0008-0000-0100-00004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29" name="Drop Down -1022" hidden="1">
          <a:extLst>
            <a:ext uri="{FF2B5EF4-FFF2-40B4-BE49-F238E27FC236}">
              <a16:creationId xmlns:a16="http://schemas.microsoft.com/office/drawing/2014/main" id="{00000000-0008-0000-0100-00004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30" name="Drop Down 1" hidden="1">
          <a:extLst>
            <a:ext uri="{FF2B5EF4-FFF2-40B4-BE49-F238E27FC236}">
              <a16:creationId xmlns:a16="http://schemas.microsoft.com/office/drawing/2014/main" id="{00000000-0008-0000-0100-00004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31" name="Drop Down 1" hidden="1">
          <a:extLst>
            <a:ext uri="{FF2B5EF4-FFF2-40B4-BE49-F238E27FC236}">
              <a16:creationId xmlns:a16="http://schemas.microsoft.com/office/drawing/2014/main" id="{00000000-0008-0000-0100-00004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32" name="Drop Down 1" hidden="1">
          <a:extLst>
            <a:ext uri="{FF2B5EF4-FFF2-40B4-BE49-F238E27FC236}">
              <a16:creationId xmlns:a16="http://schemas.microsoft.com/office/drawing/2014/main" id="{00000000-0008-0000-0100-00004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33" name="Drop Down 1" hidden="1">
          <a:extLst>
            <a:ext uri="{FF2B5EF4-FFF2-40B4-BE49-F238E27FC236}">
              <a16:creationId xmlns:a16="http://schemas.microsoft.com/office/drawing/2014/main" id="{00000000-0008-0000-0100-00004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34" name="Drop Down 2" hidden="1">
          <a:extLst>
            <a:ext uri="{FF2B5EF4-FFF2-40B4-BE49-F238E27FC236}">
              <a16:creationId xmlns:a16="http://schemas.microsoft.com/office/drawing/2014/main" id="{00000000-0008-0000-0100-00004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35" name="Drop Down 1" hidden="1">
          <a:extLst>
            <a:ext uri="{FF2B5EF4-FFF2-40B4-BE49-F238E27FC236}">
              <a16:creationId xmlns:a16="http://schemas.microsoft.com/office/drawing/2014/main" id="{00000000-0008-0000-0100-00004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36" name="Drop Down -1022" hidden="1">
          <a:extLst>
            <a:ext uri="{FF2B5EF4-FFF2-40B4-BE49-F238E27FC236}">
              <a16:creationId xmlns:a16="http://schemas.microsoft.com/office/drawing/2014/main" id="{00000000-0008-0000-0100-00004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37" name="Drop Down 1" hidden="1">
          <a:extLst>
            <a:ext uri="{FF2B5EF4-FFF2-40B4-BE49-F238E27FC236}">
              <a16:creationId xmlns:a16="http://schemas.microsoft.com/office/drawing/2014/main" id="{00000000-0008-0000-0100-00004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38" name="Drop Down 1" hidden="1">
          <a:extLst>
            <a:ext uri="{FF2B5EF4-FFF2-40B4-BE49-F238E27FC236}">
              <a16:creationId xmlns:a16="http://schemas.microsoft.com/office/drawing/2014/main" id="{00000000-0008-0000-0100-00004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39" name="Drop Down 1" hidden="1">
          <a:extLst>
            <a:ext uri="{FF2B5EF4-FFF2-40B4-BE49-F238E27FC236}">
              <a16:creationId xmlns:a16="http://schemas.microsoft.com/office/drawing/2014/main" id="{00000000-0008-0000-0100-00004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40" name="Drop Down 1" hidden="1">
          <a:extLst>
            <a:ext uri="{FF2B5EF4-FFF2-40B4-BE49-F238E27FC236}">
              <a16:creationId xmlns:a16="http://schemas.microsoft.com/office/drawing/2014/main" id="{00000000-0008-0000-0100-00004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41" name="Drop Down 2" hidden="1">
          <a:extLst>
            <a:ext uri="{FF2B5EF4-FFF2-40B4-BE49-F238E27FC236}">
              <a16:creationId xmlns:a16="http://schemas.microsoft.com/office/drawing/2014/main" id="{00000000-0008-0000-0100-00004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42" name="Drop Down 1" hidden="1">
          <a:extLst>
            <a:ext uri="{FF2B5EF4-FFF2-40B4-BE49-F238E27FC236}">
              <a16:creationId xmlns:a16="http://schemas.microsoft.com/office/drawing/2014/main" id="{00000000-0008-0000-0100-00004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43" name="Drop Down -1022" hidden="1">
          <a:extLst>
            <a:ext uri="{FF2B5EF4-FFF2-40B4-BE49-F238E27FC236}">
              <a16:creationId xmlns:a16="http://schemas.microsoft.com/office/drawing/2014/main" id="{00000000-0008-0000-0100-00004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44" name="Drop Down 1" hidden="1">
          <a:extLst>
            <a:ext uri="{FF2B5EF4-FFF2-40B4-BE49-F238E27FC236}">
              <a16:creationId xmlns:a16="http://schemas.microsoft.com/office/drawing/2014/main" id="{00000000-0008-0000-0100-000050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45" name="Drop Down 1" hidden="1">
          <a:extLst>
            <a:ext uri="{FF2B5EF4-FFF2-40B4-BE49-F238E27FC236}">
              <a16:creationId xmlns:a16="http://schemas.microsoft.com/office/drawing/2014/main" id="{00000000-0008-0000-0100-000051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46" name="Drop Down 1" hidden="1">
          <a:extLst>
            <a:ext uri="{FF2B5EF4-FFF2-40B4-BE49-F238E27FC236}">
              <a16:creationId xmlns:a16="http://schemas.microsoft.com/office/drawing/2014/main" id="{00000000-0008-0000-0100-000052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47" name="Drop Down 1" hidden="1">
          <a:extLst>
            <a:ext uri="{FF2B5EF4-FFF2-40B4-BE49-F238E27FC236}">
              <a16:creationId xmlns:a16="http://schemas.microsoft.com/office/drawing/2014/main" id="{00000000-0008-0000-0100-000053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48" name="Drop Down 2" hidden="1">
          <a:extLst>
            <a:ext uri="{FF2B5EF4-FFF2-40B4-BE49-F238E27FC236}">
              <a16:creationId xmlns:a16="http://schemas.microsoft.com/office/drawing/2014/main" id="{00000000-0008-0000-0100-000054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49" name="Drop Down 1" hidden="1">
          <a:extLst>
            <a:ext uri="{FF2B5EF4-FFF2-40B4-BE49-F238E27FC236}">
              <a16:creationId xmlns:a16="http://schemas.microsoft.com/office/drawing/2014/main" id="{00000000-0008-0000-0100-000055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50" name="Drop Down -1022" hidden="1">
          <a:extLst>
            <a:ext uri="{FF2B5EF4-FFF2-40B4-BE49-F238E27FC236}">
              <a16:creationId xmlns:a16="http://schemas.microsoft.com/office/drawing/2014/main" id="{00000000-0008-0000-0100-000056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51" name="Drop Down 1" hidden="1">
          <a:extLst>
            <a:ext uri="{FF2B5EF4-FFF2-40B4-BE49-F238E27FC236}">
              <a16:creationId xmlns:a16="http://schemas.microsoft.com/office/drawing/2014/main" id="{00000000-0008-0000-0100-000057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52" name="Drop Down 1" hidden="1">
          <a:extLst>
            <a:ext uri="{FF2B5EF4-FFF2-40B4-BE49-F238E27FC236}">
              <a16:creationId xmlns:a16="http://schemas.microsoft.com/office/drawing/2014/main" id="{00000000-0008-0000-0100-000058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53" name="Drop Down 1" hidden="1">
          <a:extLst>
            <a:ext uri="{FF2B5EF4-FFF2-40B4-BE49-F238E27FC236}">
              <a16:creationId xmlns:a16="http://schemas.microsoft.com/office/drawing/2014/main" id="{00000000-0008-0000-0100-000059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54" name="Drop Down 1" hidden="1">
          <a:extLst>
            <a:ext uri="{FF2B5EF4-FFF2-40B4-BE49-F238E27FC236}">
              <a16:creationId xmlns:a16="http://schemas.microsoft.com/office/drawing/2014/main" id="{00000000-0008-0000-0100-00005A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55" name="Drop Down 2" hidden="1">
          <a:extLst>
            <a:ext uri="{FF2B5EF4-FFF2-40B4-BE49-F238E27FC236}">
              <a16:creationId xmlns:a16="http://schemas.microsoft.com/office/drawing/2014/main" id="{00000000-0008-0000-0100-00005B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56" name="Drop Down 1" hidden="1">
          <a:extLst>
            <a:ext uri="{FF2B5EF4-FFF2-40B4-BE49-F238E27FC236}">
              <a16:creationId xmlns:a16="http://schemas.microsoft.com/office/drawing/2014/main" id="{00000000-0008-0000-0100-00005C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57" name="Drop Down -1022" hidden="1">
          <a:extLst>
            <a:ext uri="{FF2B5EF4-FFF2-40B4-BE49-F238E27FC236}">
              <a16:creationId xmlns:a16="http://schemas.microsoft.com/office/drawing/2014/main" id="{00000000-0008-0000-0100-00005D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58" name="Drop Down 1" hidden="1">
          <a:extLst>
            <a:ext uri="{FF2B5EF4-FFF2-40B4-BE49-F238E27FC236}">
              <a16:creationId xmlns:a16="http://schemas.microsoft.com/office/drawing/2014/main" id="{00000000-0008-0000-0100-00005E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59" name="Drop Down 1" hidden="1">
          <a:extLst>
            <a:ext uri="{FF2B5EF4-FFF2-40B4-BE49-F238E27FC236}">
              <a16:creationId xmlns:a16="http://schemas.microsoft.com/office/drawing/2014/main" id="{00000000-0008-0000-0100-00005F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60" name="Drop Down 1" hidden="1">
          <a:extLst>
            <a:ext uri="{FF2B5EF4-FFF2-40B4-BE49-F238E27FC236}">
              <a16:creationId xmlns:a16="http://schemas.microsoft.com/office/drawing/2014/main" id="{00000000-0008-0000-0100-000060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61" name="Drop Down 1" hidden="1">
          <a:extLst>
            <a:ext uri="{FF2B5EF4-FFF2-40B4-BE49-F238E27FC236}">
              <a16:creationId xmlns:a16="http://schemas.microsoft.com/office/drawing/2014/main" id="{00000000-0008-0000-0100-000061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62" name="Drop Down 2" hidden="1">
          <a:extLst>
            <a:ext uri="{FF2B5EF4-FFF2-40B4-BE49-F238E27FC236}">
              <a16:creationId xmlns:a16="http://schemas.microsoft.com/office/drawing/2014/main" id="{00000000-0008-0000-0100-000062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63" name="Drop Down 1" hidden="1">
          <a:extLst>
            <a:ext uri="{FF2B5EF4-FFF2-40B4-BE49-F238E27FC236}">
              <a16:creationId xmlns:a16="http://schemas.microsoft.com/office/drawing/2014/main" id="{00000000-0008-0000-0100-000063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4964" name="Drop Down -1022" hidden="1">
          <a:extLst>
            <a:ext uri="{FF2B5EF4-FFF2-40B4-BE49-F238E27FC236}">
              <a16:creationId xmlns:a16="http://schemas.microsoft.com/office/drawing/2014/main" id="{00000000-0008-0000-0100-000064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65" name="Drop Down 1" hidden="1">
          <a:extLst>
            <a:ext uri="{FF2B5EF4-FFF2-40B4-BE49-F238E27FC236}">
              <a16:creationId xmlns:a16="http://schemas.microsoft.com/office/drawing/2014/main" id="{00000000-0008-0000-0100-000065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66" name="Drop Down 1" hidden="1">
          <a:extLst>
            <a:ext uri="{FF2B5EF4-FFF2-40B4-BE49-F238E27FC236}">
              <a16:creationId xmlns:a16="http://schemas.microsoft.com/office/drawing/2014/main" id="{00000000-0008-0000-0100-000066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67" name="Drop Down 1" hidden="1">
          <a:extLst>
            <a:ext uri="{FF2B5EF4-FFF2-40B4-BE49-F238E27FC236}">
              <a16:creationId xmlns:a16="http://schemas.microsoft.com/office/drawing/2014/main" id="{00000000-0008-0000-0100-000067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68" name="Drop Down 1" hidden="1">
          <a:extLst>
            <a:ext uri="{FF2B5EF4-FFF2-40B4-BE49-F238E27FC236}">
              <a16:creationId xmlns:a16="http://schemas.microsoft.com/office/drawing/2014/main" id="{00000000-0008-0000-0100-000068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69" name="Drop Down 2" hidden="1">
          <a:extLst>
            <a:ext uri="{FF2B5EF4-FFF2-40B4-BE49-F238E27FC236}">
              <a16:creationId xmlns:a16="http://schemas.microsoft.com/office/drawing/2014/main" id="{00000000-0008-0000-0100-000069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70" name="Drop Down 1" hidden="1">
          <a:extLst>
            <a:ext uri="{FF2B5EF4-FFF2-40B4-BE49-F238E27FC236}">
              <a16:creationId xmlns:a16="http://schemas.microsoft.com/office/drawing/2014/main" id="{00000000-0008-0000-0100-00006A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4971" name="Drop Down -1022" hidden="1">
          <a:extLst>
            <a:ext uri="{FF2B5EF4-FFF2-40B4-BE49-F238E27FC236}">
              <a16:creationId xmlns:a16="http://schemas.microsoft.com/office/drawing/2014/main" id="{00000000-0008-0000-0100-00006B13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972" name="Drop Down 1" hidden="1">
          <a:extLst>
            <a:ext uri="{FF2B5EF4-FFF2-40B4-BE49-F238E27FC236}">
              <a16:creationId xmlns:a16="http://schemas.microsoft.com/office/drawing/2014/main" id="{00000000-0008-0000-0100-00006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973" name="Drop Down 1" hidden="1">
          <a:extLst>
            <a:ext uri="{FF2B5EF4-FFF2-40B4-BE49-F238E27FC236}">
              <a16:creationId xmlns:a16="http://schemas.microsoft.com/office/drawing/2014/main" id="{00000000-0008-0000-0100-00006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974" name="Drop Down 1" hidden="1">
          <a:extLst>
            <a:ext uri="{FF2B5EF4-FFF2-40B4-BE49-F238E27FC236}">
              <a16:creationId xmlns:a16="http://schemas.microsoft.com/office/drawing/2014/main" id="{00000000-0008-0000-0100-00006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975" name="Drop Down 1" hidden="1">
          <a:extLst>
            <a:ext uri="{FF2B5EF4-FFF2-40B4-BE49-F238E27FC236}">
              <a16:creationId xmlns:a16="http://schemas.microsoft.com/office/drawing/2014/main" id="{00000000-0008-0000-0100-00006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976" name="Drop Down 2" hidden="1">
          <a:extLst>
            <a:ext uri="{FF2B5EF4-FFF2-40B4-BE49-F238E27FC236}">
              <a16:creationId xmlns:a16="http://schemas.microsoft.com/office/drawing/2014/main" id="{00000000-0008-0000-0100-00007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977" name="Drop Down 1" hidden="1">
          <a:extLst>
            <a:ext uri="{FF2B5EF4-FFF2-40B4-BE49-F238E27FC236}">
              <a16:creationId xmlns:a16="http://schemas.microsoft.com/office/drawing/2014/main" id="{00000000-0008-0000-0100-00007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4978" name="Drop Down -1022" hidden="1">
          <a:extLst>
            <a:ext uri="{FF2B5EF4-FFF2-40B4-BE49-F238E27FC236}">
              <a16:creationId xmlns:a16="http://schemas.microsoft.com/office/drawing/2014/main" id="{00000000-0008-0000-0100-00007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979" name="Drop Down 1" hidden="1">
          <a:extLst>
            <a:ext uri="{FF2B5EF4-FFF2-40B4-BE49-F238E27FC236}">
              <a16:creationId xmlns:a16="http://schemas.microsoft.com/office/drawing/2014/main" id="{00000000-0008-0000-0100-00007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980" name="Drop Down 1" hidden="1">
          <a:extLst>
            <a:ext uri="{FF2B5EF4-FFF2-40B4-BE49-F238E27FC236}">
              <a16:creationId xmlns:a16="http://schemas.microsoft.com/office/drawing/2014/main" id="{00000000-0008-0000-0100-00007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981" name="Drop Down 1" hidden="1">
          <a:extLst>
            <a:ext uri="{FF2B5EF4-FFF2-40B4-BE49-F238E27FC236}">
              <a16:creationId xmlns:a16="http://schemas.microsoft.com/office/drawing/2014/main" id="{00000000-0008-0000-0100-00007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982" name="Drop Down 1" hidden="1">
          <a:extLst>
            <a:ext uri="{FF2B5EF4-FFF2-40B4-BE49-F238E27FC236}">
              <a16:creationId xmlns:a16="http://schemas.microsoft.com/office/drawing/2014/main" id="{00000000-0008-0000-0100-00007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983" name="Drop Down 2" hidden="1">
          <a:extLst>
            <a:ext uri="{FF2B5EF4-FFF2-40B4-BE49-F238E27FC236}">
              <a16:creationId xmlns:a16="http://schemas.microsoft.com/office/drawing/2014/main" id="{00000000-0008-0000-0100-00007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984" name="Drop Down 1" hidden="1">
          <a:extLst>
            <a:ext uri="{FF2B5EF4-FFF2-40B4-BE49-F238E27FC236}">
              <a16:creationId xmlns:a16="http://schemas.microsoft.com/office/drawing/2014/main" id="{00000000-0008-0000-0100-00007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4985" name="Drop Down -1022" hidden="1">
          <a:extLst>
            <a:ext uri="{FF2B5EF4-FFF2-40B4-BE49-F238E27FC236}">
              <a16:creationId xmlns:a16="http://schemas.microsoft.com/office/drawing/2014/main" id="{00000000-0008-0000-0100-00007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86" name="Drop Down 1" hidden="1">
          <a:extLst>
            <a:ext uri="{FF2B5EF4-FFF2-40B4-BE49-F238E27FC236}">
              <a16:creationId xmlns:a16="http://schemas.microsoft.com/office/drawing/2014/main" id="{00000000-0008-0000-0100-00007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87" name="Drop Down 1" hidden="1">
          <a:extLst>
            <a:ext uri="{FF2B5EF4-FFF2-40B4-BE49-F238E27FC236}">
              <a16:creationId xmlns:a16="http://schemas.microsoft.com/office/drawing/2014/main" id="{00000000-0008-0000-0100-00007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88" name="Drop Down 1" hidden="1">
          <a:extLst>
            <a:ext uri="{FF2B5EF4-FFF2-40B4-BE49-F238E27FC236}">
              <a16:creationId xmlns:a16="http://schemas.microsoft.com/office/drawing/2014/main" id="{00000000-0008-0000-0100-00007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89" name="Drop Down 1" hidden="1">
          <a:extLst>
            <a:ext uri="{FF2B5EF4-FFF2-40B4-BE49-F238E27FC236}">
              <a16:creationId xmlns:a16="http://schemas.microsoft.com/office/drawing/2014/main" id="{00000000-0008-0000-0100-00007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90" name="Drop Down 2" hidden="1">
          <a:extLst>
            <a:ext uri="{FF2B5EF4-FFF2-40B4-BE49-F238E27FC236}">
              <a16:creationId xmlns:a16="http://schemas.microsoft.com/office/drawing/2014/main" id="{00000000-0008-0000-0100-00007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91" name="Drop Down 1" hidden="1">
          <a:extLst>
            <a:ext uri="{FF2B5EF4-FFF2-40B4-BE49-F238E27FC236}">
              <a16:creationId xmlns:a16="http://schemas.microsoft.com/office/drawing/2014/main" id="{00000000-0008-0000-0100-00007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4992" name="Drop Down -1022" hidden="1">
          <a:extLst>
            <a:ext uri="{FF2B5EF4-FFF2-40B4-BE49-F238E27FC236}">
              <a16:creationId xmlns:a16="http://schemas.microsoft.com/office/drawing/2014/main" id="{00000000-0008-0000-0100-00008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93" name="Drop Down 1" hidden="1">
          <a:extLst>
            <a:ext uri="{FF2B5EF4-FFF2-40B4-BE49-F238E27FC236}">
              <a16:creationId xmlns:a16="http://schemas.microsoft.com/office/drawing/2014/main" id="{00000000-0008-0000-0100-00008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94" name="Drop Down 1" hidden="1">
          <a:extLst>
            <a:ext uri="{FF2B5EF4-FFF2-40B4-BE49-F238E27FC236}">
              <a16:creationId xmlns:a16="http://schemas.microsoft.com/office/drawing/2014/main" id="{00000000-0008-0000-0100-00008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95" name="Drop Down 1" hidden="1">
          <a:extLst>
            <a:ext uri="{FF2B5EF4-FFF2-40B4-BE49-F238E27FC236}">
              <a16:creationId xmlns:a16="http://schemas.microsoft.com/office/drawing/2014/main" id="{00000000-0008-0000-0100-00008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96" name="Drop Down 1" hidden="1">
          <a:extLst>
            <a:ext uri="{FF2B5EF4-FFF2-40B4-BE49-F238E27FC236}">
              <a16:creationId xmlns:a16="http://schemas.microsoft.com/office/drawing/2014/main" id="{00000000-0008-0000-0100-00008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97" name="Drop Down 2" hidden="1">
          <a:extLst>
            <a:ext uri="{FF2B5EF4-FFF2-40B4-BE49-F238E27FC236}">
              <a16:creationId xmlns:a16="http://schemas.microsoft.com/office/drawing/2014/main" id="{00000000-0008-0000-0100-00008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98" name="Drop Down 1" hidden="1">
          <a:extLst>
            <a:ext uri="{FF2B5EF4-FFF2-40B4-BE49-F238E27FC236}">
              <a16:creationId xmlns:a16="http://schemas.microsoft.com/office/drawing/2014/main" id="{00000000-0008-0000-0100-00008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4999" name="Drop Down -1022" hidden="1">
          <a:extLst>
            <a:ext uri="{FF2B5EF4-FFF2-40B4-BE49-F238E27FC236}">
              <a16:creationId xmlns:a16="http://schemas.microsoft.com/office/drawing/2014/main" id="{00000000-0008-0000-0100-00008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00" name="Drop Down 1" hidden="1">
          <a:extLst>
            <a:ext uri="{FF2B5EF4-FFF2-40B4-BE49-F238E27FC236}">
              <a16:creationId xmlns:a16="http://schemas.microsoft.com/office/drawing/2014/main" id="{00000000-0008-0000-0100-00008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01" name="Drop Down 1" hidden="1">
          <a:extLst>
            <a:ext uri="{FF2B5EF4-FFF2-40B4-BE49-F238E27FC236}">
              <a16:creationId xmlns:a16="http://schemas.microsoft.com/office/drawing/2014/main" id="{00000000-0008-0000-0100-00008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02" name="Drop Down 1" hidden="1">
          <a:extLst>
            <a:ext uri="{FF2B5EF4-FFF2-40B4-BE49-F238E27FC236}">
              <a16:creationId xmlns:a16="http://schemas.microsoft.com/office/drawing/2014/main" id="{00000000-0008-0000-0100-00008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03" name="Drop Down 1" hidden="1">
          <a:extLst>
            <a:ext uri="{FF2B5EF4-FFF2-40B4-BE49-F238E27FC236}">
              <a16:creationId xmlns:a16="http://schemas.microsoft.com/office/drawing/2014/main" id="{00000000-0008-0000-0100-00008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04" name="Drop Down 2" hidden="1">
          <a:extLst>
            <a:ext uri="{FF2B5EF4-FFF2-40B4-BE49-F238E27FC236}">
              <a16:creationId xmlns:a16="http://schemas.microsoft.com/office/drawing/2014/main" id="{00000000-0008-0000-0100-00008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05" name="Drop Down 1" hidden="1">
          <a:extLst>
            <a:ext uri="{FF2B5EF4-FFF2-40B4-BE49-F238E27FC236}">
              <a16:creationId xmlns:a16="http://schemas.microsoft.com/office/drawing/2014/main" id="{00000000-0008-0000-0100-00008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06" name="Drop Down -1022" hidden="1">
          <a:extLst>
            <a:ext uri="{FF2B5EF4-FFF2-40B4-BE49-F238E27FC236}">
              <a16:creationId xmlns:a16="http://schemas.microsoft.com/office/drawing/2014/main" id="{00000000-0008-0000-0100-00008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07" name="Drop Down 1" hidden="1">
          <a:extLst>
            <a:ext uri="{FF2B5EF4-FFF2-40B4-BE49-F238E27FC236}">
              <a16:creationId xmlns:a16="http://schemas.microsoft.com/office/drawing/2014/main" id="{00000000-0008-0000-0100-00008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08" name="Drop Down 1" hidden="1">
          <a:extLst>
            <a:ext uri="{FF2B5EF4-FFF2-40B4-BE49-F238E27FC236}">
              <a16:creationId xmlns:a16="http://schemas.microsoft.com/office/drawing/2014/main" id="{00000000-0008-0000-0100-00009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09" name="Drop Down 1" hidden="1">
          <a:extLst>
            <a:ext uri="{FF2B5EF4-FFF2-40B4-BE49-F238E27FC236}">
              <a16:creationId xmlns:a16="http://schemas.microsoft.com/office/drawing/2014/main" id="{00000000-0008-0000-0100-00009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10" name="Drop Down 1" hidden="1">
          <a:extLst>
            <a:ext uri="{FF2B5EF4-FFF2-40B4-BE49-F238E27FC236}">
              <a16:creationId xmlns:a16="http://schemas.microsoft.com/office/drawing/2014/main" id="{00000000-0008-0000-0100-00009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11" name="Drop Down 2" hidden="1">
          <a:extLst>
            <a:ext uri="{FF2B5EF4-FFF2-40B4-BE49-F238E27FC236}">
              <a16:creationId xmlns:a16="http://schemas.microsoft.com/office/drawing/2014/main" id="{00000000-0008-0000-0100-00009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12" name="Drop Down 1" hidden="1">
          <a:extLst>
            <a:ext uri="{FF2B5EF4-FFF2-40B4-BE49-F238E27FC236}">
              <a16:creationId xmlns:a16="http://schemas.microsoft.com/office/drawing/2014/main" id="{00000000-0008-0000-0100-00009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13" name="Drop Down -1022" hidden="1">
          <a:extLst>
            <a:ext uri="{FF2B5EF4-FFF2-40B4-BE49-F238E27FC236}">
              <a16:creationId xmlns:a16="http://schemas.microsoft.com/office/drawing/2014/main" id="{00000000-0008-0000-0100-00009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14" name="Drop Down 1" hidden="1">
          <a:extLst>
            <a:ext uri="{FF2B5EF4-FFF2-40B4-BE49-F238E27FC236}">
              <a16:creationId xmlns:a16="http://schemas.microsoft.com/office/drawing/2014/main" id="{00000000-0008-0000-0100-00009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15" name="Drop Down 1" hidden="1">
          <a:extLst>
            <a:ext uri="{FF2B5EF4-FFF2-40B4-BE49-F238E27FC236}">
              <a16:creationId xmlns:a16="http://schemas.microsoft.com/office/drawing/2014/main" id="{00000000-0008-0000-0100-00009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16" name="Drop Down 1" hidden="1">
          <a:extLst>
            <a:ext uri="{FF2B5EF4-FFF2-40B4-BE49-F238E27FC236}">
              <a16:creationId xmlns:a16="http://schemas.microsoft.com/office/drawing/2014/main" id="{00000000-0008-0000-0100-00009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17" name="Drop Down 1" hidden="1">
          <a:extLst>
            <a:ext uri="{FF2B5EF4-FFF2-40B4-BE49-F238E27FC236}">
              <a16:creationId xmlns:a16="http://schemas.microsoft.com/office/drawing/2014/main" id="{00000000-0008-0000-0100-00009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18" name="Drop Down 2" hidden="1">
          <a:extLst>
            <a:ext uri="{FF2B5EF4-FFF2-40B4-BE49-F238E27FC236}">
              <a16:creationId xmlns:a16="http://schemas.microsoft.com/office/drawing/2014/main" id="{00000000-0008-0000-0100-00009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19" name="Drop Down 1" hidden="1">
          <a:extLst>
            <a:ext uri="{FF2B5EF4-FFF2-40B4-BE49-F238E27FC236}">
              <a16:creationId xmlns:a16="http://schemas.microsoft.com/office/drawing/2014/main" id="{00000000-0008-0000-0100-00009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20" name="Drop Down -1022" hidden="1">
          <a:extLst>
            <a:ext uri="{FF2B5EF4-FFF2-40B4-BE49-F238E27FC236}">
              <a16:creationId xmlns:a16="http://schemas.microsoft.com/office/drawing/2014/main" id="{00000000-0008-0000-0100-00009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21" name="Drop Down 1" hidden="1">
          <a:extLst>
            <a:ext uri="{FF2B5EF4-FFF2-40B4-BE49-F238E27FC236}">
              <a16:creationId xmlns:a16="http://schemas.microsoft.com/office/drawing/2014/main" id="{00000000-0008-0000-0100-00009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22" name="Drop Down 1" hidden="1">
          <a:extLst>
            <a:ext uri="{FF2B5EF4-FFF2-40B4-BE49-F238E27FC236}">
              <a16:creationId xmlns:a16="http://schemas.microsoft.com/office/drawing/2014/main" id="{00000000-0008-0000-0100-00009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23" name="Drop Down 1" hidden="1">
          <a:extLst>
            <a:ext uri="{FF2B5EF4-FFF2-40B4-BE49-F238E27FC236}">
              <a16:creationId xmlns:a16="http://schemas.microsoft.com/office/drawing/2014/main" id="{00000000-0008-0000-0100-00009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24" name="Drop Down 1" hidden="1">
          <a:extLst>
            <a:ext uri="{FF2B5EF4-FFF2-40B4-BE49-F238E27FC236}">
              <a16:creationId xmlns:a16="http://schemas.microsoft.com/office/drawing/2014/main" id="{00000000-0008-0000-0100-0000A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25" name="Drop Down 2" hidden="1">
          <a:extLst>
            <a:ext uri="{FF2B5EF4-FFF2-40B4-BE49-F238E27FC236}">
              <a16:creationId xmlns:a16="http://schemas.microsoft.com/office/drawing/2014/main" id="{00000000-0008-0000-0100-0000A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26" name="Drop Down 1" hidden="1">
          <a:extLst>
            <a:ext uri="{FF2B5EF4-FFF2-40B4-BE49-F238E27FC236}">
              <a16:creationId xmlns:a16="http://schemas.microsoft.com/office/drawing/2014/main" id="{00000000-0008-0000-0100-0000A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27" name="Drop Down -1022" hidden="1">
          <a:extLst>
            <a:ext uri="{FF2B5EF4-FFF2-40B4-BE49-F238E27FC236}">
              <a16:creationId xmlns:a16="http://schemas.microsoft.com/office/drawing/2014/main" id="{00000000-0008-0000-0100-0000A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28" name="Drop Down 1" hidden="1">
          <a:extLst>
            <a:ext uri="{FF2B5EF4-FFF2-40B4-BE49-F238E27FC236}">
              <a16:creationId xmlns:a16="http://schemas.microsoft.com/office/drawing/2014/main" id="{00000000-0008-0000-0100-0000A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29" name="Drop Down 1" hidden="1">
          <a:extLst>
            <a:ext uri="{FF2B5EF4-FFF2-40B4-BE49-F238E27FC236}">
              <a16:creationId xmlns:a16="http://schemas.microsoft.com/office/drawing/2014/main" id="{00000000-0008-0000-0100-0000A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30" name="Drop Down 1" hidden="1">
          <a:extLst>
            <a:ext uri="{FF2B5EF4-FFF2-40B4-BE49-F238E27FC236}">
              <a16:creationId xmlns:a16="http://schemas.microsoft.com/office/drawing/2014/main" id="{00000000-0008-0000-0100-0000A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31" name="Drop Down 1" hidden="1">
          <a:extLst>
            <a:ext uri="{FF2B5EF4-FFF2-40B4-BE49-F238E27FC236}">
              <a16:creationId xmlns:a16="http://schemas.microsoft.com/office/drawing/2014/main" id="{00000000-0008-0000-0100-0000A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32" name="Drop Down 2" hidden="1">
          <a:extLst>
            <a:ext uri="{FF2B5EF4-FFF2-40B4-BE49-F238E27FC236}">
              <a16:creationId xmlns:a16="http://schemas.microsoft.com/office/drawing/2014/main" id="{00000000-0008-0000-0100-0000A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33" name="Drop Down 1" hidden="1">
          <a:extLst>
            <a:ext uri="{FF2B5EF4-FFF2-40B4-BE49-F238E27FC236}">
              <a16:creationId xmlns:a16="http://schemas.microsoft.com/office/drawing/2014/main" id="{00000000-0008-0000-0100-0000A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34" name="Drop Down -1022" hidden="1">
          <a:extLst>
            <a:ext uri="{FF2B5EF4-FFF2-40B4-BE49-F238E27FC236}">
              <a16:creationId xmlns:a16="http://schemas.microsoft.com/office/drawing/2014/main" id="{00000000-0008-0000-0100-0000A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35" name="Drop Down 1" hidden="1">
          <a:extLst>
            <a:ext uri="{FF2B5EF4-FFF2-40B4-BE49-F238E27FC236}">
              <a16:creationId xmlns:a16="http://schemas.microsoft.com/office/drawing/2014/main" id="{00000000-0008-0000-0100-0000A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36" name="Drop Down 1" hidden="1">
          <a:extLst>
            <a:ext uri="{FF2B5EF4-FFF2-40B4-BE49-F238E27FC236}">
              <a16:creationId xmlns:a16="http://schemas.microsoft.com/office/drawing/2014/main" id="{00000000-0008-0000-0100-0000A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37" name="Drop Down 1" hidden="1">
          <a:extLst>
            <a:ext uri="{FF2B5EF4-FFF2-40B4-BE49-F238E27FC236}">
              <a16:creationId xmlns:a16="http://schemas.microsoft.com/office/drawing/2014/main" id="{00000000-0008-0000-0100-0000A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38" name="Drop Down 1" hidden="1">
          <a:extLst>
            <a:ext uri="{FF2B5EF4-FFF2-40B4-BE49-F238E27FC236}">
              <a16:creationId xmlns:a16="http://schemas.microsoft.com/office/drawing/2014/main" id="{00000000-0008-0000-0100-0000A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39" name="Drop Down 2" hidden="1">
          <a:extLst>
            <a:ext uri="{FF2B5EF4-FFF2-40B4-BE49-F238E27FC236}">
              <a16:creationId xmlns:a16="http://schemas.microsoft.com/office/drawing/2014/main" id="{00000000-0008-0000-0100-0000A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40" name="Drop Down 1" hidden="1">
          <a:extLst>
            <a:ext uri="{FF2B5EF4-FFF2-40B4-BE49-F238E27FC236}">
              <a16:creationId xmlns:a16="http://schemas.microsoft.com/office/drawing/2014/main" id="{00000000-0008-0000-0100-0000B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41" name="Drop Down -1022" hidden="1">
          <a:extLst>
            <a:ext uri="{FF2B5EF4-FFF2-40B4-BE49-F238E27FC236}">
              <a16:creationId xmlns:a16="http://schemas.microsoft.com/office/drawing/2014/main" id="{00000000-0008-0000-0100-0000B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42" name="Drop Down 1" hidden="1">
          <a:extLst>
            <a:ext uri="{FF2B5EF4-FFF2-40B4-BE49-F238E27FC236}">
              <a16:creationId xmlns:a16="http://schemas.microsoft.com/office/drawing/2014/main" id="{00000000-0008-0000-0100-0000B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43" name="Drop Down 1" hidden="1">
          <a:extLst>
            <a:ext uri="{FF2B5EF4-FFF2-40B4-BE49-F238E27FC236}">
              <a16:creationId xmlns:a16="http://schemas.microsoft.com/office/drawing/2014/main" id="{00000000-0008-0000-0100-0000B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44" name="Drop Down 1" hidden="1">
          <a:extLst>
            <a:ext uri="{FF2B5EF4-FFF2-40B4-BE49-F238E27FC236}">
              <a16:creationId xmlns:a16="http://schemas.microsoft.com/office/drawing/2014/main" id="{00000000-0008-0000-0100-0000B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45" name="Drop Down 1" hidden="1">
          <a:extLst>
            <a:ext uri="{FF2B5EF4-FFF2-40B4-BE49-F238E27FC236}">
              <a16:creationId xmlns:a16="http://schemas.microsoft.com/office/drawing/2014/main" id="{00000000-0008-0000-0100-0000B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46" name="Drop Down 2" hidden="1">
          <a:extLst>
            <a:ext uri="{FF2B5EF4-FFF2-40B4-BE49-F238E27FC236}">
              <a16:creationId xmlns:a16="http://schemas.microsoft.com/office/drawing/2014/main" id="{00000000-0008-0000-0100-0000B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47" name="Drop Down 1" hidden="1">
          <a:extLst>
            <a:ext uri="{FF2B5EF4-FFF2-40B4-BE49-F238E27FC236}">
              <a16:creationId xmlns:a16="http://schemas.microsoft.com/office/drawing/2014/main" id="{00000000-0008-0000-0100-0000B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48" name="Drop Down -1022" hidden="1">
          <a:extLst>
            <a:ext uri="{FF2B5EF4-FFF2-40B4-BE49-F238E27FC236}">
              <a16:creationId xmlns:a16="http://schemas.microsoft.com/office/drawing/2014/main" id="{00000000-0008-0000-0100-0000B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49" name="Drop Down 1" hidden="1">
          <a:extLst>
            <a:ext uri="{FF2B5EF4-FFF2-40B4-BE49-F238E27FC236}">
              <a16:creationId xmlns:a16="http://schemas.microsoft.com/office/drawing/2014/main" id="{00000000-0008-0000-0100-0000B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50" name="Drop Down 1" hidden="1">
          <a:extLst>
            <a:ext uri="{FF2B5EF4-FFF2-40B4-BE49-F238E27FC236}">
              <a16:creationId xmlns:a16="http://schemas.microsoft.com/office/drawing/2014/main" id="{00000000-0008-0000-0100-0000B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51" name="Drop Down 1" hidden="1">
          <a:extLst>
            <a:ext uri="{FF2B5EF4-FFF2-40B4-BE49-F238E27FC236}">
              <a16:creationId xmlns:a16="http://schemas.microsoft.com/office/drawing/2014/main" id="{00000000-0008-0000-0100-0000B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52" name="Drop Down 1" hidden="1">
          <a:extLst>
            <a:ext uri="{FF2B5EF4-FFF2-40B4-BE49-F238E27FC236}">
              <a16:creationId xmlns:a16="http://schemas.microsoft.com/office/drawing/2014/main" id="{00000000-0008-0000-0100-0000B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53" name="Drop Down 2" hidden="1">
          <a:extLst>
            <a:ext uri="{FF2B5EF4-FFF2-40B4-BE49-F238E27FC236}">
              <a16:creationId xmlns:a16="http://schemas.microsoft.com/office/drawing/2014/main" id="{00000000-0008-0000-0100-0000B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54" name="Drop Down 1" hidden="1">
          <a:extLst>
            <a:ext uri="{FF2B5EF4-FFF2-40B4-BE49-F238E27FC236}">
              <a16:creationId xmlns:a16="http://schemas.microsoft.com/office/drawing/2014/main" id="{00000000-0008-0000-0100-0000B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55" name="Drop Down -1022" hidden="1">
          <a:extLst>
            <a:ext uri="{FF2B5EF4-FFF2-40B4-BE49-F238E27FC236}">
              <a16:creationId xmlns:a16="http://schemas.microsoft.com/office/drawing/2014/main" id="{00000000-0008-0000-0100-0000B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056" name="Drop Down 1" hidden="1">
          <a:extLst>
            <a:ext uri="{FF2B5EF4-FFF2-40B4-BE49-F238E27FC236}">
              <a16:creationId xmlns:a16="http://schemas.microsoft.com/office/drawing/2014/main" id="{00000000-0008-0000-0100-0000C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057" name="Drop Down 1" hidden="1">
          <a:extLst>
            <a:ext uri="{FF2B5EF4-FFF2-40B4-BE49-F238E27FC236}">
              <a16:creationId xmlns:a16="http://schemas.microsoft.com/office/drawing/2014/main" id="{00000000-0008-0000-0100-0000C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058" name="Drop Down 1" hidden="1">
          <a:extLst>
            <a:ext uri="{FF2B5EF4-FFF2-40B4-BE49-F238E27FC236}">
              <a16:creationId xmlns:a16="http://schemas.microsoft.com/office/drawing/2014/main" id="{00000000-0008-0000-0100-0000C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059" name="Drop Down 1" hidden="1">
          <a:extLst>
            <a:ext uri="{FF2B5EF4-FFF2-40B4-BE49-F238E27FC236}">
              <a16:creationId xmlns:a16="http://schemas.microsoft.com/office/drawing/2014/main" id="{00000000-0008-0000-0100-0000C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060" name="Drop Down 2" hidden="1">
          <a:extLst>
            <a:ext uri="{FF2B5EF4-FFF2-40B4-BE49-F238E27FC236}">
              <a16:creationId xmlns:a16="http://schemas.microsoft.com/office/drawing/2014/main" id="{00000000-0008-0000-0100-0000C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061" name="Drop Down 1" hidden="1">
          <a:extLst>
            <a:ext uri="{FF2B5EF4-FFF2-40B4-BE49-F238E27FC236}">
              <a16:creationId xmlns:a16="http://schemas.microsoft.com/office/drawing/2014/main" id="{00000000-0008-0000-0100-0000C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062" name="Drop Down -1022" hidden="1">
          <a:extLst>
            <a:ext uri="{FF2B5EF4-FFF2-40B4-BE49-F238E27FC236}">
              <a16:creationId xmlns:a16="http://schemas.microsoft.com/office/drawing/2014/main" id="{00000000-0008-0000-0100-0000C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063" name="Drop Down 1" hidden="1">
          <a:extLst>
            <a:ext uri="{FF2B5EF4-FFF2-40B4-BE49-F238E27FC236}">
              <a16:creationId xmlns:a16="http://schemas.microsoft.com/office/drawing/2014/main" id="{00000000-0008-0000-0100-0000C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064" name="Drop Down 1" hidden="1">
          <a:extLst>
            <a:ext uri="{FF2B5EF4-FFF2-40B4-BE49-F238E27FC236}">
              <a16:creationId xmlns:a16="http://schemas.microsoft.com/office/drawing/2014/main" id="{00000000-0008-0000-0100-0000C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065" name="Drop Down 1" hidden="1">
          <a:extLst>
            <a:ext uri="{FF2B5EF4-FFF2-40B4-BE49-F238E27FC236}">
              <a16:creationId xmlns:a16="http://schemas.microsoft.com/office/drawing/2014/main" id="{00000000-0008-0000-0100-0000C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066" name="Drop Down 1" hidden="1">
          <a:extLst>
            <a:ext uri="{FF2B5EF4-FFF2-40B4-BE49-F238E27FC236}">
              <a16:creationId xmlns:a16="http://schemas.microsoft.com/office/drawing/2014/main" id="{00000000-0008-0000-0100-0000C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067" name="Drop Down 2" hidden="1">
          <a:extLst>
            <a:ext uri="{FF2B5EF4-FFF2-40B4-BE49-F238E27FC236}">
              <a16:creationId xmlns:a16="http://schemas.microsoft.com/office/drawing/2014/main" id="{00000000-0008-0000-0100-0000C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068" name="Drop Down 1" hidden="1">
          <a:extLst>
            <a:ext uri="{FF2B5EF4-FFF2-40B4-BE49-F238E27FC236}">
              <a16:creationId xmlns:a16="http://schemas.microsoft.com/office/drawing/2014/main" id="{00000000-0008-0000-0100-0000C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069" name="Drop Down -1022" hidden="1">
          <a:extLst>
            <a:ext uri="{FF2B5EF4-FFF2-40B4-BE49-F238E27FC236}">
              <a16:creationId xmlns:a16="http://schemas.microsoft.com/office/drawing/2014/main" id="{00000000-0008-0000-0100-0000C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70" name="Drop Down 1" hidden="1">
          <a:extLst>
            <a:ext uri="{FF2B5EF4-FFF2-40B4-BE49-F238E27FC236}">
              <a16:creationId xmlns:a16="http://schemas.microsoft.com/office/drawing/2014/main" id="{00000000-0008-0000-0100-0000C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71" name="Drop Down 1" hidden="1">
          <a:extLst>
            <a:ext uri="{FF2B5EF4-FFF2-40B4-BE49-F238E27FC236}">
              <a16:creationId xmlns:a16="http://schemas.microsoft.com/office/drawing/2014/main" id="{00000000-0008-0000-0100-0000C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72" name="Drop Down 1" hidden="1">
          <a:extLst>
            <a:ext uri="{FF2B5EF4-FFF2-40B4-BE49-F238E27FC236}">
              <a16:creationId xmlns:a16="http://schemas.microsoft.com/office/drawing/2014/main" id="{00000000-0008-0000-0100-0000D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73" name="Drop Down 1" hidden="1">
          <a:extLst>
            <a:ext uri="{FF2B5EF4-FFF2-40B4-BE49-F238E27FC236}">
              <a16:creationId xmlns:a16="http://schemas.microsoft.com/office/drawing/2014/main" id="{00000000-0008-0000-0100-0000D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74" name="Drop Down 2" hidden="1">
          <a:extLst>
            <a:ext uri="{FF2B5EF4-FFF2-40B4-BE49-F238E27FC236}">
              <a16:creationId xmlns:a16="http://schemas.microsoft.com/office/drawing/2014/main" id="{00000000-0008-0000-0100-0000D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75" name="Drop Down 1" hidden="1">
          <a:extLst>
            <a:ext uri="{FF2B5EF4-FFF2-40B4-BE49-F238E27FC236}">
              <a16:creationId xmlns:a16="http://schemas.microsoft.com/office/drawing/2014/main" id="{00000000-0008-0000-0100-0000D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76" name="Drop Down -1022" hidden="1">
          <a:extLst>
            <a:ext uri="{FF2B5EF4-FFF2-40B4-BE49-F238E27FC236}">
              <a16:creationId xmlns:a16="http://schemas.microsoft.com/office/drawing/2014/main" id="{00000000-0008-0000-0100-0000D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77" name="Drop Down 1" hidden="1">
          <a:extLst>
            <a:ext uri="{FF2B5EF4-FFF2-40B4-BE49-F238E27FC236}">
              <a16:creationId xmlns:a16="http://schemas.microsoft.com/office/drawing/2014/main" id="{00000000-0008-0000-0100-0000D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78" name="Drop Down 1" hidden="1">
          <a:extLst>
            <a:ext uri="{FF2B5EF4-FFF2-40B4-BE49-F238E27FC236}">
              <a16:creationId xmlns:a16="http://schemas.microsoft.com/office/drawing/2014/main" id="{00000000-0008-0000-0100-0000D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79" name="Drop Down 1" hidden="1">
          <a:extLst>
            <a:ext uri="{FF2B5EF4-FFF2-40B4-BE49-F238E27FC236}">
              <a16:creationId xmlns:a16="http://schemas.microsoft.com/office/drawing/2014/main" id="{00000000-0008-0000-0100-0000D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80" name="Drop Down 1" hidden="1">
          <a:extLst>
            <a:ext uri="{FF2B5EF4-FFF2-40B4-BE49-F238E27FC236}">
              <a16:creationId xmlns:a16="http://schemas.microsoft.com/office/drawing/2014/main" id="{00000000-0008-0000-0100-0000D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81" name="Drop Down 2" hidden="1">
          <a:extLst>
            <a:ext uri="{FF2B5EF4-FFF2-40B4-BE49-F238E27FC236}">
              <a16:creationId xmlns:a16="http://schemas.microsoft.com/office/drawing/2014/main" id="{00000000-0008-0000-0100-0000D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82" name="Drop Down 1" hidden="1">
          <a:extLst>
            <a:ext uri="{FF2B5EF4-FFF2-40B4-BE49-F238E27FC236}">
              <a16:creationId xmlns:a16="http://schemas.microsoft.com/office/drawing/2014/main" id="{00000000-0008-0000-0100-0000D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83" name="Drop Down -1022" hidden="1">
          <a:extLst>
            <a:ext uri="{FF2B5EF4-FFF2-40B4-BE49-F238E27FC236}">
              <a16:creationId xmlns:a16="http://schemas.microsoft.com/office/drawing/2014/main" id="{00000000-0008-0000-0100-0000D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84" name="Drop Down 1" hidden="1">
          <a:extLst>
            <a:ext uri="{FF2B5EF4-FFF2-40B4-BE49-F238E27FC236}">
              <a16:creationId xmlns:a16="http://schemas.microsoft.com/office/drawing/2014/main" id="{00000000-0008-0000-0100-0000D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85" name="Drop Down 1" hidden="1">
          <a:extLst>
            <a:ext uri="{FF2B5EF4-FFF2-40B4-BE49-F238E27FC236}">
              <a16:creationId xmlns:a16="http://schemas.microsoft.com/office/drawing/2014/main" id="{00000000-0008-0000-0100-0000D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86" name="Drop Down 1" hidden="1">
          <a:extLst>
            <a:ext uri="{FF2B5EF4-FFF2-40B4-BE49-F238E27FC236}">
              <a16:creationId xmlns:a16="http://schemas.microsoft.com/office/drawing/2014/main" id="{00000000-0008-0000-0100-0000D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87" name="Drop Down 1" hidden="1">
          <a:extLst>
            <a:ext uri="{FF2B5EF4-FFF2-40B4-BE49-F238E27FC236}">
              <a16:creationId xmlns:a16="http://schemas.microsoft.com/office/drawing/2014/main" id="{00000000-0008-0000-0100-0000D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88" name="Drop Down 2" hidden="1">
          <a:extLst>
            <a:ext uri="{FF2B5EF4-FFF2-40B4-BE49-F238E27FC236}">
              <a16:creationId xmlns:a16="http://schemas.microsoft.com/office/drawing/2014/main" id="{00000000-0008-0000-0100-0000E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89" name="Drop Down 1" hidden="1">
          <a:extLst>
            <a:ext uri="{FF2B5EF4-FFF2-40B4-BE49-F238E27FC236}">
              <a16:creationId xmlns:a16="http://schemas.microsoft.com/office/drawing/2014/main" id="{00000000-0008-0000-0100-0000E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90" name="Drop Down -1022" hidden="1">
          <a:extLst>
            <a:ext uri="{FF2B5EF4-FFF2-40B4-BE49-F238E27FC236}">
              <a16:creationId xmlns:a16="http://schemas.microsoft.com/office/drawing/2014/main" id="{00000000-0008-0000-0100-0000E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91" name="Drop Down 1" hidden="1">
          <a:extLst>
            <a:ext uri="{FF2B5EF4-FFF2-40B4-BE49-F238E27FC236}">
              <a16:creationId xmlns:a16="http://schemas.microsoft.com/office/drawing/2014/main" id="{00000000-0008-0000-0100-0000E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92" name="Drop Down 1" hidden="1">
          <a:extLst>
            <a:ext uri="{FF2B5EF4-FFF2-40B4-BE49-F238E27FC236}">
              <a16:creationId xmlns:a16="http://schemas.microsoft.com/office/drawing/2014/main" id="{00000000-0008-0000-0100-0000E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93" name="Drop Down 1" hidden="1">
          <a:extLst>
            <a:ext uri="{FF2B5EF4-FFF2-40B4-BE49-F238E27FC236}">
              <a16:creationId xmlns:a16="http://schemas.microsoft.com/office/drawing/2014/main" id="{00000000-0008-0000-0100-0000E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94" name="Drop Down 1" hidden="1">
          <a:extLst>
            <a:ext uri="{FF2B5EF4-FFF2-40B4-BE49-F238E27FC236}">
              <a16:creationId xmlns:a16="http://schemas.microsoft.com/office/drawing/2014/main" id="{00000000-0008-0000-0100-0000E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95" name="Drop Down 2" hidden="1">
          <a:extLst>
            <a:ext uri="{FF2B5EF4-FFF2-40B4-BE49-F238E27FC236}">
              <a16:creationId xmlns:a16="http://schemas.microsoft.com/office/drawing/2014/main" id="{00000000-0008-0000-0100-0000E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96" name="Drop Down 1" hidden="1">
          <a:extLst>
            <a:ext uri="{FF2B5EF4-FFF2-40B4-BE49-F238E27FC236}">
              <a16:creationId xmlns:a16="http://schemas.microsoft.com/office/drawing/2014/main" id="{00000000-0008-0000-0100-0000E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097" name="Drop Down -1022" hidden="1">
          <a:extLst>
            <a:ext uri="{FF2B5EF4-FFF2-40B4-BE49-F238E27FC236}">
              <a16:creationId xmlns:a16="http://schemas.microsoft.com/office/drawing/2014/main" id="{00000000-0008-0000-0100-0000E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98" name="Drop Down 1" hidden="1">
          <a:extLst>
            <a:ext uri="{FF2B5EF4-FFF2-40B4-BE49-F238E27FC236}">
              <a16:creationId xmlns:a16="http://schemas.microsoft.com/office/drawing/2014/main" id="{00000000-0008-0000-0100-0000E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099" name="Drop Down 1" hidden="1">
          <a:extLst>
            <a:ext uri="{FF2B5EF4-FFF2-40B4-BE49-F238E27FC236}">
              <a16:creationId xmlns:a16="http://schemas.microsoft.com/office/drawing/2014/main" id="{00000000-0008-0000-0100-0000E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00" name="Drop Down 1" hidden="1">
          <a:extLst>
            <a:ext uri="{FF2B5EF4-FFF2-40B4-BE49-F238E27FC236}">
              <a16:creationId xmlns:a16="http://schemas.microsoft.com/office/drawing/2014/main" id="{00000000-0008-0000-0100-0000E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01" name="Drop Down 1" hidden="1">
          <a:extLst>
            <a:ext uri="{FF2B5EF4-FFF2-40B4-BE49-F238E27FC236}">
              <a16:creationId xmlns:a16="http://schemas.microsoft.com/office/drawing/2014/main" id="{00000000-0008-0000-0100-0000E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02" name="Drop Down 2" hidden="1">
          <a:extLst>
            <a:ext uri="{FF2B5EF4-FFF2-40B4-BE49-F238E27FC236}">
              <a16:creationId xmlns:a16="http://schemas.microsoft.com/office/drawing/2014/main" id="{00000000-0008-0000-0100-0000E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03" name="Drop Down 1" hidden="1">
          <a:extLst>
            <a:ext uri="{FF2B5EF4-FFF2-40B4-BE49-F238E27FC236}">
              <a16:creationId xmlns:a16="http://schemas.microsoft.com/office/drawing/2014/main" id="{00000000-0008-0000-0100-0000E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04" name="Drop Down -1022" hidden="1">
          <a:extLst>
            <a:ext uri="{FF2B5EF4-FFF2-40B4-BE49-F238E27FC236}">
              <a16:creationId xmlns:a16="http://schemas.microsoft.com/office/drawing/2014/main" id="{00000000-0008-0000-0100-0000F0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05" name="Drop Down 1" hidden="1">
          <a:extLst>
            <a:ext uri="{FF2B5EF4-FFF2-40B4-BE49-F238E27FC236}">
              <a16:creationId xmlns:a16="http://schemas.microsoft.com/office/drawing/2014/main" id="{00000000-0008-0000-0100-0000F1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06" name="Drop Down 1" hidden="1">
          <a:extLst>
            <a:ext uri="{FF2B5EF4-FFF2-40B4-BE49-F238E27FC236}">
              <a16:creationId xmlns:a16="http://schemas.microsoft.com/office/drawing/2014/main" id="{00000000-0008-0000-0100-0000F2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07" name="Drop Down 1" hidden="1">
          <a:extLst>
            <a:ext uri="{FF2B5EF4-FFF2-40B4-BE49-F238E27FC236}">
              <a16:creationId xmlns:a16="http://schemas.microsoft.com/office/drawing/2014/main" id="{00000000-0008-0000-0100-0000F3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08" name="Drop Down 1" hidden="1">
          <a:extLst>
            <a:ext uri="{FF2B5EF4-FFF2-40B4-BE49-F238E27FC236}">
              <a16:creationId xmlns:a16="http://schemas.microsoft.com/office/drawing/2014/main" id="{00000000-0008-0000-0100-0000F4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09" name="Drop Down 2" hidden="1">
          <a:extLst>
            <a:ext uri="{FF2B5EF4-FFF2-40B4-BE49-F238E27FC236}">
              <a16:creationId xmlns:a16="http://schemas.microsoft.com/office/drawing/2014/main" id="{00000000-0008-0000-0100-0000F5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10" name="Drop Down 1" hidden="1">
          <a:extLst>
            <a:ext uri="{FF2B5EF4-FFF2-40B4-BE49-F238E27FC236}">
              <a16:creationId xmlns:a16="http://schemas.microsoft.com/office/drawing/2014/main" id="{00000000-0008-0000-0100-0000F6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11" name="Drop Down -1022" hidden="1">
          <a:extLst>
            <a:ext uri="{FF2B5EF4-FFF2-40B4-BE49-F238E27FC236}">
              <a16:creationId xmlns:a16="http://schemas.microsoft.com/office/drawing/2014/main" id="{00000000-0008-0000-0100-0000F7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12" name="Drop Down 1" hidden="1">
          <a:extLst>
            <a:ext uri="{FF2B5EF4-FFF2-40B4-BE49-F238E27FC236}">
              <a16:creationId xmlns:a16="http://schemas.microsoft.com/office/drawing/2014/main" id="{00000000-0008-0000-0100-0000F8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13" name="Drop Down 1" hidden="1">
          <a:extLst>
            <a:ext uri="{FF2B5EF4-FFF2-40B4-BE49-F238E27FC236}">
              <a16:creationId xmlns:a16="http://schemas.microsoft.com/office/drawing/2014/main" id="{00000000-0008-0000-0100-0000F9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14" name="Drop Down 1" hidden="1">
          <a:extLst>
            <a:ext uri="{FF2B5EF4-FFF2-40B4-BE49-F238E27FC236}">
              <a16:creationId xmlns:a16="http://schemas.microsoft.com/office/drawing/2014/main" id="{00000000-0008-0000-0100-0000FA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15" name="Drop Down 1" hidden="1">
          <a:extLst>
            <a:ext uri="{FF2B5EF4-FFF2-40B4-BE49-F238E27FC236}">
              <a16:creationId xmlns:a16="http://schemas.microsoft.com/office/drawing/2014/main" id="{00000000-0008-0000-0100-0000FB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16" name="Drop Down 2" hidden="1">
          <a:extLst>
            <a:ext uri="{FF2B5EF4-FFF2-40B4-BE49-F238E27FC236}">
              <a16:creationId xmlns:a16="http://schemas.microsoft.com/office/drawing/2014/main" id="{00000000-0008-0000-0100-0000FC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17" name="Drop Down 1" hidden="1">
          <a:extLst>
            <a:ext uri="{FF2B5EF4-FFF2-40B4-BE49-F238E27FC236}">
              <a16:creationId xmlns:a16="http://schemas.microsoft.com/office/drawing/2014/main" id="{00000000-0008-0000-0100-0000FD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18" name="Drop Down -1022" hidden="1">
          <a:extLst>
            <a:ext uri="{FF2B5EF4-FFF2-40B4-BE49-F238E27FC236}">
              <a16:creationId xmlns:a16="http://schemas.microsoft.com/office/drawing/2014/main" id="{00000000-0008-0000-0100-0000FE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19" name="Drop Down 1" hidden="1">
          <a:extLst>
            <a:ext uri="{FF2B5EF4-FFF2-40B4-BE49-F238E27FC236}">
              <a16:creationId xmlns:a16="http://schemas.microsoft.com/office/drawing/2014/main" id="{00000000-0008-0000-0100-0000FF13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20" name="Drop Down 1" hidden="1">
          <a:extLst>
            <a:ext uri="{FF2B5EF4-FFF2-40B4-BE49-F238E27FC236}">
              <a16:creationId xmlns:a16="http://schemas.microsoft.com/office/drawing/2014/main" id="{00000000-0008-0000-0100-00000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21" name="Drop Down 1" hidden="1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22" name="Drop Down 1" hidden="1">
          <a:extLst>
            <a:ext uri="{FF2B5EF4-FFF2-40B4-BE49-F238E27FC236}">
              <a16:creationId xmlns:a16="http://schemas.microsoft.com/office/drawing/2014/main" id="{00000000-0008-0000-0100-00000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23" name="Drop Down 2" hidden="1">
          <a:extLst>
            <a:ext uri="{FF2B5EF4-FFF2-40B4-BE49-F238E27FC236}">
              <a16:creationId xmlns:a16="http://schemas.microsoft.com/office/drawing/2014/main" id="{00000000-0008-0000-0100-00000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24" name="Drop Down 1" hidden="1">
          <a:extLst>
            <a:ext uri="{FF2B5EF4-FFF2-40B4-BE49-F238E27FC236}">
              <a16:creationId xmlns:a16="http://schemas.microsoft.com/office/drawing/2014/main" id="{00000000-0008-0000-0100-00000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25" name="Drop Down -1022" hidden="1">
          <a:extLst>
            <a:ext uri="{FF2B5EF4-FFF2-40B4-BE49-F238E27FC236}">
              <a16:creationId xmlns:a16="http://schemas.microsoft.com/office/drawing/2014/main" id="{00000000-0008-0000-0100-00000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26" name="Drop Down 1" hidden="1">
          <a:extLst>
            <a:ext uri="{FF2B5EF4-FFF2-40B4-BE49-F238E27FC236}">
              <a16:creationId xmlns:a16="http://schemas.microsoft.com/office/drawing/2014/main" id="{00000000-0008-0000-0100-00000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27" name="Drop Down 1" hidden="1">
          <a:extLst>
            <a:ext uri="{FF2B5EF4-FFF2-40B4-BE49-F238E27FC236}">
              <a16:creationId xmlns:a16="http://schemas.microsoft.com/office/drawing/2014/main" id="{00000000-0008-0000-0100-00000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28" name="Drop Down 1" hidden="1">
          <a:extLst>
            <a:ext uri="{FF2B5EF4-FFF2-40B4-BE49-F238E27FC236}">
              <a16:creationId xmlns:a16="http://schemas.microsoft.com/office/drawing/2014/main" id="{00000000-0008-0000-0100-00000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29" name="Drop Down 1" hidden="1">
          <a:extLst>
            <a:ext uri="{FF2B5EF4-FFF2-40B4-BE49-F238E27FC236}">
              <a16:creationId xmlns:a16="http://schemas.microsoft.com/office/drawing/2014/main" id="{00000000-0008-0000-0100-00000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30" name="Drop Down 2" hidden="1">
          <a:extLst>
            <a:ext uri="{FF2B5EF4-FFF2-40B4-BE49-F238E27FC236}">
              <a16:creationId xmlns:a16="http://schemas.microsoft.com/office/drawing/2014/main" id="{00000000-0008-0000-0100-00000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31" name="Drop Down 1" hidden="1">
          <a:extLst>
            <a:ext uri="{FF2B5EF4-FFF2-40B4-BE49-F238E27FC236}">
              <a16:creationId xmlns:a16="http://schemas.microsoft.com/office/drawing/2014/main" id="{00000000-0008-0000-0100-00000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32" name="Drop Down -1022" hidden="1">
          <a:extLst>
            <a:ext uri="{FF2B5EF4-FFF2-40B4-BE49-F238E27FC236}">
              <a16:creationId xmlns:a16="http://schemas.microsoft.com/office/drawing/2014/main" id="{00000000-0008-0000-0100-00000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33" name="Drop Down 1" hidden="1">
          <a:extLst>
            <a:ext uri="{FF2B5EF4-FFF2-40B4-BE49-F238E27FC236}">
              <a16:creationId xmlns:a16="http://schemas.microsoft.com/office/drawing/2014/main" id="{00000000-0008-0000-0100-00000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34" name="Drop Down 1" hidden="1">
          <a:extLst>
            <a:ext uri="{FF2B5EF4-FFF2-40B4-BE49-F238E27FC236}">
              <a16:creationId xmlns:a16="http://schemas.microsoft.com/office/drawing/2014/main" id="{00000000-0008-0000-0100-00000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35" name="Drop Down 1" hidden="1">
          <a:extLst>
            <a:ext uri="{FF2B5EF4-FFF2-40B4-BE49-F238E27FC236}">
              <a16:creationId xmlns:a16="http://schemas.microsoft.com/office/drawing/2014/main" id="{00000000-0008-0000-0100-00000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36" name="Drop Down 1" hidden="1">
          <a:extLst>
            <a:ext uri="{FF2B5EF4-FFF2-40B4-BE49-F238E27FC236}">
              <a16:creationId xmlns:a16="http://schemas.microsoft.com/office/drawing/2014/main" id="{00000000-0008-0000-0100-00001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37" name="Drop Down 2" hidden="1">
          <a:extLst>
            <a:ext uri="{FF2B5EF4-FFF2-40B4-BE49-F238E27FC236}">
              <a16:creationId xmlns:a16="http://schemas.microsoft.com/office/drawing/2014/main" id="{00000000-0008-0000-0100-00001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38" name="Drop Down 1" hidden="1">
          <a:extLst>
            <a:ext uri="{FF2B5EF4-FFF2-40B4-BE49-F238E27FC236}">
              <a16:creationId xmlns:a16="http://schemas.microsoft.com/office/drawing/2014/main" id="{00000000-0008-0000-0100-00001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39" name="Drop Down -1022" hidden="1">
          <a:extLst>
            <a:ext uri="{FF2B5EF4-FFF2-40B4-BE49-F238E27FC236}">
              <a16:creationId xmlns:a16="http://schemas.microsoft.com/office/drawing/2014/main" id="{00000000-0008-0000-0100-00001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140" name="Drop Down 1" hidden="1">
          <a:extLst>
            <a:ext uri="{FF2B5EF4-FFF2-40B4-BE49-F238E27FC236}">
              <a16:creationId xmlns:a16="http://schemas.microsoft.com/office/drawing/2014/main" id="{00000000-0008-0000-0100-00001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141" name="Drop Down 1" hidden="1">
          <a:extLst>
            <a:ext uri="{FF2B5EF4-FFF2-40B4-BE49-F238E27FC236}">
              <a16:creationId xmlns:a16="http://schemas.microsoft.com/office/drawing/2014/main" id="{00000000-0008-0000-0100-00001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142" name="Drop Down 1" hidden="1">
          <a:extLst>
            <a:ext uri="{FF2B5EF4-FFF2-40B4-BE49-F238E27FC236}">
              <a16:creationId xmlns:a16="http://schemas.microsoft.com/office/drawing/2014/main" id="{00000000-0008-0000-0100-00001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143" name="Drop Down 1" hidden="1">
          <a:extLst>
            <a:ext uri="{FF2B5EF4-FFF2-40B4-BE49-F238E27FC236}">
              <a16:creationId xmlns:a16="http://schemas.microsoft.com/office/drawing/2014/main" id="{00000000-0008-0000-0100-00001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144" name="Drop Down 2" hidden="1">
          <a:extLst>
            <a:ext uri="{FF2B5EF4-FFF2-40B4-BE49-F238E27FC236}">
              <a16:creationId xmlns:a16="http://schemas.microsoft.com/office/drawing/2014/main" id="{00000000-0008-0000-0100-00001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145" name="Drop Down 1" hidden="1">
          <a:extLst>
            <a:ext uri="{FF2B5EF4-FFF2-40B4-BE49-F238E27FC236}">
              <a16:creationId xmlns:a16="http://schemas.microsoft.com/office/drawing/2014/main" id="{00000000-0008-0000-0100-00001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146" name="Drop Down -1022" hidden="1">
          <a:extLst>
            <a:ext uri="{FF2B5EF4-FFF2-40B4-BE49-F238E27FC236}">
              <a16:creationId xmlns:a16="http://schemas.microsoft.com/office/drawing/2014/main" id="{00000000-0008-0000-0100-00001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147" name="Drop Down 1" hidden="1">
          <a:extLst>
            <a:ext uri="{FF2B5EF4-FFF2-40B4-BE49-F238E27FC236}">
              <a16:creationId xmlns:a16="http://schemas.microsoft.com/office/drawing/2014/main" id="{00000000-0008-0000-0100-00001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148" name="Drop Down 1" hidden="1">
          <a:extLst>
            <a:ext uri="{FF2B5EF4-FFF2-40B4-BE49-F238E27FC236}">
              <a16:creationId xmlns:a16="http://schemas.microsoft.com/office/drawing/2014/main" id="{00000000-0008-0000-0100-00001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149" name="Drop Down 1" hidden="1">
          <a:extLst>
            <a:ext uri="{FF2B5EF4-FFF2-40B4-BE49-F238E27FC236}">
              <a16:creationId xmlns:a16="http://schemas.microsoft.com/office/drawing/2014/main" id="{00000000-0008-0000-0100-00001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150" name="Drop Down 1" hidden="1">
          <a:extLst>
            <a:ext uri="{FF2B5EF4-FFF2-40B4-BE49-F238E27FC236}">
              <a16:creationId xmlns:a16="http://schemas.microsoft.com/office/drawing/2014/main" id="{00000000-0008-0000-0100-00001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151" name="Drop Down 2" hidden="1">
          <a:extLst>
            <a:ext uri="{FF2B5EF4-FFF2-40B4-BE49-F238E27FC236}">
              <a16:creationId xmlns:a16="http://schemas.microsoft.com/office/drawing/2014/main" id="{00000000-0008-0000-0100-00001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152" name="Drop Down 1" hidden="1">
          <a:extLst>
            <a:ext uri="{FF2B5EF4-FFF2-40B4-BE49-F238E27FC236}">
              <a16:creationId xmlns:a16="http://schemas.microsoft.com/office/drawing/2014/main" id="{00000000-0008-0000-0100-00002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153" name="Drop Down -1022" hidden="1">
          <a:extLst>
            <a:ext uri="{FF2B5EF4-FFF2-40B4-BE49-F238E27FC236}">
              <a16:creationId xmlns:a16="http://schemas.microsoft.com/office/drawing/2014/main" id="{00000000-0008-0000-0100-00002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54" name="Drop Down 1" hidden="1">
          <a:extLst>
            <a:ext uri="{FF2B5EF4-FFF2-40B4-BE49-F238E27FC236}">
              <a16:creationId xmlns:a16="http://schemas.microsoft.com/office/drawing/2014/main" id="{00000000-0008-0000-0100-00002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55" name="Drop Down 1" hidden="1">
          <a:extLst>
            <a:ext uri="{FF2B5EF4-FFF2-40B4-BE49-F238E27FC236}">
              <a16:creationId xmlns:a16="http://schemas.microsoft.com/office/drawing/2014/main" id="{00000000-0008-0000-0100-00002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56" name="Drop Down 1" hidden="1">
          <a:extLst>
            <a:ext uri="{FF2B5EF4-FFF2-40B4-BE49-F238E27FC236}">
              <a16:creationId xmlns:a16="http://schemas.microsoft.com/office/drawing/2014/main" id="{00000000-0008-0000-0100-00002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57" name="Drop Down 1" hidden="1">
          <a:extLst>
            <a:ext uri="{FF2B5EF4-FFF2-40B4-BE49-F238E27FC236}">
              <a16:creationId xmlns:a16="http://schemas.microsoft.com/office/drawing/2014/main" id="{00000000-0008-0000-0100-00002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58" name="Drop Down 2" hidden="1">
          <a:extLst>
            <a:ext uri="{FF2B5EF4-FFF2-40B4-BE49-F238E27FC236}">
              <a16:creationId xmlns:a16="http://schemas.microsoft.com/office/drawing/2014/main" id="{00000000-0008-0000-0100-00002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59" name="Drop Down 1" hidden="1">
          <a:extLst>
            <a:ext uri="{FF2B5EF4-FFF2-40B4-BE49-F238E27FC236}">
              <a16:creationId xmlns:a16="http://schemas.microsoft.com/office/drawing/2014/main" id="{00000000-0008-0000-0100-00002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60" name="Drop Down -1022" hidden="1">
          <a:extLst>
            <a:ext uri="{FF2B5EF4-FFF2-40B4-BE49-F238E27FC236}">
              <a16:creationId xmlns:a16="http://schemas.microsoft.com/office/drawing/2014/main" id="{00000000-0008-0000-0100-00002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61" name="Drop Down 1" hidden="1">
          <a:extLst>
            <a:ext uri="{FF2B5EF4-FFF2-40B4-BE49-F238E27FC236}">
              <a16:creationId xmlns:a16="http://schemas.microsoft.com/office/drawing/2014/main" id="{00000000-0008-0000-0100-00002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62" name="Drop Down 1" hidden="1">
          <a:extLst>
            <a:ext uri="{FF2B5EF4-FFF2-40B4-BE49-F238E27FC236}">
              <a16:creationId xmlns:a16="http://schemas.microsoft.com/office/drawing/2014/main" id="{00000000-0008-0000-0100-00002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63" name="Drop Down 1" hidden="1">
          <a:extLst>
            <a:ext uri="{FF2B5EF4-FFF2-40B4-BE49-F238E27FC236}">
              <a16:creationId xmlns:a16="http://schemas.microsoft.com/office/drawing/2014/main" id="{00000000-0008-0000-0100-00002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64" name="Drop Down 1" hidden="1">
          <a:extLst>
            <a:ext uri="{FF2B5EF4-FFF2-40B4-BE49-F238E27FC236}">
              <a16:creationId xmlns:a16="http://schemas.microsoft.com/office/drawing/2014/main" id="{00000000-0008-0000-0100-00002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65" name="Drop Down 2" hidden="1">
          <a:extLst>
            <a:ext uri="{FF2B5EF4-FFF2-40B4-BE49-F238E27FC236}">
              <a16:creationId xmlns:a16="http://schemas.microsoft.com/office/drawing/2014/main" id="{00000000-0008-0000-0100-00002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66" name="Drop Down 1" hidden="1">
          <a:extLst>
            <a:ext uri="{FF2B5EF4-FFF2-40B4-BE49-F238E27FC236}">
              <a16:creationId xmlns:a16="http://schemas.microsoft.com/office/drawing/2014/main" id="{00000000-0008-0000-0100-00002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67" name="Drop Down -1022" hidden="1">
          <a:extLst>
            <a:ext uri="{FF2B5EF4-FFF2-40B4-BE49-F238E27FC236}">
              <a16:creationId xmlns:a16="http://schemas.microsoft.com/office/drawing/2014/main" id="{00000000-0008-0000-0100-00002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68" name="Drop Down 1" hidden="1">
          <a:extLst>
            <a:ext uri="{FF2B5EF4-FFF2-40B4-BE49-F238E27FC236}">
              <a16:creationId xmlns:a16="http://schemas.microsoft.com/office/drawing/2014/main" id="{00000000-0008-0000-0100-00003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69" name="Drop Down 1" hidden="1">
          <a:extLst>
            <a:ext uri="{FF2B5EF4-FFF2-40B4-BE49-F238E27FC236}">
              <a16:creationId xmlns:a16="http://schemas.microsoft.com/office/drawing/2014/main" id="{00000000-0008-0000-0100-00003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70" name="Drop Down 1" hidden="1">
          <a:extLst>
            <a:ext uri="{FF2B5EF4-FFF2-40B4-BE49-F238E27FC236}">
              <a16:creationId xmlns:a16="http://schemas.microsoft.com/office/drawing/2014/main" id="{00000000-0008-0000-0100-00003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71" name="Drop Down 1" hidden="1">
          <a:extLst>
            <a:ext uri="{FF2B5EF4-FFF2-40B4-BE49-F238E27FC236}">
              <a16:creationId xmlns:a16="http://schemas.microsoft.com/office/drawing/2014/main" id="{00000000-0008-0000-0100-00003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72" name="Drop Down 2" hidden="1">
          <a:extLst>
            <a:ext uri="{FF2B5EF4-FFF2-40B4-BE49-F238E27FC236}">
              <a16:creationId xmlns:a16="http://schemas.microsoft.com/office/drawing/2014/main" id="{00000000-0008-0000-0100-00003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73" name="Drop Down 1" hidden="1">
          <a:extLst>
            <a:ext uri="{FF2B5EF4-FFF2-40B4-BE49-F238E27FC236}">
              <a16:creationId xmlns:a16="http://schemas.microsoft.com/office/drawing/2014/main" id="{00000000-0008-0000-0100-00003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74" name="Drop Down -1022" hidden="1">
          <a:extLst>
            <a:ext uri="{FF2B5EF4-FFF2-40B4-BE49-F238E27FC236}">
              <a16:creationId xmlns:a16="http://schemas.microsoft.com/office/drawing/2014/main" id="{00000000-0008-0000-0100-00003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75" name="Drop Down 1" hidden="1">
          <a:extLst>
            <a:ext uri="{FF2B5EF4-FFF2-40B4-BE49-F238E27FC236}">
              <a16:creationId xmlns:a16="http://schemas.microsoft.com/office/drawing/2014/main" id="{00000000-0008-0000-0100-00003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76" name="Drop Down 1" hidden="1">
          <a:extLst>
            <a:ext uri="{FF2B5EF4-FFF2-40B4-BE49-F238E27FC236}">
              <a16:creationId xmlns:a16="http://schemas.microsoft.com/office/drawing/2014/main" id="{00000000-0008-0000-0100-00003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77" name="Drop Down 1" hidden="1">
          <a:extLst>
            <a:ext uri="{FF2B5EF4-FFF2-40B4-BE49-F238E27FC236}">
              <a16:creationId xmlns:a16="http://schemas.microsoft.com/office/drawing/2014/main" id="{00000000-0008-0000-0100-00003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78" name="Drop Down 1" hidden="1">
          <a:extLst>
            <a:ext uri="{FF2B5EF4-FFF2-40B4-BE49-F238E27FC236}">
              <a16:creationId xmlns:a16="http://schemas.microsoft.com/office/drawing/2014/main" id="{00000000-0008-0000-0100-00003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79" name="Drop Down 2" hidden="1">
          <a:extLst>
            <a:ext uri="{FF2B5EF4-FFF2-40B4-BE49-F238E27FC236}">
              <a16:creationId xmlns:a16="http://schemas.microsoft.com/office/drawing/2014/main" id="{00000000-0008-0000-0100-00003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80" name="Drop Down 1" hidden="1">
          <a:extLst>
            <a:ext uri="{FF2B5EF4-FFF2-40B4-BE49-F238E27FC236}">
              <a16:creationId xmlns:a16="http://schemas.microsoft.com/office/drawing/2014/main" id="{00000000-0008-0000-0100-00003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81" name="Drop Down -1022" hidden="1">
          <a:extLst>
            <a:ext uri="{FF2B5EF4-FFF2-40B4-BE49-F238E27FC236}">
              <a16:creationId xmlns:a16="http://schemas.microsoft.com/office/drawing/2014/main" id="{00000000-0008-0000-0100-00003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82" name="Drop Down 1" hidden="1">
          <a:extLst>
            <a:ext uri="{FF2B5EF4-FFF2-40B4-BE49-F238E27FC236}">
              <a16:creationId xmlns:a16="http://schemas.microsoft.com/office/drawing/2014/main" id="{00000000-0008-0000-0100-00003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83" name="Drop Down 1" hidden="1">
          <a:extLst>
            <a:ext uri="{FF2B5EF4-FFF2-40B4-BE49-F238E27FC236}">
              <a16:creationId xmlns:a16="http://schemas.microsoft.com/office/drawing/2014/main" id="{00000000-0008-0000-0100-00003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84" name="Drop Down 1" hidden="1">
          <a:extLst>
            <a:ext uri="{FF2B5EF4-FFF2-40B4-BE49-F238E27FC236}">
              <a16:creationId xmlns:a16="http://schemas.microsoft.com/office/drawing/2014/main" id="{00000000-0008-0000-0100-00004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85" name="Drop Down 1" hidden="1">
          <a:extLst>
            <a:ext uri="{FF2B5EF4-FFF2-40B4-BE49-F238E27FC236}">
              <a16:creationId xmlns:a16="http://schemas.microsoft.com/office/drawing/2014/main" id="{00000000-0008-0000-0100-00004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86" name="Drop Down 2" hidden="1">
          <a:extLst>
            <a:ext uri="{FF2B5EF4-FFF2-40B4-BE49-F238E27FC236}">
              <a16:creationId xmlns:a16="http://schemas.microsoft.com/office/drawing/2014/main" id="{00000000-0008-0000-0100-00004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87" name="Drop Down 1" hidden="1">
          <a:extLst>
            <a:ext uri="{FF2B5EF4-FFF2-40B4-BE49-F238E27FC236}">
              <a16:creationId xmlns:a16="http://schemas.microsoft.com/office/drawing/2014/main" id="{00000000-0008-0000-0100-00004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88" name="Drop Down -1022" hidden="1">
          <a:extLst>
            <a:ext uri="{FF2B5EF4-FFF2-40B4-BE49-F238E27FC236}">
              <a16:creationId xmlns:a16="http://schemas.microsoft.com/office/drawing/2014/main" id="{00000000-0008-0000-0100-00004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89" name="Drop Down 1" hidden="1">
          <a:extLst>
            <a:ext uri="{FF2B5EF4-FFF2-40B4-BE49-F238E27FC236}">
              <a16:creationId xmlns:a16="http://schemas.microsoft.com/office/drawing/2014/main" id="{00000000-0008-0000-0100-00004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90" name="Drop Down 1" hidden="1">
          <a:extLst>
            <a:ext uri="{FF2B5EF4-FFF2-40B4-BE49-F238E27FC236}">
              <a16:creationId xmlns:a16="http://schemas.microsoft.com/office/drawing/2014/main" id="{00000000-0008-0000-0100-00004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91" name="Drop Down 1" hidden="1">
          <a:extLst>
            <a:ext uri="{FF2B5EF4-FFF2-40B4-BE49-F238E27FC236}">
              <a16:creationId xmlns:a16="http://schemas.microsoft.com/office/drawing/2014/main" id="{00000000-0008-0000-0100-00004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92" name="Drop Down 1" hidden="1">
          <a:extLst>
            <a:ext uri="{FF2B5EF4-FFF2-40B4-BE49-F238E27FC236}">
              <a16:creationId xmlns:a16="http://schemas.microsoft.com/office/drawing/2014/main" id="{00000000-0008-0000-0100-00004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93" name="Drop Down 2" hidden="1">
          <a:extLst>
            <a:ext uri="{FF2B5EF4-FFF2-40B4-BE49-F238E27FC236}">
              <a16:creationId xmlns:a16="http://schemas.microsoft.com/office/drawing/2014/main" id="{00000000-0008-0000-0100-00004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94" name="Drop Down 1" hidden="1">
          <a:extLst>
            <a:ext uri="{FF2B5EF4-FFF2-40B4-BE49-F238E27FC236}">
              <a16:creationId xmlns:a16="http://schemas.microsoft.com/office/drawing/2014/main" id="{00000000-0008-0000-0100-00004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195" name="Drop Down -1022" hidden="1">
          <a:extLst>
            <a:ext uri="{FF2B5EF4-FFF2-40B4-BE49-F238E27FC236}">
              <a16:creationId xmlns:a16="http://schemas.microsoft.com/office/drawing/2014/main" id="{00000000-0008-0000-0100-00004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96" name="Drop Down 1" hidden="1">
          <a:extLst>
            <a:ext uri="{FF2B5EF4-FFF2-40B4-BE49-F238E27FC236}">
              <a16:creationId xmlns:a16="http://schemas.microsoft.com/office/drawing/2014/main" id="{00000000-0008-0000-0100-00004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97" name="Drop Down 1" hidden="1">
          <a:extLst>
            <a:ext uri="{FF2B5EF4-FFF2-40B4-BE49-F238E27FC236}">
              <a16:creationId xmlns:a16="http://schemas.microsoft.com/office/drawing/2014/main" id="{00000000-0008-0000-0100-00004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98" name="Drop Down 1" hidden="1">
          <a:extLst>
            <a:ext uri="{FF2B5EF4-FFF2-40B4-BE49-F238E27FC236}">
              <a16:creationId xmlns:a16="http://schemas.microsoft.com/office/drawing/2014/main" id="{00000000-0008-0000-0100-00004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199" name="Drop Down 1" hidden="1">
          <a:extLst>
            <a:ext uri="{FF2B5EF4-FFF2-40B4-BE49-F238E27FC236}">
              <a16:creationId xmlns:a16="http://schemas.microsoft.com/office/drawing/2014/main" id="{00000000-0008-0000-0100-00004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00" name="Drop Down 2" hidden="1">
          <a:extLst>
            <a:ext uri="{FF2B5EF4-FFF2-40B4-BE49-F238E27FC236}">
              <a16:creationId xmlns:a16="http://schemas.microsoft.com/office/drawing/2014/main" id="{00000000-0008-0000-0100-00005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01" name="Drop Down 1" hidden="1">
          <a:extLst>
            <a:ext uri="{FF2B5EF4-FFF2-40B4-BE49-F238E27FC236}">
              <a16:creationId xmlns:a16="http://schemas.microsoft.com/office/drawing/2014/main" id="{00000000-0008-0000-0100-00005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02" name="Drop Down -1022" hidden="1">
          <a:extLst>
            <a:ext uri="{FF2B5EF4-FFF2-40B4-BE49-F238E27FC236}">
              <a16:creationId xmlns:a16="http://schemas.microsoft.com/office/drawing/2014/main" id="{00000000-0008-0000-0100-00005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03" name="Drop Down 1" hidden="1">
          <a:extLst>
            <a:ext uri="{FF2B5EF4-FFF2-40B4-BE49-F238E27FC236}">
              <a16:creationId xmlns:a16="http://schemas.microsoft.com/office/drawing/2014/main" id="{00000000-0008-0000-0100-00005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04" name="Drop Down 1" hidden="1">
          <a:extLst>
            <a:ext uri="{FF2B5EF4-FFF2-40B4-BE49-F238E27FC236}">
              <a16:creationId xmlns:a16="http://schemas.microsoft.com/office/drawing/2014/main" id="{00000000-0008-0000-0100-00005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05" name="Drop Down 1" hidden="1">
          <a:extLst>
            <a:ext uri="{FF2B5EF4-FFF2-40B4-BE49-F238E27FC236}">
              <a16:creationId xmlns:a16="http://schemas.microsoft.com/office/drawing/2014/main" id="{00000000-0008-0000-0100-00005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06" name="Drop Down 1" hidden="1">
          <a:extLst>
            <a:ext uri="{FF2B5EF4-FFF2-40B4-BE49-F238E27FC236}">
              <a16:creationId xmlns:a16="http://schemas.microsoft.com/office/drawing/2014/main" id="{00000000-0008-0000-0100-00005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07" name="Drop Down 2" hidden="1">
          <a:extLst>
            <a:ext uri="{FF2B5EF4-FFF2-40B4-BE49-F238E27FC236}">
              <a16:creationId xmlns:a16="http://schemas.microsoft.com/office/drawing/2014/main" id="{00000000-0008-0000-0100-00005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08" name="Drop Down 1" hidden="1">
          <a:extLst>
            <a:ext uri="{FF2B5EF4-FFF2-40B4-BE49-F238E27FC236}">
              <a16:creationId xmlns:a16="http://schemas.microsoft.com/office/drawing/2014/main" id="{00000000-0008-0000-0100-00005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09" name="Drop Down -1022" hidden="1">
          <a:extLst>
            <a:ext uri="{FF2B5EF4-FFF2-40B4-BE49-F238E27FC236}">
              <a16:creationId xmlns:a16="http://schemas.microsoft.com/office/drawing/2014/main" id="{00000000-0008-0000-0100-00005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10" name="Drop Down 1" hidden="1">
          <a:extLst>
            <a:ext uri="{FF2B5EF4-FFF2-40B4-BE49-F238E27FC236}">
              <a16:creationId xmlns:a16="http://schemas.microsoft.com/office/drawing/2014/main" id="{00000000-0008-0000-0100-00005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11" name="Drop Down 1" hidden="1">
          <a:extLst>
            <a:ext uri="{FF2B5EF4-FFF2-40B4-BE49-F238E27FC236}">
              <a16:creationId xmlns:a16="http://schemas.microsoft.com/office/drawing/2014/main" id="{00000000-0008-0000-0100-00005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12" name="Drop Down 1" hidden="1">
          <a:extLst>
            <a:ext uri="{FF2B5EF4-FFF2-40B4-BE49-F238E27FC236}">
              <a16:creationId xmlns:a16="http://schemas.microsoft.com/office/drawing/2014/main" id="{00000000-0008-0000-0100-00005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13" name="Drop Down 1" hidden="1">
          <a:extLst>
            <a:ext uri="{FF2B5EF4-FFF2-40B4-BE49-F238E27FC236}">
              <a16:creationId xmlns:a16="http://schemas.microsoft.com/office/drawing/2014/main" id="{00000000-0008-0000-0100-00005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14" name="Drop Down 2" hidden="1">
          <a:extLst>
            <a:ext uri="{FF2B5EF4-FFF2-40B4-BE49-F238E27FC236}">
              <a16:creationId xmlns:a16="http://schemas.microsoft.com/office/drawing/2014/main" id="{00000000-0008-0000-0100-00005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15" name="Drop Down 1" hidden="1">
          <a:extLst>
            <a:ext uri="{FF2B5EF4-FFF2-40B4-BE49-F238E27FC236}">
              <a16:creationId xmlns:a16="http://schemas.microsoft.com/office/drawing/2014/main" id="{00000000-0008-0000-0100-00005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16" name="Drop Down -1022" hidden="1">
          <a:extLst>
            <a:ext uri="{FF2B5EF4-FFF2-40B4-BE49-F238E27FC236}">
              <a16:creationId xmlns:a16="http://schemas.microsoft.com/office/drawing/2014/main" id="{00000000-0008-0000-0100-00006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17" name="Drop Down 1" hidden="1">
          <a:extLst>
            <a:ext uri="{FF2B5EF4-FFF2-40B4-BE49-F238E27FC236}">
              <a16:creationId xmlns:a16="http://schemas.microsoft.com/office/drawing/2014/main" id="{00000000-0008-0000-0100-00006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18" name="Drop Down 1" hidden="1">
          <a:extLst>
            <a:ext uri="{FF2B5EF4-FFF2-40B4-BE49-F238E27FC236}">
              <a16:creationId xmlns:a16="http://schemas.microsoft.com/office/drawing/2014/main" id="{00000000-0008-0000-0100-00006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19" name="Drop Down 1" hidden="1">
          <a:extLst>
            <a:ext uri="{FF2B5EF4-FFF2-40B4-BE49-F238E27FC236}">
              <a16:creationId xmlns:a16="http://schemas.microsoft.com/office/drawing/2014/main" id="{00000000-0008-0000-0100-00006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20" name="Drop Down 1" hidden="1">
          <a:extLst>
            <a:ext uri="{FF2B5EF4-FFF2-40B4-BE49-F238E27FC236}">
              <a16:creationId xmlns:a16="http://schemas.microsoft.com/office/drawing/2014/main" id="{00000000-0008-0000-0100-00006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21" name="Drop Down 2" hidden="1">
          <a:extLst>
            <a:ext uri="{FF2B5EF4-FFF2-40B4-BE49-F238E27FC236}">
              <a16:creationId xmlns:a16="http://schemas.microsoft.com/office/drawing/2014/main" id="{00000000-0008-0000-0100-00006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22" name="Drop Down 1" hidden="1">
          <a:extLst>
            <a:ext uri="{FF2B5EF4-FFF2-40B4-BE49-F238E27FC236}">
              <a16:creationId xmlns:a16="http://schemas.microsoft.com/office/drawing/2014/main" id="{00000000-0008-0000-0100-00006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23" name="Drop Down -1022" hidden="1">
          <a:extLst>
            <a:ext uri="{FF2B5EF4-FFF2-40B4-BE49-F238E27FC236}">
              <a16:creationId xmlns:a16="http://schemas.microsoft.com/office/drawing/2014/main" id="{00000000-0008-0000-0100-00006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224" name="Drop Down 1" hidden="1">
          <a:extLst>
            <a:ext uri="{FF2B5EF4-FFF2-40B4-BE49-F238E27FC236}">
              <a16:creationId xmlns:a16="http://schemas.microsoft.com/office/drawing/2014/main" id="{00000000-0008-0000-0100-00006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225" name="Drop Down 1" hidden="1">
          <a:extLst>
            <a:ext uri="{FF2B5EF4-FFF2-40B4-BE49-F238E27FC236}">
              <a16:creationId xmlns:a16="http://schemas.microsoft.com/office/drawing/2014/main" id="{00000000-0008-0000-0100-00006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226" name="Drop Down 1" hidden="1">
          <a:extLst>
            <a:ext uri="{FF2B5EF4-FFF2-40B4-BE49-F238E27FC236}">
              <a16:creationId xmlns:a16="http://schemas.microsoft.com/office/drawing/2014/main" id="{00000000-0008-0000-0100-00006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227" name="Drop Down 1" hidden="1">
          <a:extLst>
            <a:ext uri="{FF2B5EF4-FFF2-40B4-BE49-F238E27FC236}">
              <a16:creationId xmlns:a16="http://schemas.microsoft.com/office/drawing/2014/main" id="{00000000-0008-0000-0100-00006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228" name="Drop Down 2" hidden="1">
          <a:extLst>
            <a:ext uri="{FF2B5EF4-FFF2-40B4-BE49-F238E27FC236}">
              <a16:creationId xmlns:a16="http://schemas.microsoft.com/office/drawing/2014/main" id="{00000000-0008-0000-0100-00006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229" name="Drop Down 1" hidden="1">
          <a:extLst>
            <a:ext uri="{FF2B5EF4-FFF2-40B4-BE49-F238E27FC236}">
              <a16:creationId xmlns:a16="http://schemas.microsoft.com/office/drawing/2014/main" id="{00000000-0008-0000-0100-00006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230" name="Drop Down -1022" hidden="1">
          <a:extLst>
            <a:ext uri="{FF2B5EF4-FFF2-40B4-BE49-F238E27FC236}">
              <a16:creationId xmlns:a16="http://schemas.microsoft.com/office/drawing/2014/main" id="{00000000-0008-0000-0100-00006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231" name="Drop Down 1" hidden="1">
          <a:extLst>
            <a:ext uri="{FF2B5EF4-FFF2-40B4-BE49-F238E27FC236}">
              <a16:creationId xmlns:a16="http://schemas.microsoft.com/office/drawing/2014/main" id="{00000000-0008-0000-0100-00006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232" name="Drop Down 1" hidden="1">
          <a:extLst>
            <a:ext uri="{FF2B5EF4-FFF2-40B4-BE49-F238E27FC236}">
              <a16:creationId xmlns:a16="http://schemas.microsoft.com/office/drawing/2014/main" id="{00000000-0008-0000-0100-00007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233" name="Drop Down 1" hidden="1">
          <a:extLst>
            <a:ext uri="{FF2B5EF4-FFF2-40B4-BE49-F238E27FC236}">
              <a16:creationId xmlns:a16="http://schemas.microsoft.com/office/drawing/2014/main" id="{00000000-0008-0000-0100-00007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234" name="Drop Down 1" hidden="1">
          <a:extLst>
            <a:ext uri="{FF2B5EF4-FFF2-40B4-BE49-F238E27FC236}">
              <a16:creationId xmlns:a16="http://schemas.microsoft.com/office/drawing/2014/main" id="{00000000-0008-0000-0100-00007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235" name="Drop Down 2" hidden="1">
          <a:extLst>
            <a:ext uri="{FF2B5EF4-FFF2-40B4-BE49-F238E27FC236}">
              <a16:creationId xmlns:a16="http://schemas.microsoft.com/office/drawing/2014/main" id="{00000000-0008-0000-0100-00007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236" name="Drop Down 1" hidden="1">
          <a:extLst>
            <a:ext uri="{FF2B5EF4-FFF2-40B4-BE49-F238E27FC236}">
              <a16:creationId xmlns:a16="http://schemas.microsoft.com/office/drawing/2014/main" id="{00000000-0008-0000-0100-00007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237" name="Drop Down -1022" hidden="1">
          <a:extLst>
            <a:ext uri="{FF2B5EF4-FFF2-40B4-BE49-F238E27FC236}">
              <a16:creationId xmlns:a16="http://schemas.microsoft.com/office/drawing/2014/main" id="{00000000-0008-0000-0100-00007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38" name="Drop Down 1" hidden="1">
          <a:extLst>
            <a:ext uri="{FF2B5EF4-FFF2-40B4-BE49-F238E27FC236}">
              <a16:creationId xmlns:a16="http://schemas.microsoft.com/office/drawing/2014/main" id="{00000000-0008-0000-0100-00007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39" name="Drop Down 1" hidden="1">
          <a:extLst>
            <a:ext uri="{FF2B5EF4-FFF2-40B4-BE49-F238E27FC236}">
              <a16:creationId xmlns:a16="http://schemas.microsoft.com/office/drawing/2014/main" id="{00000000-0008-0000-0100-00007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40" name="Drop Down 1" hidden="1">
          <a:extLst>
            <a:ext uri="{FF2B5EF4-FFF2-40B4-BE49-F238E27FC236}">
              <a16:creationId xmlns:a16="http://schemas.microsoft.com/office/drawing/2014/main" id="{00000000-0008-0000-0100-00007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41" name="Drop Down 1" hidden="1">
          <a:extLst>
            <a:ext uri="{FF2B5EF4-FFF2-40B4-BE49-F238E27FC236}">
              <a16:creationId xmlns:a16="http://schemas.microsoft.com/office/drawing/2014/main" id="{00000000-0008-0000-0100-00007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42" name="Drop Down 2" hidden="1">
          <a:extLst>
            <a:ext uri="{FF2B5EF4-FFF2-40B4-BE49-F238E27FC236}">
              <a16:creationId xmlns:a16="http://schemas.microsoft.com/office/drawing/2014/main" id="{00000000-0008-0000-0100-00007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43" name="Drop Down 1" hidden="1">
          <a:extLst>
            <a:ext uri="{FF2B5EF4-FFF2-40B4-BE49-F238E27FC236}">
              <a16:creationId xmlns:a16="http://schemas.microsoft.com/office/drawing/2014/main" id="{00000000-0008-0000-0100-00007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44" name="Drop Down -1022" hidden="1">
          <a:extLst>
            <a:ext uri="{FF2B5EF4-FFF2-40B4-BE49-F238E27FC236}">
              <a16:creationId xmlns:a16="http://schemas.microsoft.com/office/drawing/2014/main" id="{00000000-0008-0000-0100-00007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45" name="Drop Down 1" hidden="1">
          <a:extLst>
            <a:ext uri="{FF2B5EF4-FFF2-40B4-BE49-F238E27FC236}">
              <a16:creationId xmlns:a16="http://schemas.microsoft.com/office/drawing/2014/main" id="{00000000-0008-0000-0100-00007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46" name="Drop Down 1" hidden="1">
          <a:extLst>
            <a:ext uri="{FF2B5EF4-FFF2-40B4-BE49-F238E27FC236}">
              <a16:creationId xmlns:a16="http://schemas.microsoft.com/office/drawing/2014/main" id="{00000000-0008-0000-0100-00007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47" name="Drop Down 1" hidden="1">
          <a:extLst>
            <a:ext uri="{FF2B5EF4-FFF2-40B4-BE49-F238E27FC236}">
              <a16:creationId xmlns:a16="http://schemas.microsoft.com/office/drawing/2014/main" id="{00000000-0008-0000-0100-00007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48" name="Drop Down 1" hidden="1">
          <a:extLst>
            <a:ext uri="{FF2B5EF4-FFF2-40B4-BE49-F238E27FC236}">
              <a16:creationId xmlns:a16="http://schemas.microsoft.com/office/drawing/2014/main" id="{00000000-0008-0000-0100-00008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49" name="Drop Down 2" hidden="1">
          <a:extLst>
            <a:ext uri="{FF2B5EF4-FFF2-40B4-BE49-F238E27FC236}">
              <a16:creationId xmlns:a16="http://schemas.microsoft.com/office/drawing/2014/main" id="{00000000-0008-0000-0100-00008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50" name="Drop Down 1" hidden="1">
          <a:extLst>
            <a:ext uri="{FF2B5EF4-FFF2-40B4-BE49-F238E27FC236}">
              <a16:creationId xmlns:a16="http://schemas.microsoft.com/office/drawing/2014/main" id="{00000000-0008-0000-0100-00008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51" name="Drop Down -1022" hidden="1">
          <a:extLst>
            <a:ext uri="{FF2B5EF4-FFF2-40B4-BE49-F238E27FC236}">
              <a16:creationId xmlns:a16="http://schemas.microsoft.com/office/drawing/2014/main" id="{00000000-0008-0000-0100-00008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52" name="Drop Down 1" hidden="1">
          <a:extLst>
            <a:ext uri="{FF2B5EF4-FFF2-40B4-BE49-F238E27FC236}">
              <a16:creationId xmlns:a16="http://schemas.microsoft.com/office/drawing/2014/main" id="{00000000-0008-0000-0100-00008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53" name="Drop Down 1" hidden="1">
          <a:extLst>
            <a:ext uri="{FF2B5EF4-FFF2-40B4-BE49-F238E27FC236}">
              <a16:creationId xmlns:a16="http://schemas.microsoft.com/office/drawing/2014/main" id="{00000000-0008-0000-0100-00008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54" name="Drop Down 1" hidden="1">
          <a:extLst>
            <a:ext uri="{FF2B5EF4-FFF2-40B4-BE49-F238E27FC236}">
              <a16:creationId xmlns:a16="http://schemas.microsoft.com/office/drawing/2014/main" id="{00000000-0008-0000-0100-00008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55" name="Drop Down 1" hidden="1">
          <a:extLst>
            <a:ext uri="{FF2B5EF4-FFF2-40B4-BE49-F238E27FC236}">
              <a16:creationId xmlns:a16="http://schemas.microsoft.com/office/drawing/2014/main" id="{00000000-0008-0000-0100-00008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56" name="Drop Down 2" hidden="1">
          <a:extLst>
            <a:ext uri="{FF2B5EF4-FFF2-40B4-BE49-F238E27FC236}">
              <a16:creationId xmlns:a16="http://schemas.microsoft.com/office/drawing/2014/main" id="{00000000-0008-0000-0100-00008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57" name="Drop Down 1" hidden="1">
          <a:extLst>
            <a:ext uri="{FF2B5EF4-FFF2-40B4-BE49-F238E27FC236}">
              <a16:creationId xmlns:a16="http://schemas.microsoft.com/office/drawing/2014/main" id="{00000000-0008-0000-0100-00008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58" name="Drop Down -1022" hidden="1">
          <a:extLst>
            <a:ext uri="{FF2B5EF4-FFF2-40B4-BE49-F238E27FC236}">
              <a16:creationId xmlns:a16="http://schemas.microsoft.com/office/drawing/2014/main" id="{00000000-0008-0000-0100-00008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59" name="Drop Down 1" hidden="1">
          <a:extLst>
            <a:ext uri="{FF2B5EF4-FFF2-40B4-BE49-F238E27FC236}">
              <a16:creationId xmlns:a16="http://schemas.microsoft.com/office/drawing/2014/main" id="{00000000-0008-0000-0100-00008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60" name="Drop Down 1" hidden="1">
          <a:extLst>
            <a:ext uri="{FF2B5EF4-FFF2-40B4-BE49-F238E27FC236}">
              <a16:creationId xmlns:a16="http://schemas.microsoft.com/office/drawing/2014/main" id="{00000000-0008-0000-0100-00008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61" name="Drop Down 1" hidden="1">
          <a:extLst>
            <a:ext uri="{FF2B5EF4-FFF2-40B4-BE49-F238E27FC236}">
              <a16:creationId xmlns:a16="http://schemas.microsoft.com/office/drawing/2014/main" id="{00000000-0008-0000-0100-00008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62" name="Drop Down 1" hidden="1">
          <a:extLst>
            <a:ext uri="{FF2B5EF4-FFF2-40B4-BE49-F238E27FC236}">
              <a16:creationId xmlns:a16="http://schemas.microsoft.com/office/drawing/2014/main" id="{00000000-0008-0000-0100-00008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63" name="Drop Down 2" hidden="1">
          <a:extLst>
            <a:ext uri="{FF2B5EF4-FFF2-40B4-BE49-F238E27FC236}">
              <a16:creationId xmlns:a16="http://schemas.microsoft.com/office/drawing/2014/main" id="{00000000-0008-0000-0100-00008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64" name="Drop Down 1" hidden="1">
          <a:extLst>
            <a:ext uri="{FF2B5EF4-FFF2-40B4-BE49-F238E27FC236}">
              <a16:creationId xmlns:a16="http://schemas.microsoft.com/office/drawing/2014/main" id="{00000000-0008-0000-0100-00009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65" name="Drop Down -1022" hidden="1">
          <a:extLst>
            <a:ext uri="{FF2B5EF4-FFF2-40B4-BE49-F238E27FC236}">
              <a16:creationId xmlns:a16="http://schemas.microsoft.com/office/drawing/2014/main" id="{00000000-0008-0000-0100-00009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66" name="Drop Down 1" hidden="1">
          <a:extLst>
            <a:ext uri="{FF2B5EF4-FFF2-40B4-BE49-F238E27FC236}">
              <a16:creationId xmlns:a16="http://schemas.microsoft.com/office/drawing/2014/main" id="{00000000-0008-0000-0100-00009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67" name="Drop Down 1" hidden="1">
          <a:extLst>
            <a:ext uri="{FF2B5EF4-FFF2-40B4-BE49-F238E27FC236}">
              <a16:creationId xmlns:a16="http://schemas.microsoft.com/office/drawing/2014/main" id="{00000000-0008-0000-0100-00009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68" name="Drop Down 1" hidden="1">
          <a:extLst>
            <a:ext uri="{FF2B5EF4-FFF2-40B4-BE49-F238E27FC236}">
              <a16:creationId xmlns:a16="http://schemas.microsoft.com/office/drawing/2014/main" id="{00000000-0008-0000-0100-00009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69" name="Drop Down 1" hidden="1">
          <a:extLst>
            <a:ext uri="{FF2B5EF4-FFF2-40B4-BE49-F238E27FC236}">
              <a16:creationId xmlns:a16="http://schemas.microsoft.com/office/drawing/2014/main" id="{00000000-0008-0000-0100-00009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70" name="Drop Down 2" hidden="1">
          <a:extLst>
            <a:ext uri="{FF2B5EF4-FFF2-40B4-BE49-F238E27FC236}">
              <a16:creationId xmlns:a16="http://schemas.microsoft.com/office/drawing/2014/main" id="{00000000-0008-0000-0100-00009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71" name="Drop Down 1" hidden="1">
          <a:extLst>
            <a:ext uri="{FF2B5EF4-FFF2-40B4-BE49-F238E27FC236}">
              <a16:creationId xmlns:a16="http://schemas.microsoft.com/office/drawing/2014/main" id="{00000000-0008-0000-0100-00009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72" name="Drop Down -1022" hidden="1">
          <a:extLst>
            <a:ext uri="{FF2B5EF4-FFF2-40B4-BE49-F238E27FC236}">
              <a16:creationId xmlns:a16="http://schemas.microsoft.com/office/drawing/2014/main" id="{00000000-0008-0000-0100-00009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73" name="Drop Down 1" hidden="1">
          <a:extLst>
            <a:ext uri="{FF2B5EF4-FFF2-40B4-BE49-F238E27FC236}">
              <a16:creationId xmlns:a16="http://schemas.microsoft.com/office/drawing/2014/main" id="{00000000-0008-0000-0100-00009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74" name="Drop Down 1" hidden="1">
          <a:extLst>
            <a:ext uri="{FF2B5EF4-FFF2-40B4-BE49-F238E27FC236}">
              <a16:creationId xmlns:a16="http://schemas.microsoft.com/office/drawing/2014/main" id="{00000000-0008-0000-0100-00009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75" name="Drop Down 1" hidden="1">
          <a:extLst>
            <a:ext uri="{FF2B5EF4-FFF2-40B4-BE49-F238E27FC236}">
              <a16:creationId xmlns:a16="http://schemas.microsoft.com/office/drawing/2014/main" id="{00000000-0008-0000-0100-00009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76" name="Drop Down 1" hidden="1">
          <a:extLst>
            <a:ext uri="{FF2B5EF4-FFF2-40B4-BE49-F238E27FC236}">
              <a16:creationId xmlns:a16="http://schemas.microsoft.com/office/drawing/2014/main" id="{00000000-0008-0000-0100-00009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77" name="Drop Down 2" hidden="1">
          <a:extLst>
            <a:ext uri="{FF2B5EF4-FFF2-40B4-BE49-F238E27FC236}">
              <a16:creationId xmlns:a16="http://schemas.microsoft.com/office/drawing/2014/main" id="{00000000-0008-0000-0100-00009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78" name="Drop Down 1" hidden="1">
          <a:extLst>
            <a:ext uri="{FF2B5EF4-FFF2-40B4-BE49-F238E27FC236}">
              <a16:creationId xmlns:a16="http://schemas.microsoft.com/office/drawing/2014/main" id="{00000000-0008-0000-0100-00009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79" name="Drop Down -1022" hidden="1">
          <a:extLst>
            <a:ext uri="{FF2B5EF4-FFF2-40B4-BE49-F238E27FC236}">
              <a16:creationId xmlns:a16="http://schemas.microsoft.com/office/drawing/2014/main" id="{00000000-0008-0000-0100-00009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80" name="Drop Down 1" hidden="1">
          <a:extLst>
            <a:ext uri="{FF2B5EF4-FFF2-40B4-BE49-F238E27FC236}">
              <a16:creationId xmlns:a16="http://schemas.microsoft.com/office/drawing/2014/main" id="{00000000-0008-0000-0100-0000A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81" name="Drop Down 1" hidden="1">
          <a:extLst>
            <a:ext uri="{FF2B5EF4-FFF2-40B4-BE49-F238E27FC236}">
              <a16:creationId xmlns:a16="http://schemas.microsoft.com/office/drawing/2014/main" id="{00000000-0008-0000-0100-0000A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82" name="Drop Down 1" hidden="1">
          <a:extLst>
            <a:ext uri="{FF2B5EF4-FFF2-40B4-BE49-F238E27FC236}">
              <a16:creationId xmlns:a16="http://schemas.microsoft.com/office/drawing/2014/main" id="{00000000-0008-0000-0100-0000A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83" name="Drop Down 1" hidden="1">
          <a:extLst>
            <a:ext uri="{FF2B5EF4-FFF2-40B4-BE49-F238E27FC236}">
              <a16:creationId xmlns:a16="http://schemas.microsoft.com/office/drawing/2014/main" id="{00000000-0008-0000-0100-0000A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84" name="Drop Down 2" hidden="1">
          <a:extLst>
            <a:ext uri="{FF2B5EF4-FFF2-40B4-BE49-F238E27FC236}">
              <a16:creationId xmlns:a16="http://schemas.microsoft.com/office/drawing/2014/main" id="{00000000-0008-0000-0100-0000A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85" name="Drop Down 1" hidden="1">
          <a:extLst>
            <a:ext uri="{FF2B5EF4-FFF2-40B4-BE49-F238E27FC236}">
              <a16:creationId xmlns:a16="http://schemas.microsoft.com/office/drawing/2014/main" id="{00000000-0008-0000-0100-0000A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86" name="Drop Down -1022" hidden="1">
          <a:extLst>
            <a:ext uri="{FF2B5EF4-FFF2-40B4-BE49-F238E27FC236}">
              <a16:creationId xmlns:a16="http://schemas.microsoft.com/office/drawing/2014/main" id="{00000000-0008-0000-0100-0000A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87" name="Drop Down 1" hidden="1">
          <a:extLst>
            <a:ext uri="{FF2B5EF4-FFF2-40B4-BE49-F238E27FC236}">
              <a16:creationId xmlns:a16="http://schemas.microsoft.com/office/drawing/2014/main" id="{00000000-0008-0000-0100-0000A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88" name="Drop Down 1" hidden="1">
          <a:extLst>
            <a:ext uri="{FF2B5EF4-FFF2-40B4-BE49-F238E27FC236}">
              <a16:creationId xmlns:a16="http://schemas.microsoft.com/office/drawing/2014/main" id="{00000000-0008-0000-0100-0000A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89" name="Drop Down 1" hidden="1">
          <a:extLst>
            <a:ext uri="{FF2B5EF4-FFF2-40B4-BE49-F238E27FC236}">
              <a16:creationId xmlns:a16="http://schemas.microsoft.com/office/drawing/2014/main" id="{00000000-0008-0000-0100-0000A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90" name="Drop Down 1" hidden="1">
          <a:extLst>
            <a:ext uri="{FF2B5EF4-FFF2-40B4-BE49-F238E27FC236}">
              <a16:creationId xmlns:a16="http://schemas.microsoft.com/office/drawing/2014/main" id="{00000000-0008-0000-0100-0000A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91" name="Drop Down 2" hidden="1">
          <a:extLst>
            <a:ext uri="{FF2B5EF4-FFF2-40B4-BE49-F238E27FC236}">
              <a16:creationId xmlns:a16="http://schemas.microsoft.com/office/drawing/2014/main" id="{00000000-0008-0000-0100-0000A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92" name="Drop Down 1" hidden="1">
          <a:extLst>
            <a:ext uri="{FF2B5EF4-FFF2-40B4-BE49-F238E27FC236}">
              <a16:creationId xmlns:a16="http://schemas.microsoft.com/office/drawing/2014/main" id="{00000000-0008-0000-0100-0000A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293" name="Drop Down -1022" hidden="1">
          <a:extLst>
            <a:ext uri="{FF2B5EF4-FFF2-40B4-BE49-F238E27FC236}">
              <a16:creationId xmlns:a16="http://schemas.microsoft.com/office/drawing/2014/main" id="{00000000-0008-0000-0100-0000A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94" name="Drop Down 1" hidden="1">
          <a:extLst>
            <a:ext uri="{FF2B5EF4-FFF2-40B4-BE49-F238E27FC236}">
              <a16:creationId xmlns:a16="http://schemas.microsoft.com/office/drawing/2014/main" id="{00000000-0008-0000-0100-0000A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95" name="Drop Down 1" hidden="1">
          <a:extLst>
            <a:ext uri="{FF2B5EF4-FFF2-40B4-BE49-F238E27FC236}">
              <a16:creationId xmlns:a16="http://schemas.microsoft.com/office/drawing/2014/main" id="{00000000-0008-0000-0100-0000A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96" name="Drop Down 1" hidden="1">
          <a:extLst>
            <a:ext uri="{FF2B5EF4-FFF2-40B4-BE49-F238E27FC236}">
              <a16:creationId xmlns:a16="http://schemas.microsoft.com/office/drawing/2014/main" id="{00000000-0008-0000-0100-0000B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97" name="Drop Down 1" hidden="1">
          <a:extLst>
            <a:ext uri="{FF2B5EF4-FFF2-40B4-BE49-F238E27FC236}">
              <a16:creationId xmlns:a16="http://schemas.microsoft.com/office/drawing/2014/main" id="{00000000-0008-0000-0100-0000B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98" name="Drop Down 2" hidden="1">
          <a:extLst>
            <a:ext uri="{FF2B5EF4-FFF2-40B4-BE49-F238E27FC236}">
              <a16:creationId xmlns:a16="http://schemas.microsoft.com/office/drawing/2014/main" id="{00000000-0008-0000-0100-0000B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299" name="Drop Down 1" hidden="1">
          <a:extLst>
            <a:ext uri="{FF2B5EF4-FFF2-40B4-BE49-F238E27FC236}">
              <a16:creationId xmlns:a16="http://schemas.microsoft.com/office/drawing/2014/main" id="{00000000-0008-0000-0100-0000B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00" name="Drop Down -1022" hidden="1">
          <a:extLst>
            <a:ext uri="{FF2B5EF4-FFF2-40B4-BE49-F238E27FC236}">
              <a16:creationId xmlns:a16="http://schemas.microsoft.com/office/drawing/2014/main" id="{00000000-0008-0000-0100-0000B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01" name="Drop Down 1" hidden="1">
          <a:extLst>
            <a:ext uri="{FF2B5EF4-FFF2-40B4-BE49-F238E27FC236}">
              <a16:creationId xmlns:a16="http://schemas.microsoft.com/office/drawing/2014/main" id="{00000000-0008-0000-0100-0000B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02" name="Drop Down 1" hidden="1">
          <a:extLst>
            <a:ext uri="{FF2B5EF4-FFF2-40B4-BE49-F238E27FC236}">
              <a16:creationId xmlns:a16="http://schemas.microsoft.com/office/drawing/2014/main" id="{00000000-0008-0000-0100-0000B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03" name="Drop Down 1" hidden="1">
          <a:extLst>
            <a:ext uri="{FF2B5EF4-FFF2-40B4-BE49-F238E27FC236}">
              <a16:creationId xmlns:a16="http://schemas.microsoft.com/office/drawing/2014/main" id="{00000000-0008-0000-0100-0000B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04" name="Drop Down 1" hidden="1">
          <a:extLst>
            <a:ext uri="{FF2B5EF4-FFF2-40B4-BE49-F238E27FC236}">
              <a16:creationId xmlns:a16="http://schemas.microsoft.com/office/drawing/2014/main" id="{00000000-0008-0000-0100-0000B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05" name="Drop Down 2" hidden="1">
          <a:extLst>
            <a:ext uri="{FF2B5EF4-FFF2-40B4-BE49-F238E27FC236}">
              <a16:creationId xmlns:a16="http://schemas.microsoft.com/office/drawing/2014/main" id="{00000000-0008-0000-0100-0000B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06" name="Drop Down 1" hidden="1">
          <a:extLst>
            <a:ext uri="{FF2B5EF4-FFF2-40B4-BE49-F238E27FC236}">
              <a16:creationId xmlns:a16="http://schemas.microsoft.com/office/drawing/2014/main" id="{00000000-0008-0000-0100-0000B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07" name="Drop Down -1022" hidden="1">
          <a:extLst>
            <a:ext uri="{FF2B5EF4-FFF2-40B4-BE49-F238E27FC236}">
              <a16:creationId xmlns:a16="http://schemas.microsoft.com/office/drawing/2014/main" id="{00000000-0008-0000-0100-0000B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08" name="Drop Down 1" hidden="1">
          <a:extLst>
            <a:ext uri="{FF2B5EF4-FFF2-40B4-BE49-F238E27FC236}">
              <a16:creationId xmlns:a16="http://schemas.microsoft.com/office/drawing/2014/main" id="{00000000-0008-0000-0100-0000B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09" name="Drop Down 1" hidden="1">
          <a:extLst>
            <a:ext uri="{FF2B5EF4-FFF2-40B4-BE49-F238E27FC236}">
              <a16:creationId xmlns:a16="http://schemas.microsoft.com/office/drawing/2014/main" id="{00000000-0008-0000-0100-0000B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10" name="Drop Down 1" hidden="1">
          <a:extLst>
            <a:ext uri="{FF2B5EF4-FFF2-40B4-BE49-F238E27FC236}">
              <a16:creationId xmlns:a16="http://schemas.microsoft.com/office/drawing/2014/main" id="{00000000-0008-0000-0100-0000B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11" name="Drop Down 1" hidden="1">
          <a:extLst>
            <a:ext uri="{FF2B5EF4-FFF2-40B4-BE49-F238E27FC236}">
              <a16:creationId xmlns:a16="http://schemas.microsoft.com/office/drawing/2014/main" id="{00000000-0008-0000-0100-0000B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12" name="Drop Down 2" hidden="1">
          <a:extLst>
            <a:ext uri="{FF2B5EF4-FFF2-40B4-BE49-F238E27FC236}">
              <a16:creationId xmlns:a16="http://schemas.microsoft.com/office/drawing/2014/main" id="{00000000-0008-0000-0100-0000C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13" name="Drop Down 1" hidden="1">
          <a:extLst>
            <a:ext uri="{FF2B5EF4-FFF2-40B4-BE49-F238E27FC236}">
              <a16:creationId xmlns:a16="http://schemas.microsoft.com/office/drawing/2014/main" id="{00000000-0008-0000-0100-0000C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14" name="Drop Down -1022" hidden="1">
          <a:extLst>
            <a:ext uri="{FF2B5EF4-FFF2-40B4-BE49-F238E27FC236}">
              <a16:creationId xmlns:a16="http://schemas.microsoft.com/office/drawing/2014/main" id="{00000000-0008-0000-0100-0000C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315" name="Drop Down 1" hidden="1">
          <a:extLst>
            <a:ext uri="{FF2B5EF4-FFF2-40B4-BE49-F238E27FC236}">
              <a16:creationId xmlns:a16="http://schemas.microsoft.com/office/drawing/2014/main" id="{00000000-0008-0000-0100-0000C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316" name="Drop Down 1" hidden="1">
          <a:extLst>
            <a:ext uri="{FF2B5EF4-FFF2-40B4-BE49-F238E27FC236}">
              <a16:creationId xmlns:a16="http://schemas.microsoft.com/office/drawing/2014/main" id="{00000000-0008-0000-0100-0000C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317" name="Drop Down 1" hidden="1">
          <a:extLst>
            <a:ext uri="{FF2B5EF4-FFF2-40B4-BE49-F238E27FC236}">
              <a16:creationId xmlns:a16="http://schemas.microsoft.com/office/drawing/2014/main" id="{00000000-0008-0000-0100-0000C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318" name="Drop Down 1" hidden="1">
          <a:extLst>
            <a:ext uri="{FF2B5EF4-FFF2-40B4-BE49-F238E27FC236}">
              <a16:creationId xmlns:a16="http://schemas.microsoft.com/office/drawing/2014/main" id="{00000000-0008-0000-0100-0000C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319" name="Drop Down 2" hidden="1">
          <a:extLst>
            <a:ext uri="{FF2B5EF4-FFF2-40B4-BE49-F238E27FC236}">
              <a16:creationId xmlns:a16="http://schemas.microsoft.com/office/drawing/2014/main" id="{00000000-0008-0000-0100-0000C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320" name="Drop Down 1" hidden="1">
          <a:extLst>
            <a:ext uri="{FF2B5EF4-FFF2-40B4-BE49-F238E27FC236}">
              <a16:creationId xmlns:a16="http://schemas.microsoft.com/office/drawing/2014/main" id="{00000000-0008-0000-0100-0000C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321" name="Drop Down -1022" hidden="1">
          <a:extLst>
            <a:ext uri="{FF2B5EF4-FFF2-40B4-BE49-F238E27FC236}">
              <a16:creationId xmlns:a16="http://schemas.microsoft.com/office/drawing/2014/main" id="{00000000-0008-0000-0100-0000C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22" name="Drop Down 1" hidden="1">
          <a:extLst>
            <a:ext uri="{FF2B5EF4-FFF2-40B4-BE49-F238E27FC236}">
              <a16:creationId xmlns:a16="http://schemas.microsoft.com/office/drawing/2014/main" id="{00000000-0008-0000-0100-0000C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23" name="Drop Down 1" hidden="1">
          <a:extLst>
            <a:ext uri="{FF2B5EF4-FFF2-40B4-BE49-F238E27FC236}">
              <a16:creationId xmlns:a16="http://schemas.microsoft.com/office/drawing/2014/main" id="{00000000-0008-0000-0100-0000C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24" name="Drop Down 1" hidden="1">
          <a:extLst>
            <a:ext uri="{FF2B5EF4-FFF2-40B4-BE49-F238E27FC236}">
              <a16:creationId xmlns:a16="http://schemas.microsoft.com/office/drawing/2014/main" id="{00000000-0008-0000-0100-0000C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25" name="Drop Down 1" hidden="1">
          <a:extLst>
            <a:ext uri="{FF2B5EF4-FFF2-40B4-BE49-F238E27FC236}">
              <a16:creationId xmlns:a16="http://schemas.microsoft.com/office/drawing/2014/main" id="{00000000-0008-0000-0100-0000C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26" name="Drop Down 2" hidden="1">
          <a:extLst>
            <a:ext uri="{FF2B5EF4-FFF2-40B4-BE49-F238E27FC236}">
              <a16:creationId xmlns:a16="http://schemas.microsoft.com/office/drawing/2014/main" id="{00000000-0008-0000-0100-0000C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27" name="Drop Down 1" hidden="1">
          <a:extLst>
            <a:ext uri="{FF2B5EF4-FFF2-40B4-BE49-F238E27FC236}">
              <a16:creationId xmlns:a16="http://schemas.microsoft.com/office/drawing/2014/main" id="{00000000-0008-0000-0100-0000C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28" name="Drop Down -1022" hidden="1">
          <a:extLst>
            <a:ext uri="{FF2B5EF4-FFF2-40B4-BE49-F238E27FC236}">
              <a16:creationId xmlns:a16="http://schemas.microsoft.com/office/drawing/2014/main" id="{00000000-0008-0000-0100-0000D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29" name="Drop Down 1" hidden="1">
          <a:extLst>
            <a:ext uri="{FF2B5EF4-FFF2-40B4-BE49-F238E27FC236}">
              <a16:creationId xmlns:a16="http://schemas.microsoft.com/office/drawing/2014/main" id="{00000000-0008-0000-0100-0000D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30" name="Drop Down 1" hidden="1">
          <a:extLst>
            <a:ext uri="{FF2B5EF4-FFF2-40B4-BE49-F238E27FC236}">
              <a16:creationId xmlns:a16="http://schemas.microsoft.com/office/drawing/2014/main" id="{00000000-0008-0000-0100-0000D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31" name="Drop Down 1" hidden="1">
          <a:extLst>
            <a:ext uri="{FF2B5EF4-FFF2-40B4-BE49-F238E27FC236}">
              <a16:creationId xmlns:a16="http://schemas.microsoft.com/office/drawing/2014/main" id="{00000000-0008-0000-0100-0000D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32" name="Drop Down 1" hidden="1">
          <a:extLst>
            <a:ext uri="{FF2B5EF4-FFF2-40B4-BE49-F238E27FC236}">
              <a16:creationId xmlns:a16="http://schemas.microsoft.com/office/drawing/2014/main" id="{00000000-0008-0000-0100-0000D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33" name="Drop Down 2" hidden="1">
          <a:extLst>
            <a:ext uri="{FF2B5EF4-FFF2-40B4-BE49-F238E27FC236}">
              <a16:creationId xmlns:a16="http://schemas.microsoft.com/office/drawing/2014/main" id="{00000000-0008-0000-0100-0000D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34" name="Drop Down 1" hidden="1">
          <a:extLst>
            <a:ext uri="{FF2B5EF4-FFF2-40B4-BE49-F238E27FC236}">
              <a16:creationId xmlns:a16="http://schemas.microsoft.com/office/drawing/2014/main" id="{00000000-0008-0000-0100-0000D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35" name="Drop Down -1022" hidden="1">
          <a:extLst>
            <a:ext uri="{FF2B5EF4-FFF2-40B4-BE49-F238E27FC236}">
              <a16:creationId xmlns:a16="http://schemas.microsoft.com/office/drawing/2014/main" id="{00000000-0008-0000-0100-0000D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36" name="Drop Down 1" hidden="1">
          <a:extLst>
            <a:ext uri="{FF2B5EF4-FFF2-40B4-BE49-F238E27FC236}">
              <a16:creationId xmlns:a16="http://schemas.microsoft.com/office/drawing/2014/main" id="{00000000-0008-0000-0100-0000D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37" name="Drop Down 1" hidden="1">
          <a:extLst>
            <a:ext uri="{FF2B5EF4-FFF2-40B4-BE49-F238E27FC236}">
              <a16:creationId xmlns:a16="http://schemas.microsoft.com/office/drawing/2014/main" id="{00000000-0008-0000-0100-0000D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38" name="Drop Down 1" hidden="1">
          <a:extLst>
            <a:ext uri="{FF2B5EF4-FFF2-40B4-BE49-F238E27FC236}">
              <a16:creationId xmlns:a16="http://schemas.microsoft.com/office/drawing/2014/main" id="{00000000-0008-0000-0100-0000D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39" name="Drop Down 1" hidden="1">
          <a:extLst>
            <a:ext uri="{FF2B5EF4-FFF2-40B4-BE49-F238E27FC236}">
              <a16:creationId xmlns:a16="http://schemas.microsoft.com/office/drawing/2014/main" id="{00000000-0008-0000-0100-0000D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40" name="Drop Down 2" hidden="1">
          <a:extLst>
            <a:ext uri="{FF2B5EF4-FFF2-40B4-BE49-F238E27FC236}">
              <a16:creationId xmlns:a16="http://schemas.microsoft.com/office/drawing/2014/main" id="{00000000-0008-0000-0100-0000D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41" name="Drop Down 1" hidden="1">
          <a:extLst>
            <a:ext uri="{FF2B5EF4-FFF2-40B4-BE49-F238E27FC236}">
              <a16:creationId xmlns:a16="http://schemas.microsoft.com/office/drawing/2014/main" id="{00000000-0008-0000-0100-0000D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42" name="Drop Down -1022" hidden="1">
          <a:extLst>
            <a:ext uri="{FF2B5EF4-FFF2-40B4-BE49-F238E27FC236}">
              <a16:creationId xmlns:a16="http://schemas.microsoft.com/office/drawing/2014/main" id="{00000000-0008-0000-0100-0000D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43" name="Drop Down 1" hidden="1">
          <a:extLst>
            <a:ext uri="{FF2B5EF4-FFF2-40B4-BE49-F238E27FC236}">
              <a16:creationId xmlns:a16="http://schemas.microsoft.com/office/drawing/2014/main" id="{00000000-0008-0000-0100-0000D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44" name="Drop Down 1" hidden="1">
          <a:extLst>
            <a:ext uri="{FF2B5EF4-FFF2-40B4-BE49-F238E27FC236}">
              <a16:creationId xmlns:a16="http://schemas.microsoft.com/office/drawing/2014/main" id="{00000000-0008-0000-0100-0000E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45" name="Drop Down 1" hidden="1">
          <a:extLst>
            <a:ext uri="{FF2B5EF4-FFF2-40B4-BE49-F238E27FC236}">
              <a16:creationId xmlns:a16="http://schemas.microsoft.com/office/drawing/2014/main" id="{00000000-0008-0000-0100-0000E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46" name="Drop Down 1" hidden="1">
          <a:extLst>
            <a:ext uri="{FF2B5EF4-FFF2-40B4-BE49-F238E27FC236}">
              <a16:creationId xmlns:a16="http://schemas.microsoft.com/office/drawing/2014/main" id="{00000000-0008-0000-0100-0000E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47" name="Drop Down 2" hidden="1">
          <a:extLst>
            <a:ext uri="{FF2B5EF4-FFF2-40B4-BE49-F238E27FC236}">
              <a16:creationId xmlns:a16="http://schemas.microsoft.com/office/drawing/2014/main" id="{00000000-0008-0000-0100-0000E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48" name="Drop Down 1" hidden="1">
          <a:extLst>
            <a:ext uri="{FF2B5EF4-FFF2-40B4-BE49-F238E27FC236}">
              <a16:creationId xmlns:a16="http://schemas.microsoft.com/office/drawing/2014/main" id="{00000000-0008-0000-0100-0000E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49" name="Drop Down -1022" hidden="1">
          <a:extLst>
            <a:ext uri="{FF2B5EF4-FFF2-40B4-BE49-F238E27FC236}">
              <a16:creationId xmlns:a16="http://schemas.microsoft.com/office/drawing/2014/main" id="{00000000-0008-0000-0100-0000E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50" name="Drop Down 1" hidden="1">
          <a:extLst>
            <a:ext uri="{FF2B5EF4-FFF2-40B4-BE49-F238E27FC236}">
              <a16:creationId xmlns:a16="http://schemas.microsoft.com/office/drawing/2014/main" id="{00000000-0008-0000-0100-0000E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51" name="Drop Down 1" hidden="1">
          <a:extLst>
            <a:ext uri="{FF2B5EF4-FFF2-40B4-BE49-F238E27FC236}">
              <a16:creationId xmlns:a16="http://schemas.microsoft.com/office/drawing/2014/main" id="{00000000-0008-0000-0100-0000E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52" name="Drop Down 1" hidden="1">
          <a:extLst>
            <a:ext uri="{FF2B5EF4-FFF2-40B4-BE49-F238E27FC236}">
              <a16:creationId xmlns:a16="http://schemas.microsoft.com/office/drawing/2014/main" id="{00000000-0008-0000-0100-0000E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53" name="Drop Down 1" hidden="1">
          <a:extLst>
            <a:ext uri="{FF2B5EF4-FFF2-40B4-BE49-F238E27FC236}">
              <a16:creationId xmlns:a16="http://schemas.microsoft.com/office/drawing/2014/main" id="{00000000-0008-0000-0100-0000E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54" name="Drop Down 2" hidden="1">
          <a:extLst>
            <a:ext uri="{FF2B5EF4-FFF2-40B4-BE49-F238E27FC236}">
              <a16:creationId xmlns:a16="http://schemas.microsoft.com/office/drawing/2014/main" id="{00000000-0008-0000-0100-0000E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55" name="Drop Down 1" hidden="1">
          <a:extLst>
            <a:ext uri="{FF2B5EF4-FFF2-40B4-BE49-F238E27FC236}">
              <a16:creationId xmlns:a16="http://schemas.microsoft.com/office/drawing/2014/main" id="{00000000-0008-0000-0100-0000E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56" name="Drop Down -1022" hidden="1">
          <a:extLst>
            <a:ext uri="{FF2B5EF4-FFF2-40B4-BE49-F238E27FC236}">
              <a16:creationId xmlns:a16="http://schemas.microsoft.com/office/drawing/2014/main" id="{00000000-0008-0000-0100-0000E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57" name="Drop Down 1" hidden="1">
          <a:extLst>
            <a:ext uri="{FF2B5EF4-FFF2-40B4-BE49-F238E27FC236}">
              <a16:creationId xmlns:a16="http://schemas.microsoft.com/office/drawing/2014/main" id="{00000000-0008-0000-0100-0000E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58" name="Drop Down 1" hidden="1">
          <a:extLst>
            <a:ext uri="{FF2B5EF4-FFF2-40B4-BE49-F238E27FC236}">
              <a16:creationId xmlns:a16="http://schemas.microsoft.com/office/drawing/2014/main" id="{00000000-0008-0000-0100-0000E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59" name="Drop Down 1" hidden="1">
          <a:extLst>
            <a:ext uri="{FF2B5EF4-FFF2-40B4-BE49-F238E27FC236}">
              <a16:creationId xmlns:a16="http://schemas.microsoft.com/office/drawing/2014/main" id="{00000000-0008-0000-0100-0000E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60" name="Drop Down 1" hidden="1">
          <a:extLst>
            <a:ext uri="{FF2B5EF4-FFF2-40B4-BE49-F238E27FC236}">
              <a16:creationId xmlns:a16="http://schemas.microsoft.com/office/drawing/2014/main" id="{00000000-0008-0000-0100-0000F0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61" name="Drop Down 2" hidden="1">
          <a:extLst>
            <a:ext uri="{FF2B5EF4-FFF2-40B4-BE49-F238E27FC236}">
              <a16:creationId xmlns:a16="http://schemas.microsoft.com/office/drawing/2014/main" id="{00000000-0008-0000-0100-0000F1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62" name="Drop Down 1" hidden="1">
          <a:extLst>
            <a:ext uri="{FF2B5EF4-FFF2-40B4-BE49-F238E27FC236}">
              <a16:creationId xmlns:a16="http://schemas.microsoft.com/office/drawing/2014/main" id="{00000000-0008-0000-0100-0000F2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63" name="Drop Down -1022" hidden="1">
          <a:extLst>
            <a:ext uri="{FF2B5EF4-FFF2-40B4-BE49-F238E27FC236}">
              <a16:creationId xmlns:a16="http://schemas.microsoft.com/office/drawing/2014/main" id="{00000000-0008-0000-0100-0000F3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64" name="Drop Down 1" hidden="1">
          <a:extLst>
            <a:ext uri="{FF2B5EF4-FFF2-40B4-BE49-F238E27FC236}">
              <a16:creationId xmlns:a16="http://schemas.microsoft.com/office/drawing/2014/main" id="{00000000-0008-0000-0100-0000F4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65" name="Drop Down 1" hidden="1">
          <a:extLst>
            <a:ext uri="{FF2B5EF4-FFF2-40B4-BE49-F238E27FC236}">
              <a16:creationId xmlns:a16="http://schemas.microsoft.com/office/drawing/2014/main" id="{00000000-0008-0000-0100-0000F5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66" name="Drop Down 1" hidden="1">
          <a:extLst>
            <a:ext uri="{FF2B5EF4-FFF2-40B4-BE49-F238E27FC236}">
              <a16:creationId xmlns:a16="http://schemas.microsoft.com/office/drawing/2014/main" id="{00000000-0008-0000-0100-0000F6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67" name="Drop Down 1" hidden="1">
          <a:extLst>
            <a:ext uri="{FF2B5EF4-FFF2-40B4-BE49-F238E27FC236}">
              <a16:creationId xmlns:a16="http://schemas.microsoft.com/office/drawing/2014/main" id="{00000000-0008-0000-0100-0000F7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68" name="Drop Down 2" hidden="1">
          <a:extLst>
            <a:ext uri="{FF2B5EF4-FFF2-40B4-BE49-F238E27FC236}">
              <a16:creationId xmlns:a16="http://schemas.microsoft.com/office/drawing/2014/main" id="{00000000-0008-0000-0100-0000F8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69" name="Drop Down 1" hidden="1">
          <a:extLst>
            <a:ext uri="{FF2B5EF4-FFF2-40B4-BE49-F238E27FC236}">
              <a16:creationId xmlns:a16="http://schemas.microsoft.com/office/drawing/2014/main" id="{00000000-0008-0000-0100-0000F9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70" name="Drop Down -1022" hidden="1">
          <a:extLst>
            <a:ext uri="{FF2B5EF4-FFF2-40B4-BE49-F238E27FC236}">
              <a16:creationId xmlns:a16="http://schemas.microsoft.com/office/drawing/2014/main" id="{00000000-0008-0000-0100-0000FA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71" name="Drop Down 1" hidden="1">
          <a:extLst>
            <a:ext uri="{FF2B5EF4-FFF2-40B4-BE49-F238E27FC236}">
              <a16:creationId xmlns:a16="http://schemas.microsoft.com/office/drawing/2014/main" id="{00000000-0008-0000-0100-0000FB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72" name="Drop Down 1" hidden="1">
          <a:extLst>
            <a:ext uri="{FF2B5EF4-FFF2-40B4-BE49-F238E27FC236}">
              <a16:creationId xmlns:a16="http://schemas.microsoft.com/office/drawing/2014/main" id="{00000000-0008-0000-0100-0000FC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73" name="Drop Down 1" hidden="1">
          <a:extLst>
            <a:ext uri="{FF2B5EF4-FFF2-40B4-BE49-F238E27FC236}">
              <a16:creationId xmlns:a16="http://schemas.microsoft.com/office/drawing/2014/main" id="{00000000-0008-0000-0100-0000FD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74" name="Drop Down 1" hidden="1">
          <a:extLst>
            <a:ext uri="{FF2B5EF4-FFF2-40B4-BE49-F238E27FC236}">
              <a16:creationId xmlns:a16="http://schemas.microsoft.com/office/drawing/2014/main" id="{00000000-0008-0000-0100-0000FE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75" name="Drop Down 2" hidden="1">
          <a:extLst>
            <a:ext uri="{FF2B5EF4-FFF2-40B4-BE49-F238E27FC236}">
              <a16:creationId xmlns:a16="http://schemas.microsoft.com/office/drawing/2014/main" id="{00000000-0008-0000-0100-0000FF14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76" name="Drop Down 1" hidden="1">
          <a:extLst>
            <a:ext uri="{FF2B5EF4-FFF2-40B4-BE49-F238E27FC236}">
              <a16:creationId xmlns:a16="http://schemas.microsoft.com/office/drawing/2014/main" id="{00000000-0008-0000-0100-00000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77" name="Drop Down -1022" hidden="1">
          <a:extLst>
            <a:ext uri="{FF2B5EF4-FFF2-40B4-BE49-F238E27FC236}">
              <a16:creationId xmlns:a16="http://schemas.microsoft.com/office/drawing/2014/main" id="{00000000-0008-0000-0100-00000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78" name="Drop Down 1" hidden="1">
          <a:extLst>
            <a:ext uri="{FF2B5EF4-FFF2-40B4-BE49-F238E27FC236}">
              <a16:creationId xmlns:a16="http://schemas.microsoft.com/office/drawing/2014/main" id="{00000000-0008-0000-0100-00000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79" name="Drop Down 1" hidden="1">
          <a:extLst>
            <a:ext uri="{FF2B5EF4-FFF2-40B4-BE49-F238E27FC236}">
              <a16:creationId xmlns:a16="http://schemas.microsoft.com/office/drawing/2014/main" id="{00000000-0008-0000-0100-00000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80" name="Drop Down 1" hidden="1">
          <a:extLst>
            <a:ext uri="{FF2B5EF4-FFF2-40B4-BE49-F238E27FC236}">
              <a16:creationId xmlns:a16="http://schemas.microsoft.com/office/drawing/2014/main" id="{00000000-0008-0000-0100-00000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81" name="Drop Down 1" hidden="1">
          <a:extLst>
            <a:ext uri="{FF2B5EF4-FFF2-40B4-BE49-F238E27FC236}">
              <a16:creationId xmlns:a16="http://schemas.microsoft.com/office/drawing/2014/main" id="{00000000-0008-0000-0100-00000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82" name="Drop Down 2" hidden="1">
          <a:extLst>
            <a:ext uri="{FF2B5EF4-FFF2-40B4-BE49-F238E27FC236}">
              <a16:creationId xmlns:a16="http://schemas.microsoft.com/office/drawing/2014/main" id="{00000000-0008-0000-0100-00000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83" name="Drop Down 1" hidden="1">
          <a:extLst>
            <a:ext uri="{FF2B5EF4-FFF2-40B4-BE49-F238E27FC236}">
              <a16:creationId xmlns:a16="http://schemas.microsoft.com/office/drawing/2014/main" id="{00000000-0008-0000-0100-00000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384" name="Drop Down -1022" hidden="1">
          <a:extLst>
            <a:ext uri="{FF2B5EF4-FFF2-40B4-BE49-F238E27FC236}">
              <a16:creationId xmlns:a16="http://schemas.microsoft.com/office/drawing/2014/main" id="{00000000-0008-0000-0100-00000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85" name="Drop Down 1" hidden="1">
          <a:extLst>
            <a:ext uri="{FF2B5EF4-FFF2-40B4-BE49-F238E27FC236}">
              <a16:creationId xmlns:a16="http://schemas.microsoft.com/office/drawing/2014/main" id="{00000000-0008-0000-0100-00000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86" name="Drop Down 1" hidden="1">
          <a:extLst>
            <a:ext uri="{FF2B5EF4-FFF2-40B4-BE49-F238E27FC236}">
              <a16:creationId xmlns:a16="http://schemas.microsoft.com/office/drawing/2014/main" id="{00000000-0008-0000-0100-00000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87" name="Drop Down 1" hidden="1">
          <a:extLst>
            <a:ext uri="{FF2B5EF4-FFF2-40B4-BE49-F238E27FC236}">
              <a16:creationId xmlns:a16="http://schemas.microsoft.com/office/drawing/2014/main" id="{00000000-0008-0000-0100-00000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88" name="Drop Down 1" hidden="1">
          <a:extLst>
            <a:ext uri="{FF2B5EF4-FFF2-40B4-BE49-F238E27FC236}">
              <a16:creationId xmlns:a16="http://schemas.microsoft.com/office/drawing/2014/main" id="{00000000-0008-0000-0100-00000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89" name="Drop Down 2" hidden="1">
          <a:extLst>
            <a:ext uri="{FF2B5EF4-FFF2-40B4-BE49-F238E27FC236}">
              <a16:creationId xmlns:a16="http://schemas.microsoft.com/office/drawing/2014/main" id="{00000000-0008-0000-0100-00000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90" name="Drop Down 1" hidden="1">
          <a:extLst>
            <a:ext uri="{FF2B5EF4-FFF2-40B4-BE49-F238E27FC236}">
              <a16:creationId xmlns:a16="http://schemas.microsoft.com/office/drawing/2014/main" id="{00000000-0008-0000-0100-00000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391" name="Drop Down -1022" hidden="1">
          <a:extLst>
            <a:ext uri="{FF2B5EF4-FFF2-40B4-BE49-F238E27FC236}">
              <a16:creationId xmlns:a16="http://schemas.microsoft.com/office/drawing/2014/main" id="{00000000-0008-0000-0100-00000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92" name="Drop Down 1" hidden="1">
          <a:extLst>
            <a:ext uri="{FF2B5EF4-FFF2-40B4-BE49-F238E27FC236}">
              <a16:creationId xmlns:a16="http://schemas.microsoft.com/office/drawing/2014/main" id="{00000000-0008-0000-0100-00001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93" name="Drop Down 1" hidden="1">
          <a:extLst>
            <a:ext uri="{FF2B5EF4-FFF2-40B4-BE49-F238E27FC236}">
              <a16:creationId xmlns:a16="http://schemas.microsoft.com/office/drawing/2014/main" id="{00000000-0008-0000-0100-00001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94" name="Drop Down 1" hidden="1">
          <a:extLst>
            <a:ext uri="{FF2B5EF4-FFF2-40B4-BE49-F238E27FC236}">
              <a16:creationId xmlns:a16="http://schemas.microsoft.com/office/drawing/2014/main" id="{00000000-0008-0000-0100-00001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95" name="Drop Down 1" hidden="1">
          <a:extLst>
            <a:ext uri="{FF2B5EF4-FFF2-40B4-BE49-F238E27FC236}">
              <a16:creationId xmlns:a16="http://schemas.microsoft.com/office/drawing/2014/main" id="{00000000-0008-0000-0100-00001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96" name="Drop Down 2" hidden="1">
          <a:extLst>
            <a:ext uri="{FF2B5EF4-FFF2-40B4-BE49-F238E27FC236}">
              <a16:creationId xmlns:a16="http://schemas.microsoft.com/office/drawing/2014/main" id="{00000000-0008-0000-0100-00001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97" name="Drop Down 1" hidden="1">
          <a:extLst>
            <a:ext uri="{FF2B5EF4-FFF2-40B4-BE49-F238E27FC236}">
              <a16:creationId xmlns:a16="http://schemas.microsoft.com/office/drawing/2014/main" id="{00000000-0008-0000-0100-00001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398" name="Drop Down -1022" hidden="1">
          <a:extLst>
            <a:ext uri="{FF2B5EF4-FFF2-40B4-BE49-F238E27FC236}">
              <a16:creationId xmlns:a16="http://schemas.microsoft.com/office/drawing/2014/main" id="{00000000-0008-0000-0100-00001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399" name="Drop Down 1" hidden="1">
          <a:extLst>
            <a:ext uri="{FF2B5EF4-FFF2-40B4-BE49-F238E27FC236}">
              <a16:creationId xmlns:a16="http://schemas.microsoft.com/office/drawing/2014/main" id="{00000000-0008-0000-0100-00001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400" name="Drop Down 1" hidden="1">
          <a:extLst>
            <a:ext uri="{FF2B5EF4-FFF2-40B4-BE49-F238E27FC236}">
              <a16:creationId xmlns:a16="http://schemas.microsoft.com/office/drawing/2014/main" id="{00000000-0008-0000-0100-00001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401" name="Drop Down 1" hidden="1">
          <a:extLst>
            <a:ext uri="{FF2B5EF4-FFF2-40B4-BE49-F238E27FC236}">
              <a16:creationId xmlns:a16="http://schemas.microsoft.com/office/drawing/2014/main" id="{00000000-0008-0000-0100-00001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402" name="Drop Down 1" hidden="1">
          <a:extLst>
            <a:ext uri="{FF2B5EF4-FFF2-40B4-BE49-F238E27FC236}">
              <a16:creationId xmlns:a16="http://schemas.microsoft.com/office/drawing/2014/main" id="{00000000-0008-0000-0100-00001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403" name="Drop Down 2" hidden="1">
          <a:extLst>
            <a:ext uri="{FF2B5EF4-FFF2-40B4-BE49-F238E27FC236}">
              <a16:creationId xmlns:a16="http://schemas.microsoft.com/office/drawing/2014/main" id="{00000000-0008-0000-0100-00001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404" name="Drop Down 1" hidden="1">
          <a:extLst>
            <a:ext uri="{FF2B5EF4-FFF2-40B4-BE49-F238E27FC236}">
              <a16:creationId xmlns:a16="http://schemas.microsoft.com/office/drawing/2014/main" id="{00000000-0008-0000-0100-00001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405" name="Drop Down -1022" hidden="1">
          <a:extLst>
            <a:ext uri="{FF2B5EF4-FFF2-40B4-BE49-F238E27FC236}">
              <a16:creationId xmlns:a16="http://schemas.microsoft.com/office/drawing/2014/main" id="{00000000-0008-0000-0100-00001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06" name="Drop Down 1" hidden="1">
          <a:extLst>
            <a:ext uri="{FF2B5EF4-FFF2-40B4-BE49-F238E27FC236}">
              <a16:creationId xmlns:a16="http://schemas.microsoft.com/office/drawing/2014/main" id="{00000000-0008-0000-0100-00001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07" name="Drop Down 1" hidden="1">
          <a:extLst>
            <a:ext uri="{FF2B5EF4-FFF2-40B4-BE49-F238E27FC236}">
              <a16:creationId xmlns:a16="http://schemas.microsoft.com/office/drawing/2014/main" id="{00000000-0008-0000-0100-00001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08" name="Drop Down 1" hidden="1">
          <a:extLst>
            <a:ext uri="{FF2B5EF4-FFF2-40B4-BE49-F238E27FC236}">
              <a16:creationId xmlns:a16="http://schemas.microsoft.com/office/drawing/2014/main" id="{00000000-0008-0000-0100-00002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09" name="Drop Down 1" hidden="1">
          <a:extLst>
            <a:ext uri="{FF2B5EF4-FFF2-40B4-BE49-F238E27FC236}">
              <a16:creationId xmlns:a16="http://schemas.microsoft.com/office/drawing/2014/main" id="{00000000-0008-0000-0100-00002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10" name="Drop Down 2" hidden="1">
          <a:extLst>
            <a:ext uri="{FF2B5EF4-FFF2-40B4-BE49-F238E27FC236}">
              <a16:creationId xmlns:a16="http://schemas.microsoft.com/office/drawing/2014/main" id="{00000000-0008-0000-0100-00002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11" name="Drop Down 1" hidden="1">
          <a:extLst>
            <a:ext uri="{FF2B5EF4-FFF2-40B4-BE49-F238E27FC236}">
              <a16:creationId xmlns:a16="http://schemas.microsoft.com/office/drawing/2014/main" id="{00000000-0008-0000-0100-00002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12" name="Drop Down -1022" hidden="1">
          <a:extLst>
            <a:ext uri="{FF2B5EF4-FFF2-40B4-BE49-F238E27FC236}">
              <a16:creationId xmlns:a16="http://schemas.microsoft.com/office/drawing/2014/main" id="{00000000-0008-0000-0100-00002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13" name="Drop Down 1" hidden="1">
          <a:extLst>
            <a:ext uri="{FF2B5EF4-FFF2-40B4-BE49-F238E27FC236}">
              <a16:creationId xmlns:a16="http://schemas.microsoft.com/office/drawing/2014/main" id="{00000000-0008-0000-0100-00002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14" name="Drop Down 1" hidden="1">
          <a:extLst>
            <a:ext uri="{FF2B5EF4-FFF2-40B4-BE49-F238E27FC236}">
              <a16:creationId xmlns:a16="http://schemas.microsoft.com/office/drawing/2014/main" id="{00000000-0008-0000-0100-00002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15" name="Drop Down 1" hidden="1">
          <a:extLst>
            <a:ext uri="{FF2B5EF4-FFF2-40B4-BE49-F238E27FC236}">
              <a16:creationId xmlns:a16="http://schemas.microsoft.com/office/drawing/2014/main" id="{00000000-0008-0000-0100-00002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16" name="Drop Down 1" hidden="1">
          <a:extLst>
            <a:ext uri="{FF2B5EF4-FFF2-40B4-BE49-F238E27FC236}">
              <a16:creationId xmlns:a16="http://schemas.microsoft.com/office/drawing/2014/main" id="{00000000-0008-0000-0100-00002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17" name="Drop Down 2" hidden="1">
          <a:extLst>
            <a:ext uri="{FF2B5EF4-FFF2-40B4-BE49-F238E27FC236}">
              <a16:creationId xmlns:a16="http://schemas.microsoft.com/office/drawing/2014/main" id="{00000000-0008-0000-0100-00002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18" name="Drop Down 1" hidden="1">
          <a:extLst>
            <a:ext uri="{FF2B5EF4-FFF2-40B4-BE49-F238E27FC236}">
              <a16:creationId xmlns:a16="http://schemas.microsoft.com/office/drawing/2014/main" id="{00000000-0008-0000-0100-00002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19" name="Drop Down -1022" hidden="1">
          <a:extLst>
            <a:ext uri="{FF2B5EF4-FFF2-40B4-BE49-F238E27FC236}">
              <a16:creationId xmlns:a16="http://schemas.microsoft.com/office/drawing/2014/main" id="{00000000-0008-0000-0100-00002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20" name="Drop Down 1" hidden="1">
          <a:extLst>
            <a:ext uri="{FF2B5EF4-FFF2-40B4-BE49-F238E27FC236}">
              <a16:creationId xmlns:a16="http://schemas.microsoft.com/office/drawing/2014/main" id="{00000000-0008-0000-0100-00002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21" name="Drop Down 1" hidden="1">
          <a:extLst>
            <a:ext uri="{FF2B5EF4-FFF2-40B4-BE49-F238E27FC236}">
              <a16:creationId xmlns:a16="http://schemas.microsoft.com/office/drawing/2014/main" id="{00000000-0008-0000-0100-00002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22" name="Drop Down 1" hidden="1">
          <a:extLst>
            <a:ext uri="{FF2B5EF4-FFF2-40B4-BE49-F238E27FC236}">
              <a16:creationId xmlns:a16="http://schemas.microsoft.com/office/drawing/2014/main" id="{00000000-0008-0000-0100-00002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23" name="Drop Down 1" hidden="1">
          <a:extLst>
            <a:ext uri="{FF2B5EF4-FFF2-40B4-BE49-F238E27FC236}">
              <a16:creationId xmlns:a16="http://schemas.microsoft.com/office/drawing/2014/main" id="{00000000-0008-0000-0100-00002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24" name="Drop Down 2" hidden="1">
          <a:extLst>
            <a:ext uri="{FF2B5EF4-FFF2-40B4-BE49-F238E27FC236}">
              <a16:creationId xmlns:a16="http://schemas.microsoft.com/office/drawing/2014/main" id="{00000000-0008-0000-0100-00003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25" name="Drop Down 1" hidden="1">
          <a:extLst>
            <a:ext uri="{FF2B5EF4-FFF2-40B4-BE49-F238E27FC236}">
              <a16:creationId xmlns:a16="http://schemas.microsoft.com/office/drawing/2014/main" id="{00000000-0008-0000-0100-00003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26" name="Drop Down -1022" hidden="1">
          <a:extLst>
            <a:ext uri="{FF2B5EF4-FFF2-40B4-BE49-F238E27FC236}">
              <a16:creationId xmlns:a16="http://schemas.microsoft.com/office/drawing/2014/main" id="{00000000-0008-0000-0100-00003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27" name="Drop Down 1" hidden="1">
          <a:extLst>
            <a:ext uri="{FF2B5EF4-FFF2-40B4-BE49-F238E27FC236}">
              <a16:creationId xmlns:a16="http://schemas.microsoft.com/office/drawing/2014/main" id="{00000000-0008-0000-0100-00003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28" name="Drop Down 1" hidden="1">
          <a:extLst>
            <a:ext uri="{FF2B5EF4-FFF2-40B4-BE49-F238E27FC236}">
              <a16:creationId xmlns:a16="http://schemas.microsoft.com/office/drawing/2014/main" id="{00000000-0008-0000-0100-00003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29" name="Drop Down 1" hidden="1">
          <a:extLst>
            <a:ext uri="{FF2B5EF4-FFF2-40B4-BE49-F238E27FC236}">
              <a16:creationId xmlns:a16="http://schemas.microsoft.com/office/drawing/2014/main" id="{00000000-0008-0000-0100-00003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30" name="Drop Down 1" hidden="1">
          <a:extLst>
            <a:ext uri="{FF2B5EF4-FFF2-40B4-BE49-F238E27FC236}">
              <a16:creationId xmlns:a16="http://schemas.microsoft.com/office/drawing/2014/main" id="{00000000-0008-0000-0100-00003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31" name="Drop Down 2" hidden="1">
          <a:extLst>
            <a:ext uri="{FF2B5EF4-FFF2-40B4-BE49-F238E27FC236}">
              <a16:creationId xmlns:a16="http://schemas.microsoft.com/office/drawing/2014/main" id="{00000000-0008-0000-0100-00003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32" name="Drop Down 1" hidden="1">
          <a:extLst>
            <a:ext uri="{FF2B5EF4-FFF2-40B4-BE49-F238E27FC236}">
              <a16:creationId xmlns:a16="http://schemas.microsoft.com/office/drawing/2014/main" id="{00000000-0008-0000-0100-00003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33" name="Drop Down -1022" hidden="1">
          <a:extLst>
            <a:ext uri="{FF2B5EF4-FFF2-40B4-BE49-F238E27FC236}">
              <a16:creationId xmlns:a16="http://schemas.microsoft.com/office/drawing/2014/main" id="{00000000-0008-0000-0100-00003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34" name="Drop Down 1" hidden="1">
          <a:extLst>
            <a:ext uri="{FF2B5EF4-FFF2-40B4-BE49-F238E27FC236}">
              <a16:creationId xmlns:a16="http://schemas.microsoft.com/office/drawing/2014/main" id="{00000000-0008-0000-0100-00003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35" name="Drop Down 1" hidden="1">
          <a:extLst>
            <a:ext uri="{FF2B5EF4-FFF2-40B4-BE49-F238E27FC236}">
              <a16:creationId xmlns:a16="http://schemas.microsoft.com/office/drawing/2014/main" id="{00000000-0008-0000-0100-00003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36" name="Drop Down 1" hidden="1">
          <a:extLst>
            <a:ext uri="{FF2B5EF4-FFF2-40B4-BE49-F238E27FC236}">
              <a16:creationId xmlns:a16="http://schemas.microsoft.com/office/drawing/2014/main" id="{00000000-0008-0000-0100-00003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37" name="Drop Down 1" hidden="1">
          <a:extLst>
            <a:ext uri="{FF2B5EF4-FFF2-40B4-BE49-F238E27FC236}">
              <a16:creationId xmlns:a16="http://schemas.microsoft.com/office/drawing/2014/main" id="{00000000-0008-0000-0100-00003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38" name="Drop Down 2" hidden="1">
          <a:extLst>
            <a:ext uri="{FF2B5EF4-FFF2-40B4-BE49-F238E27FC236}">
              <a16:creationId xmlns:a16="http://schemas.microsoft.com/office/drawing/2014/main" id="{00000000-0008-0000-0100-00003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39" name="Drop Down 1" hidden="1">
          <a:extLst>
            <a:ext uri="{FF2B5EF4-FFF2-40B4-BE49-F238E27FC236}">
              <a16:creationId xmlns:a16="http://schemas.microsoft.com/office/drawing/2014/main" id="{00000000-0008-0000-0100-00003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40" name="Drop Down -1022" hidden="1">
          <a:extLst>
            <a:ext uri="{FF2B5EF4-FFF2-40B4-BE49-F238E27FC236}">
              <a16:creationId xmlns:a16="http://schemas.microsoft.com/office/drawing/2014/main" id="{00000000-0008-0000-0100-00004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41" name="Drop Down 1" hidden="1">
          <a:extLst>
            <a:ext uri="{FF2B5EF4-FFF2-40B4-BE49-F238E27FC236}">
              <a16:creationId xmlns:a16="http://schemas.microsoft.com/office/drawing/2014/main" id="{00000000-0008-0000-0100-00004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42" name="Drop Down 1" hidden="1">
          <a:extLst>
            <a:ext uri="{FF2B5EF4-FFF2-40B4-BE49-F238E27FC236}">
              <a16:creationId xmlns:a16="http://schemas.microsoft.com/office/drawing/2014/main" id="{00000000-0008-0000-0100-00004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43" name="Drop Down 1" hidden="1">
          <a:extLst>
            <a:ext uri="{FF2B5EF4-FFF2-40B4-BE49-F238E27FC236}">
              <a16:creationId xmlns:a16="http://schemas.microsoft.com/office/drawing/2014/main" id="{00000000-0008-0000-0100-00004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44" name="Drop Down 1" hidden="1">
          <a:extLst>
            <a:ext uri="{FF2B5EF4-FFF2-40B4-BE49-F238E27FC236}">
              <a16:creationId xmlns:a16="http://schemas.microsoft.com/office/drawing/2014/main" id="{00000000-0008-0000-0100-00004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45" name="Drop Down 2" hidden="1">
          <a:extLst>
            <a:ext uri="{FF2B5EF4-FFF2-40B4-BE49-F238E27FC236}">
              <a16:creationId xmlns:a16="http://schemas.microsoft.com/office/drawing/2014/main" id="{00000000-0008-0000-0100-00004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46" name="Drop Down 1" hidden="1">
          <a:extLst>
            <a:ext uri="{FF2B5EF4-FFF2-40B4-BE49-F238E27FC236}">
              <a16:creationId xmlns:a16="http://schemas.microsoft.com/office/drawing/2014/main" id="{00000000-0008-0000-0100-00004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47" name="Drop Down -1022" hidden="1">
          <a:extLst>
            <a:ext uri="{FF2B5EF4-FFF2-40B4-BE49-F238E27FC236}">
              <a16:creationId xmlns:a16="http://schemas.microsoft.com/office/drawing/2014/main" id="{00000000-0008-0000-0100-00004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48" name="Drop Down 1" hidden="1">
          <a:extLst>
            <a:ext uri="{FF2B5EF4-FFF2-40B4-BE49-F238E27FC236}">
              <a16:creationId xmlns:a16="http://schemas.microsoft.com/office/drawing/2014/main" id="{00000000-0008-0000-0100-00004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49" name="Drop Down 1" hidden="1">
          <a:extLst>
            <a:ext uri="{FF2B5EF4-FFF2-40B4-BE49-F238E27FC236}">
              <a16:creationId xmlns:a16="http://schemas.microsoft.com/office/drawing/2014/main" id="{00000000-0008-0000-0100-00004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50" name="Drop Down 1" hidden="1">
          <a:extLst>
            <a:ext uri="{FF2B5EF4-FFF2-40B4-BE49-F238E27FC236}">
              <a16:creationId xmlns:a16="http://schemas.microsoft.com/office/drawing/2014/main" id="{00000000-0008-0000-0100-00004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51" name="Drop Down 1" hidden="1">
          <a:extLst>
            <a:ext uri="{FF2B5EF4-FFF2-40B4-BE49-F238E27FC236}">
              <a16:creationId xmlns:a16="http://schemas.microsoft.com/office/drawing/2014/main" id="{00000000-0008-0000-0100-00004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52" name="Drop Down 2" hidden="1">
          <a:extLst>
            <a:ext uri="{FF2B5EF4-FFF2-40B4-BE49-F238E27FC236}">
              <a16:creationId xmlns:a16="http://schemas.microsoft.com/office/drawing/2014/main" id="{00000000-0008-0000-0100-00004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53" name="Drop Down 1" hidden="1">
          <a:extLst>
            <a:ext uri="{FF2B5EF4-FFF2-40B4-BE49-F238E27FC236}">
              <a16:creationId xmlns:a16="http://schemas.microsoft.com/office/drawing/2014/main" id="{00000000-0008-0000-0100-00004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54" name="Drop Down -1022" hidden="1">
          <a:extLst>
            <a:ext uri="{FF2B5EF4-FFF2-40B4-BE49-F238E27FC236}">
              <a16:creationId xmlns:a16="http://schemas.microsoft.com/office/drawing/2014/main" id="{00000000-0008-0000-0100-00004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55" name="Drop Down 1" hidden="1">
          <a:extLst>
            <a:ext uri="{FF2B5EF4-FFF2-40B4-BE49-F238E27FC236}">
              <a16:creationId xmlns:a16="http://schemas.microsoft.com/office/drawing/2014/main" id="{00000000-0008-0000-0100-00004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56" name="Drop Down 1" hidden="1">
          <a:extLst>
            <a:ext uri="{FF2B5EF4-FFF2-40B4-BE49-F238E27FC236}">
              <a16:creationId xmlns:a16="http://schemas.microsoft.com/office/drawing/2014/main" id="{00000000-0008-0000-0100-00005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57" name="Drop Down 1" hidden="1">
          <a:extLst>
            <a:ext uri="{FF2B5EF4-FFF2-40B4-BE49-F238E27FC236}">
              <a16:creationId xmlns:a16="http://schemas.microsoft.com/office/drawing/2014/main" id="{00000000-0008-0000-0100-00005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58" name="Drop Down 1" hidden="1">
          <a:extLst>
            <a:ext uri="{FF2B5EF4-FFF2-40B4-BE49-F238E27FC236}">
              <a16:creationId xmlns:a16="http://schemas.microsoft.com/office/drawing/2014/main" id="{00000000-0008-0000-0100-00005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59" name="Drop Down 2" hidden="1">
          <a:extLst>
            <a:ext uri="{FF2B5EF4-FFF2-40B4-BE49-F238E27FC236}">
              <a16:creationId xmlns:a16="http://schemas.microsoft.com/office/drawing/2014/main" id="{00000000-0008-0000-0100-00005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60" name="Drop Down 1" hidden="1">
          <a:extLst>
            <a:ext uri="{FF2B5EF4-FFF2-40B4-BE49-F238E27FC236}">
              <a16:creationId xmlns:a16="http://schemas.microsoft.com/office/drawing/2014/main" id="{00000000-0008-0000-0100-00005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61" name="Drop Down -1022" hidden="1">
          <a:extLst>
            <a:ext uri="{FF2B5EF4-FFF2-40B4-BE49-F238E27FC236}">
              <a16:creationId xmlns:a16="http://schemas.microsoft.com/office/drawing/2014/main" id="{00000000-0008-0000-0100-00005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62" name="Drop Down 1" hidden="1">
          <a:extLst>
            <a:ext uri="{FF2B5EF4-FFF2-40B4-BE49-F238E27FC236}">
              <a16:creationId xmlns:a16="http://schemas.microsoft.com/office/drawing/2014/main" id="{00000000-0008-0000-0100-00005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63" name="Drop Down 1" hidden="1">
          <a:extLst>
            <a:ext uri="{FF2B5EF4-FFF2-40B4-BE49-F238E27FC236}">
              <a16:creationId xmlns:a16="http://schemas.microsoft.com/office/drawing/2014/main" id="{00000000-0008-0000-0100-00005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64" name="Drop Down 1" hidden="1">
          <a:extLst>
            <a:ext uri="{FF2B5EF4-FFF2-40B4-BE49-F238E27FC236}">
              <a16:creationId xmlns:a16="http://schemas.microsoft.com/office/drawing/2014/main" id="{00000000-0008-0000-0100-00005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65" name="Drop Down 1" hidden="1">
          <a:extLst>
            <a:ext uri="{FF2B5EF4-FFF2-40B4-BE49-F238E27FC236}">
              <a16:creationId xmlns:a16="http://schemas.microsoft.com/office/drawing/2014/main" id="{00000000-0008-0000-0100-00005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66" name="Drop Down 2" hidden="1">
          <a:extLst>
            <a:ext uri="{FF2B5EF4-FFF2-40B4-BE49-F238E27FC236}">
              <a16:creationId xmlns:a16="http://schemas.microsoft.com/office/drawing/2014/main" id="{00000000-0008-0000-0100-00005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67" name="Drop Down 1" hidden="1">
          <a:extLst>
            <a:ext uri="{FF2B5EF4-FFF2-40B4-BE49-F238E27FC236}">
              <a16:creationId xmlns:a16="http://schemas.microsoft.com/office/drawing/2014/main" id="{00000000-0008-0000-0100-00005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68" name="Drop Down -1022" hidden="1">
          <a:extLst>
            <a:ext uri="{FF2B5EF4-FFF2-40B4-BE49-F238E27FC236}">
              <a16:creationId xmlns:a16="http://schemas.microsoft.com/office/drawing/2014/main" id="{00000000-0008-0000-0100-00005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69" name="Drop Down 1" hidden="1">
          <a:extLst>
            <a:ext uri="{FF2B5EF4-FFF2-40B4-BE49-F238E27FC236}">
              <a16:creationId xmlns:a16="http://schemas.microsoft.com/office/drawing/2014/main" id="{00000000-0008-0000-0100-00005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70" name="Drop Down 1" hidden="1">
          <a:extLst>
            <a:ext uri="{FF2B5EF4-FFF2-40B4-BE49-F238E27FC236}">
              <a16:creationId xmlns:a16="http://schemas.microsoft.com/office/drawing/2014/main" id="{00000000-0008-0000-0100-00005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71" name="Drop Down 1" hidden="1">
          <a:extLst>
            <a:ext uri="{FF2B5EF4-FFF2-40B4-BE49-F238E27FC236}">
              <a16:creationId xmlns:a16="http://schemas.microsoft.com/office/drawing/2014/main" id="{00000000-0008-0000-0100-00005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72" name="Drop Down 1" hidden="1">
          <a:extLst>
            <a:ext uri="{FF2B5EF4-FFF2-40B4-BE49-F238E27FC236}">
              <a16:creationId xmlns:a16="http://schemas.microsoft.com/office/drawing/2014/main" id="{00000000-0008-0000-0100-00006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73" name="Drop Down 2" hidden="1">
          <a:extLst>
            <a:ext uri="{FF2B5EF4-FFF2-40B4-BE49-F238E27FC236}">
              <a16:creationId xmlns:a16="http://schemas.microsoft.com/office/drawing/2014/main" id="{00000000-0008-0000-0100-00006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74" name="Drop Down 1" hidden="1">
          <a:extLst>
            <a:ext uri="{FF2B5EF4-FFF2-40B4-BE49-F238E27FC236}">
              <a16:creationId xmlns:a16="http://schemas.microsoft.com/office/drawing/2014/main" id="{00000000-0008-0000-0100-00006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75" name="Drop Down -1022" hidden="1">
          <a:extLst>
            <a:ext uri="{FF2B5EF4-FFF2-40B4-BE49-F238E27FC236}">
              <a16:creationId xmlns:a16="http://schemas.microsoft.com/office/drawing/2014/main" id="{00000000-0008-0000-0100-00006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5476" name="Drop Down 1" hidden="1">
          <a:extLst>
            <a:ext uri="{FF2B5EF4-FFF2-40B4-BE49-F238E27FC236}">
              <a16:creationId xmlns:a16="http://schemas.microsoft.com/office/drawing/2014/main" id="{00000000-0008-0000-0100-000064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5477" name="Drop Down 1" hidden="1">
          <a:extLst>
            <a:ext uri="{FF2B5EF4-FFF2-40B4-BE49-F238E27FC236}">
              <a16:creationId xmlns:a16="http://schemas.microsoft.com/office/drawing/2014/main" id="{00000000-0008-0000-0100-000065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5478" name="Drop Down 1" hidden="1">
          <a:extLst>
            <a:ext uri="{FF2B5EF4-FFF2-40B4-BE49-F238E27FC236}">
              <a16:creationId xmlns:a16="http://schemas.microsoft.com/office/drawing/2014/main" id="{00000000-0008-0000-0100-000066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5479" name="Drop Down 1" hidden="1">
          <a:extLst>
            <a:ext uri="{FF2B5EF4-FFF2-40B4-BE49-F238E27FC236}">
              <a16:creationId xmlns:a16="http://schemas.microsoft.com/office/drawing/2014/main" id="{00000000-0008-0000-0100-000067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5480" name="Drop Down 2" hidden="1">
          <a:extLst>
            <a:ext uri="{FF2B5EF4-FFF2-40B4-BE49-F238E27FC236}">
              <a16:creationId xmlns:a16="http://schemas.microsoft.com/office/drawing/2014/main" id="{00000000-0008-0000-0100-000068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5481" name="Drop Down 1" hidden="1">
          <a:extLst>
            <a:ext uri="{FF2B5EF4-FFF2-40B4-BE49-F238E27FC236}">
              <a16:creationId xmlns:a16="http://schemas.microsoft.com/office/drawing/2014/main" id="{00000000-0008-0000-0100-000069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5482" name="Drop Down -1022" hidden="1">
          <a:extLst>
            <a:ext uri="{FF2B5EF4-FFF2-40B4-BE49-F238E27FC236}">
              <a16:creationId xmlns:a16="http://schemas.microsoft.com/office/drawing/2014/main" id="{00000000-0008-0000-0100-00006A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5483" name="Drop Down 1" hidden="1">
          <a:extLst>
            <a:ext uri="{FF2B5EF4-FFF2-40B4-BE49-F238E27FC236}">
              <a16:creationId xmlns:a16="http://schemas.microsoft.com/office/drawing/2014/main" id="{00000000-0008-0000-0100-00006B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5484" name="Drop Down 1" hidden="1">
          <a:extLst>
            <a:ext uri="{FF2B5EF4-FFF2-40B4-BE49-F238E27FC236}">
              <a16:creationId xmlns:a16="http://schemas.microsoft.com/office/drawing/2014/main" id="{00000000-0008-0000-0100-00006C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5485" name="Drop Down 1" hidden="1">
          <a:extLst>
            <a:ext uri="{FF2B5EF4-FFF2-40B4-BE49-F238E27FC236}">
              <a16:creationId xmlns:a16="http://schemas.microsoft.com/office/drawing/2014/main" id="{00000000-0008-0000-0100-00006D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5486" name="Drop Down 1" hidden="1">
          <a:extLst>
            <a:ext uri="{FF2B5EF4-FFF2-40B4-BE49-F238E27FC236}">
              <a16:creationId xmlns:a16="http://schemas.microsoft.com/office/drawing/2014/main" id="{00000000-0008-0000-0100-00006E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5487" name="Drop Down 2" hidden="1">
          <a:extLst>
            <a:ext uri="{FF2B5EF4-FFF2-40B4-BE49-F238E27FC236}">
              <a16:creationId xmlns:a16="http://schemas.microsoft.com/office/drawing/2014/main" id="{00000000-0008-0000-0100-00006F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5488" name="Drop Down 1" hidden="1">
          <a:extLst>
            <a:ext uri="{FF2B5EF4-FFF2-40B4-BE49-F238E27FC236}">
              <a16:creationId xmlns:a16="http://schemas.microsoft.com/office/drawing/2014/main" id="{00000000-0008-0000-0100-000070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5489" name="Drop Down -1022" hidden="1">
          <a:extLst>
            <a:ext uri="{FF2B5EF4-FFF2-40B4-BE49-F238E27FC236}">
              <a16:creationId xmlns:a16="http://schemas.microsoft.com/office/drawing/2014/main" id="{00000000-0008-0000-0100-000071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90" name="Drop Down 1" hidden="1">
          <a:extLst>
            <a:ext uri="{FF2B5EF4-FFF2-40B4-BE49-F238E27FC236}">
              <a16:creationId xmlns:a16="http://schemas.microsoft.com/office/drawing/2014/main" id="{00000000-0008-0000-0100-000072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91" name="Drop Down 1" hidden="1">
          <a:extLst>
            <a:ext uri="{FF2B5EF4-FFF2-40B4-BE49-F238E27FC236}">
              <a16:creationId xmlns:a16="http://schemas.microsoft.com/office/drawing/2014/main" id="{00000000-0008-0000-0100-000073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92" name="Drop Down 1" hidden="1">
          <a:extLst>
            <a:ext uri="{FF2B5EF4-FFF2-40B4-BE49-F238E27FC236}">
              <a16:creationId xmlns:a16="http://schemas.microsoft.com/office/drawing/2014/main" id="{00000000-0008-0000-0100-000074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93" name="Drop Down 1" hidden="1">
          <a:extLst>
            <a:ext uri="{FF2B5EF4-FFF2-40B4-BE49-F238E27FC236}">
              <a16:creationId xmlns:a16="http://schemas.microsoft.com/office/drawing/2014/main" id="{00000000-0008-0000-0100-000075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94" name="Drop Down 2" hidden="1">
          <a:extLst>
            <a:ext uri="{FF2B5EF4-FFF2-40B4-BE49-F238E27FC236}">
              <a16:creationId xmlns:a16="http://schemas.microsoft.com/office/drawing/2014/main" id="{00000000-0008-0000-0100-000076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95" name="Drop Down 1" hidden="1">
          <a:extLst>
            <a:ext uri="{FF2B5EF4-FFF2-40B4-BE49-F238E27FC236}">
              <a16:creationId xmlns:a16="http://schemas.microsoft.com/office/drawing/2014/main" id="{00000000-0008-0000-0100-000077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496" name="Drop Down -1022" hidden="1">
          <a:extLst>
            <a:ext uri="{FF2B5EF4-FFF2-40B4-BE49-F238E27FC236}">
              <a16:creationId xmlns:a16="http://schemas.microsoft.com/office/drawing/2014/main" id="{00000000-0008-0000-0100-000078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97" name="Drop Down 1" hidden="1">
          <a:extLst>
            <a:ext uri="{FF2B5EF4-FFF2-40B4-BE49-F238E27FC236}">
              <a16:creationId xmlns:a16="http://schemas.microsoft.com/office/drawing/2014/main" id="{00000000-0008-0000-0100-000079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98" name="Drop Down 1" hidden="1">
          <a:extLst>
            <a:ext uri="{FF2B5EF4-FFF2-40B4-BE49-F238E27FC236}">
              <a16:creationId xmlns:a16="http://schemas.microsoft.com/office/drawing/2014/main" id="{00000000-0008-0000-0100-00007A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499" name="Drop Down 1" hidden="1">
          <a:extLst>
            <a:ext uri="{FF2B5EF4-FFF2-40B4-BE49-F238E27FC236}">
              <a16:creationId xmlns:a16="http://schemas.microsoft.com/office/drawing/2014/main" id="{00000000-0008-0000-0100-00007B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00" name="Drop Down 1" hidden="1">
          <a:extLst>
            <a:ext uri="{FF2B5EF4-FFF2-40B4-BE49-F238E27FC236}">
              <a16:creationId xmlns:a16="http://schemas.microsoft.com/office/drawing/2014/main" id="{00000000-0008-0000-0100-00007C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01" name="Drop Down 2" hidden="1">
          <a:extLst>
            <a:ext uri="{FF2B5EF4-FFF2-40B4-BE49-F238E27FC236}">
              <a16:creationId xmlns:a16="http://schemas.microsoft.com/office/drawing/2014/main" id="{00000000-0008-0000-0100-00007D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02" name="Drop Down 1" hidden="1">
          <a:extLst>
            <a:ext uri="{FF2B5EF4-FFF2-40B4-BE49-F238E27FC236}">
              <a16:creationId xmlns:a16="http://schemas.microsoft.com/office/drawing/2014/main" id="{00000000-0008-0000-0100-00007E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03" name="Drop Down -1022" hidden="1">
          <a:extLst>
            <a:ext uri="{FF2B5EF4-FFF2-40B4-BE49-F238E27FC236}">
              <a16:creationId xmlns:a16="http://schemas.microsoft.com/office/drawing/2014/main" id="{00000000-0008-0000-0100-00007F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04" name="Drop Down 1" hidden="1">
          <a:extLst>
            <a:ext uri="{FF2B5EF4-FFF2-40B4-BE49-F238E27FC236}">
              <a16:creationId xmlns:a16="http://schemas.microsoft.com/office/drawing/2014/main" id="{00000000-0008-0000-0100-00008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05" name="Drop Down 1" hidden="1">
          <a:extLst>
            <a:ext uri="{FF2B5EF4-FFF2-40B4-BE49-F238E27FC236}">
              <a16:creationId xmlns:a16="http://schemas.microsoft.com/office/drawing/2014/main" id="{00000000-0008-0000-0100-00008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06" name="Drop Down 1" hidden="1">
          <a:extLst>
            <a:ext uri="{FF2B5EF4-FFF2-40B4-BE49-F238E27FC236}">
              <a16:creationId xmlns:a16="http://schemas.microsoft.com/office/drawing/2014/main" id="{00000000-0008-0000-0100-00008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07" name="Drop Down 1" hidden="1">
          <a:extLst>
            <a:ext uri="{FF2B5EF4-FFF2-40B4-BE49-F238E27FC236}">
              <a16:creationId xmlns:a16="http://schemas.microsoft.com/office/drawing/2014/main" id="{00000000-0008-0000-0100-00008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08" name="Drop Down 2" hidden="1">
          <a:extLst>
            <a:ext uri="{FF2B5EF4-FFF2-40B4-BE49-F238E27FC236}">
              <a16:creationId xmlns:a16="http://schemas.microsoft.com/office/drawing/2014/main" id="{00000000-0008-0000-0100-00008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09" name="Drop Down 1" hidden="1">
          <a:extLst>
            <a:ext uri="{FF2B5EF4-FFF2-40B4-BE49-F238E27FC236}">
              <a16:creationId xmlns:a16="http://schemas.microsoft.com/office/drawing/2014/main" id="{00000000-0008-0000-0100-00008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10" name="Drop Down -1022" hidden="1">
          <a:extLst>
            <a:ext uri="{FF2B5EF4-FFF2-40B4-BE49-F238E27FC236}">
              <a16:creationId xmlns:a16="http://schemas.microsoft.com/office/drawing/2014/main" id="{00000000-0008-0000-0100-00008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11" name="Drop Down 1" hidden="1">
          <a:extLst>
            <a:ext uri="{FF2B5EF4-FFF2-40B4-BE49-F238E27FC236}">
              <a16:creationId xmlns:a16="http://schemas.microsoft.com/office/drawing/2014/main" id="{00000000-0008-0000-0100-00008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12" name="Drop Down 1" hidden="1">
          <a:extLst>
            <a:ext uri="{FF2B5EF4-FFF2-40B4-BE49-F238E27FC236}">
              <a16:creationId xmlns:a16="http://schemas.microsoft.com/office/drawing/2014/main" id="{00000000-0008-0000-0100-00008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13" name="Drop Down 1" hidden="1">
          <a:extLst>
            <a:ext uri="{FF2B5EF4-FFF2-40B4-BE49-F238E27FC236}">
              <a16:creationId xmlns:a16="http://schemas.microsoft.com/office/drawing/2014/main" id="{00000000-0008-0000-0100-00008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14" name="Drop Down 1" hidden="1">
          <a:extLst>
            <a:ext uri="{FF2B5EF4-FFF2-40B4-BE49-F238E27FC236}">
              <a16:creationId xmlns:a16="http://schemas.microsoft.com/office/drawing/2014/main" id="{00000000-0008-0000-0100-00008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15" name="Drop Down 2" hidden="1">
          <a:extLst>
            <a:ext uri="{FF2B5EF4-FFF2-40B4-BE49-F238E27FC236}">
              <a16:creationId xmlns:a16="http://schemas.microsoft.com/office/drawing/2014/main" id="{00000000-0008-0000-0100-00008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16" name="Drop Down 1" hidden="1">
          <a:extLst>
            <a:ext uri="{FF2B5EF4-FFF2-40B4-BE49-F238E27FC236}">
              <a16:creationId xmlns:a16="http://schemas.microsoft.com/office/drawing/2014/main" id="{00000000-0008-0000-0100-00008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17" name="Drop Down -1022" hidden="1">
          <a:extLst>
            <a:ext uri="{FF2B5EF4-FFF2-40B4-BE49-F238E27FC236}">
              <a16:creationId xmlns:a16="http://schemas.microsoft.com/office/drawing/2014/main" id="{00000000-0008-0000-0100-00008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18" name="Drop Down 1" hidden="1">
          <a:extLst>
            <a:ext uri="{FF2B5EF4-FFF2-40B4-BE49-F238E27FC236}">
              <a16:creationId xmlns:a16="http://schemas.microsoft.com/office/drawing/2014/main" id="{00000000-0008-0000-0100-00008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19" name="Drop Down 1" hidden="1">
          <a:extLst>
            <a:ext uri="{FF2B5EF4-FFF2-40B4-BE49-F238E27FC236}">
              <a16:creationId xmlns:a16="http://schemas.microsoft.com/office/drawing/2014/main" id="{00000000-0008-0000-0100-00008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20" name="Drop Down 1" hidden="1">
          <a:extLst>
            <a:ext uri="{FF2B5EF4-FFF2-40B4-BE49-F238E27FC236}">
              <a16:creationId xmlns:a16="http://schemas.microsoft.com/office/drawing/2014/main" id="{00000000-0008-0000-0100-00009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21" name="Drop Down 1" hidden="1">
          <a:extLst>
            <a:ext uri="{FF2B5EF4-FFF2-40B4-BE49-F238E27FC236}">
              <a16:creationId xmlns:a16="http://schemas.microsoft.com/office/drawing/2014/main" id="{00000000-0008-0000-0100-00009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22" name="Drop Down 2" hidden="1">
          <a:extLst>
            <a:ext uri="{FF2B5EF4-FFF2-40B4-BE49-F238E27FC236}">
              <a16:creationId xmlns:a16="http://schemas.microsoft.com/office/drawing/2014/main" id="{00000000-0008-0000-0100-00009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23" name="Drop Down 1" hidden="1">
          <a:extLst>
            <a:ext uri="{FF2B5EF4-FFF2-40B4-BE49-F238E27FC236}">
              <a16:creationId xmlns:a16="http://schemas.microsoft.com/office/drawing/2014/main" id="{00000000-0008-0000-0100-00009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24" name="Drop Down -1022" hidden="1">
          <a:extLst>
            <a:ext uri="{FF2B5EF4-FFF2-40B4-BE49-F238E27FC236}">
              <a16:creationId xmlns:a16="http://schemas.microsoft.com/office/drawing/2014/main" id="{00000000-0008-0000-0100-00009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25" name="Drop Down 1" hidden="1">
          <a:extLst>
            <a:ext uri="{FF2B5EF4-FFF2-40B4-BE49-F238E27FC236}">
              <a16:creationId xmlns:a16="http://schemas.microsoft.com/office/drawing/2014/main" id="{00000000-0008-0000-0100-00009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26" name="Drop Down 1" hidden="1">
          <a:extLst>
            <a:ext uri="{FF2B5EF4-FFF2-40B4-BE49-F238E27FC236}">
              <a16:creationId xmlns:a16="http://schemas.microsoft.com/office/drawing/2014/main" id="{00000000-0008-0000-0100-00009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27" name="Drop Down 1" hidden="1">
          <a:extLst>
            <a:ext uri="{FF2B5EF4-FFF2-40B4-BE49-F238E27FC236}">
              <a16:creationId xmlns:a16="http://schemas.microsoft.com/office/drawing/2014/main" id="{00000000-0008-0000-0100-00009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28" name="Drop Down 1" hidden="1">
          <a:extLst>
            <a:ext uri="{FF2B5EF4-FFF2-40B4-BE49-F238E27FC236}">
              <a16:creationId xmlns:a16="http://schemas.microsoft.com/office/drawing/2014/main" id="{00000000-0008-0000-0100-00009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29" name="Drop Down 2" hidden="1">
          <a:extLst>
            <a:ext uri="{FF2B5EF4-FFF2-40B4-BE49-F238E27FC236}">
              <a16:creationId xmlns:a16="http://schemas.microsoft.com/office/drawing/2014/main" id="{00000000-0008-0000-0100-00009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30" name="Drop Down 1" hidden="1">
          <a:extLst>
            <a:ext uri="{FF2B5EF4-FFF2-40B4-BE49-F238E27FC236}">
              <a16:creationId xmlns:a16="http://schemas.microsoft.com/office/drawing/2014/main" id="{00000000-0008-0000-0100-00009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31" name="Drop Down -1022" hidden="1">
          <a:extLst>
            <a:ext uri="{FF2B5EF4-FFF2-40B4-BE49-F238E27FC236}">
              <a16:creationId xmlns:a16="http://schemas.microsoft.com/office/drawing/2014/main" id="{00000000-0008-0000-0100-00009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32" name="Drop Down 1" hidden="1">
          <a:extLst>
            <a:ext uri="{FF2B5EF4-FFF2-40B4-BE49-F238E27FC236}">
              <a16:creationId xmlns:a16="http://schemas.microsoft.com/office/drawing/2014/main" id="{00000000-0008-0000-0100-00009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33" name="Drop Down 1" hidden="1">
          <a:extLst>
            <a:ext uri="{FF2B5EF4-FFF2-40B4-BE49-F238E27FC236}">
              <a16:creationId xmlns:a16="http://schemas.microsoft.com/office/drawing/2014/main" id="{00000000-0008-0000-0100-00009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34" name="Drop Down 1" hidden="1">
          <a:extLst>
            <a:ext uri="{FF2B5EF4-FFF2-40B4-BE49-F238E27FC236}">
              <a16:creationId xmlns:a16="http://schemas.microsoft.com/office/drawing/2014/main" id="{00000000-0008-0000-0100-00009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35" name="Drop Down 1" hidden="1">
          <a:extLst>
            <a:ext uri="{FF2B5EF4-FFF2-40B4-BE49-F238E27FC236}">
              <a16:creationId xmlns:a16="http://schemas.microsoft.com/office/drawing/2014/main" id="{00000000-0008-0000-0100-00009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36" name="Drop Down 2" hidden="1">
          <a:extLst>
            <a:ext uri="{FF2B5EF4-FFF2-40B4-BE49-F238E27FC236}">
              <a16:creationId xmlns:a16="http://schemas.microsoft.com/office/drawing/2014/main" id="{00000000-0008-0000-0100-0000A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37" name="Drop Down 1" hidden="1">
          <a:extLst>
            <a:ext uri="{FF2B5EF4-FFF2-40B4-BE49-F238E27FC236}">
              <a16:creationId xmlns:a16="http://schemas.microsoft.com/office/drawing/2014/main" id="{00000000-0008-0000-0100-0000A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38" name="Drop Down -1022" hidden="1">
          <a:extLst>
            <a:ext uri="{FF2B5EF4-FFF2-40B4-BE49-F238E27FC236}">
              <a16:creationId xmlns:a16="http://schemas.microsoft.com/office/drawing/2014/main" id="{00000000-0008-0000-0100-0000A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39" name="Drop Down 1" hidden="1">
          <a:extLst>
            <a:ext uri="{FF2B5EF4-FFF2-40B4-BE49-F238E27FC236}">
              <a16:creationId xmlns:a16="http://schemas.microsoft.com/office/drawing/2014/main" id="{00000000-0008-0000-0100-0000A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40" name="Drop Down 1" hidden="1">
          <a:extLst>
            <a:ext uri="{FF2B5EF4-FFF2-40B4-BE49-F238E27FC236}">
              <a16:creationId xmlns:a16="http://schemas.microsoft.com/office/drawing/2014/main" id="{00000000-0008-0000-0100-0000A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41" name="Drop Down 1" hidden="1">
          <a:extLst>
            <a:ext uri="{FF2B5EF4-FFF2-40B4-BE49-F238E27FC236}">
              <a16:creationId xmlns:a16="http://schemas.microsoft.com/office/drawing/2014/main" id="{00000000-0008-0000-0100-0000A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42" name="Drop Down 1" hidden="1">
          <a:extLst>
            <a:ext uri="{FF2B5EF4-FFF2-40B4-BE49-F238E27FC236}">
              <a16:creationId xmlns:a16="http://schemas.microsoft.com/office/drawing/2014/main" id="{00000000-0008-0000-0100-0000A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43" name="Drop Down 2" hidden="1">
          <a:extLst>
            <a:ext uri="{FF2B5EF4-FFF2-40B4-BE49-F238E27FC236}">
              <a16:creationId xmlns:a16="http://schemas.microsoft.com/office/drawing/2014/main" id="{00000000-0008-0000-0100-0000A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44" name="Drop Down 1" hidden="1">
          <a:extLst>
            <a:ext uri="{FF2B5EF4-FFF2-40B4-BE49-F238E27FC236}">
              <a16:creationId xmlns:a16="http://schemas.microsoft.com/office/drawing/2014/main" id="{00000000-0008-0000-0100-0000A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45" name="Drop Down -1022" hidden="1">
          <a:extLst>
            <a:ext uri="{FF2B5EF4-FFF2-40B4-BE49-F238E27FC236}">
              <a16:creationId xmlns:a16="http://schemas.microsoft.com/office/drawing/2014/main" id="{00000000-0008-0000-0100-0000A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46" name="Drop Down 1" hidden="1">
          <a:extLst>
            <a:ext uri="{FF2B5EF4-FFF2-40B4-BE49-F238E27FC236}">
              <a16:creationId xmlns:a16="http://schemas.microsoft.com/office/drawing/2014/main" id="{00000000-0008-0000-0100-0000A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47" name="Drop Down 1" hidden="1">
          <a:extLst>
            <a:ext uri="{FF2B5EF4-FFF2-40B4-BE49-F238E27FC236}">
              <a16:creationId xmlns:a16="http://schemas.microsoft.com/office/drawing/2014/main" id="{00000000-0008-0000-0100-0000A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48" name="Drop Down 1" hidden="1">
          <a:extLst>
            <a:ext uri="{FF2B5EF4-FFF2-40B4-BE49-F238E27FC236}">
              <a16:creationId xmlns:a16="http://schemas.microsoft.com/office/drawing/2014/main" id="{00000000-0008-0000-0100-0000A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49" name="Drop Down 1" hidden="1">
          <a:extLst>
            <a:ext uri="{FF2B5EF4-FFF2-40B4-BE49-F238E27FC236}">
              <a16:creationId xmlns:a16="http://schemas.microsoft.com/office/drawing/2014/main" id="{00000000-0008-0000-0100-0000A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50" name="Drop Down 2" hidden="1">
          <a:extLst>
            <a:ext uri="{FF2B5EF4-FFF2-40B4-BE49-F238E27FC236}">
              <a16:creationId xmlns:a16="http://schemas.microsoft.com/office/drawing/2014/main" id="{00000000-0008-0000-0100-0000A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51" name="Drop Down 1" hidden="1">
          <a:extLst>
            <a:ext uri="{FF2B5EF4-FFF2-40B4-BE49-F238E27FC236}">
              <a16:creationId xmlns:a16="http://schemas.microsoft.com/office/drawing/2014/main" id="{00000000-0008-0000-0100-0000A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52" name="Drop Down -1022" hidden="1">
          <a:extLst>
            <a:ext uri="{FF2B5EF4-FFF2-40B4-BE49-F238E27FC236}">
              <a16:creationId xmlns:a16="http://schemas.microsoft.com/office/drawing/2014/main" id="{00000000-0008-0000-0100-0000B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53" name="Drop Down 1" hidden="1">
          <a:extLst>
            <a:ext uri="{FF2B5EF4-FFF2-40B4-BE49-F238E27FC236}">
              <a16:creationId xmlns:a16="http://schemas.microsoft.com/office/drawing/2014/main" id="{00000000-0008-0000-0100-0000B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54" name="Drop Down 1" hidden="1">
          <a:extLst>
            <a:ext uri="{FF2B5EF4-FFF2-40B4-BE49-F238E27FC236}">
              <a16:creationId xmlns:a16="http://schemas.microsoft.com/office/drawing/2014/main" id="{00000000-0008-0000-0100-0000B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55" name="Drop Down 1" hidden="1">
          <a:extLst>
            <a:ext uri="{FF2B5EF4-FFF2-40B4-BE49-F238E27FC236}">
              <a16:creationId xmlns:a16="http://schemas.microsoft.com/office/drawing/2014/main" id="{00000000-0008-0000-0100-0000B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56" name="Drop Down 1" hidden="1">
          <a:extLst>
            <a:ext uri="{FF2B5EF4-FFF2-40B4-BE49-F238E27FC236}">
              <a16:creationId xmlns:a16="http://schemas.microsoft.com/office/drawing/2014/main" id="{00000000-0008-0000-0100-0000B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57" name="Drop Down 2" hidden="1">
          <a:extLst>
            <a:ext uri="{FF2B5EF4-FFF2-40B4-BE49-F238E27FC236}">
              <a16:creationId xmlns:a16="http://schemas.microsoft.com/office/drawing/2014/main" id="{00000000-0008-0000-0100-0000B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58" name="Drop Down 1" hidden="1">
          <a:extLst>
            <a:ext uri="{FF2B5EF4-FFF2-40B4-BE49-F238E27FC236}">
              <a16:creationId xmlns:a16="http://schemas.microsoft.com/office/drawing/2014/main" id="{00000000-0008-0000-0100-0000B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59" name="Drop Down -1022" hidden="1">
          <a:extLst>
            <a:ext uri="{FF2B5EF4-FFF2-40B4-BE49-F238E27FC236}">
              <a16:creationId xmlns:a16="http://schemas.microsoft.com/office/drawing/2014/main" id="{00000000-0008-0000-0100-0000B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60" name="Drop Down 1" hidden="1">
          <a:extLst>
            <a:ext uri="{FF2B5EF4-FFF2-40B4-BE49-F238E27FC236}">
              <a16:creationId xmlns:a16="http://schemas.microsoft.com/office/drawing/2014/main" id="{00000000-0008-0000-0100-0000B8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61" name="Drop Down 1" hidden="1">
          <a:extLst>
            <a:ext uri="{FF2B5EF4-FFF2-40B4-BE49-F238E27FC236}">
              <a16:creationId xmlns:a16="http://schemas.microsoft.com/office/drawing/2014/main" id="{00000000-0008-0000-0100-0000B9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62" name="Drop Down 1" hidden="1">
          <a:extLst>
            <a:ext uri="{FF2B5EF4-FFF2-40B4-BE49-F238E27FC236}">
              <a16:creationId xmlns:a16="http://schemas.microsoft.com/office/drawing/2014/main" id="{00000000-0008-0000-0100-0000BA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63" name="Drop Down 1" hidden="1">
          <a:extLst>
            <a:ext uri="{FF2B5EF4-FFF2-40B4-BE49-F238E27FC236}">
              <a16:creationId xmlns:a16="http://schemas.microsoft.com/office/drawing/2014/main" id="{00000000-0008-0000-0100-0000BB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64" name="Drop Down 2" hidden="1">
          <a:extLst>
            <a:ext uri="{FF2B5EF4-FFF2-40B4-BE49-F238E27FC236}">
              <a16:creationId xmlns:a16="http://schemas.microsoft.com/office/drawing/2014/main" id="{00000000-0008-0000-0100-0000BC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65" name="Drop Down 1" hidden="1">
          <a:extLst>
            <a:ext uri="{FF2B5EF4-FFF2-40B4-BE49-F238E27FC236}">
              <a16:creationId xmlns:a16="http://schemas.microsoft.com/office/drawing/2014/main" id="{00000000-0008-0000-0100-0000BD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66" name="Drop Down -1022" hidden="1">
          <a:extLst>
            <a:ext uri="{FF2B5EF4-FFF2-40B4-BE49-F238E27FC236}">
              <a16:creationId xmlns:a16="http://schemas.microsoft.com/office/drawing/2014/main" id="{00000000-0008-0000-0100-0000BE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67" name="Drop Down 1" hidden="1">
          <a:extLst>
            <a:ext uri="{FF2B5EF4-FFF2-40B4-BE49-F238E27FC236}">
              <a16:creationId xmlns:a16="http://schemas.microsoft.com/office/drawing/2014/main" id="{00000000-0008-0000-0100-0000BF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68" name="Drop Down 1" hidden="1">
          <a:extLst>
            <a:ext uri="{FF2B5EF4-FFF2-40B4-BE49-F238E27FC236}">
              <a16:creationId xmlns:a16="http://schemas.microsoft.com/office/drawing/2014/main" id="{00000000-0008-0000-0100-0000C0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69" name="Drop Down 1" hidden="1">
          <a:extLst>
            <a:ext uri="{FF2B5EF4-FFF2-40B4-BE49-F238E27FC236}">
              <a16:creationId xmlns:a16="http://schemas.microsoft.com/office/drawing/2014/main" id="{00000000-0008-0000-0100-0000C1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70" name="Drop Down 1" hidden="1">
          <a:extLst>
            <a:ext uri="{FF2B5EF4-FFF2-40B4-BE49-F238E27FC236}">
              <a16:creationId xmlns:a16="http://schemas.microsoft.com/office/drawing/2014/main" id="{00000000-0008-0000-0100-0000C2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71" name="Drop Down 2" hidden="1">
          <a:extLst>
            <a:ext uri="{FF2B5EF4-FFF2-40B4-BE49-F238E27FC236}">
              <a16:creationId xmlns:a16="http://schemas.microsoft.com/office/drawing/2014/main" id="{00000000-0008-0000-0100-0000C3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72" name="Drop Down 1" hidden="1">
          <a:extLst>
            <a:ext uri="{FF2B5EF4-FFF2-40B4-BE49-F238E27FC236}">
              <a16:creationId xmlns:a16="http://schemas.microsoft.com/office/drawing/2014/main" id="{00000000-0008-0000-0100-0000C4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73" name="Drop Down -1022" hidden="1">
          <a:extLst>
            <a:ext uri="{FF2B5EF4-FFF2-40B4-BE49-F238E27FC236}">
              <a16:creationId xmlns:a16="http://schemas.microsoft.com/office/drawing/2014/main" id="{00000000-0008-0000-0100-0000C5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74" name="Drop Down 1" hidden="1">
          <a:extLst>
            <a:ext uri="{FF2B5EF4-FFF2-40B4-BE49-F238E27FC236}">
              <a16:creationId xmlns:a16="http://schemas.microsoft.com/office/drawing/2014/main" id="{00000000-0008-0000-0100-0000C6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75" name="Drop Down 1" hidden="1">
          <a:extLst>
            <a:ext uri="{FF2B5EF4-FFF2-40B4-BE49-F238E27FC236}">
              <a16:creationId xmlns:a16="http://schemas.microsoft.com/office/drawing/2014/main" id="{00000000-0008-0000-0100-0000C7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76" name="Drop Down 1" hidden="1">
          <a:extLst>
            <a:ext uri="{FF2B5EF4-FFF2-40B4-BE49-F238E27FC236}">
              <a16:creationId xmlns:a16="http://schemas.microsoft.com/office/drawing/2014/main" id="{00000000-0008-0000-0100-0000C8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77" name="Drop Down 1" hidden="1">
          <a:extLst>
            <a:ext uri="{FF2B5EF4-FFF2-40B4-BE49-F238E27FC236}">
              <a16:creationId xmlns:a16="http://schemas.microsoft.com/office/drawing/2014/main" id="{00000000-0008-0000-0100-0000C9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78" name="Drop Down 2" hidden="1">
          <a:extLst>
            <a:ext uri="{FF2B5EF4-FFF2-40B4-BE49-F238E27FC236}">
              <a16:creationId xmlns:a16="http://schemas.microsoft.com/office/drawing/2014/main" id="{00000000-0008-0000-0100-0000CA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79" name="Drop Down 1" hidden="1">
          <a:extLst>
            <a:ext uri="{FF2B5EF4-FFF2-40B4-BE49-F238E27FC236}">
              <a16:creationId xmlns:a16="http://schemas.microsoft.com/office/drawing/2014/main" id="{00000000-0008-0000-0100-0000CB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580" name="Drop Down -1022" hidden="1">
          <a:extLst>
            <a:ext uri="{FF2B5EF4-FFF2-40B4-BE49-F238E27FC236}">
              <a16:creationId xmlns:a16="http://schemas.microsoft.com/office/drawing/2014/main" id="{00000000-0008-0000-0100-0000CC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81" name="Drop Down 1" hidden="1">
          <a:extLst>
            <a:ext uri="{FF2B5EF4-FFF2-40B4-BE49-F238E27FC236}">
              <a16:creationId xmlns:a16="http://schemas.microsoft.com/office/drawing/2014/main" id="{00000000-0008-0000-0100-0000CD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82" name="Drop Down 1" hidden="1">
          <a:extLst>
            <a:ext uri="{FF2B5EF4-FFF2-40B4-BE49-F238E27FC236}">
              <a16:creationId xmlns:a16="http://schemas.microsoft.com/office/drawing/2014/main" id="{00000000-0008-0000-0100-0000CE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83" name="Drop Down 1" hidden="1">
          <a:extLst>
            <a:ext uri="{FF2B5EF4-FFF2-40B4-BE49-F238E27FC236}">
              <a16:creationId xmlns:a16="http://schemas.microsoft.com/office/drawing/2014/main" id="{00000000-0008-0000-0100-0000CF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84" name="Drop Down 1" hidden="1">
          <a:extLst>
            <a:ext uri="{FF2B5EF4-FFF2-40B4-BE49-F238E27FC236}">
              <a16:creationId xmlns:a16="http://schemas.microsoft.com/office/drawing/2014/main" id="{00000000-0008-0000-0100-0000D0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85" name="Drop Down 2" hidden="1">
          <a:extLst>
            <a:ext uri="{FF2B5EF4-FFF2-40B4-BE49-F238E27FC236}">
              <a16:creationId xmlns:a16="http://schemas.microsoft.com/office/drawing/2014/main" id="{00000000-0008-0000-0100-0000D1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86" name="Drop Down 1" hidden="1">
          <a:extLst>
            <a:ext uri="{FF2B5EF4-FFF2-40B4-BE49-F238E27FC236}">
              <a16:creationId xmlns:a16="http://schemas.microsoft.com/office/drawing/2014/main" id="{00000000-0008-0000-0100-0000D2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587" name="Drop Down -1022" hidden="1">
          <a:extLst>
            <a:ext uri="{FF2B5EF4-FFF2-40B4-BE49-F238E27FC236}">
              <a16:creationId xmlns:a16="http://schemas.microsoft.com/office/drawing/2014/main" id="{00000000-0008-0000-0100-0000D3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88" name="Drop Down 1" hidden="1">
          <a:extLst>
            <a:ext uri="{FF2B5EF4-FFF2-40B4-BE49-F238E27FC236}">
              <a16:creationId xmlns:a16="http://schemas.microsoft.com/office/drawing/2014/main" id="{00000000-0008-0000-0100-0000D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89" name="Drop Down 1" hidden="1">
          <a:extLst>
            <a:ext uri="{FF2B5EF4-FFF2-40B4-BE49-F238E27FC236}">
              <a16:creationId xmlns:a16="http://schemas.microsoft.com/office/drawing/2014/main" id="{00000000-0008-0000-0100-0000D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90" name="Drop Down 1" hidden="1">
          <a:extLst>
            <a:ext uri="{FF2B5EF4-FFF2-40B4-BE49-F238E27FC236}">
              <a16:creationId xmlns:a16="http://schemas.microsoft.com/office/drawing/2014/main" id="{00000000-0008-0000-0100-0000D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91" name="Drop Down 1" hidden="1">
          <a:extLst>
            <a:ext uri="{FF2B5EF4-FFF2-40B4-BE49-F238E27FC236}">
              <a16:creationId xmlns:a16="http://schemas.microsoft.com/office/drawing/2014/main" id="{00000000-0008-0000-0100-0000D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92" name="Drop Down 2" hidden="1">
          <a:extLst>
            <a:ext uri="{FF2B5EF4-FFF2-40B4-BE49-F238E27FC236}">
              <a16:creationId xmlns:a16="http://schemas.microsoft.com/office/drawing/2014/main" id="{00000000-0008-0000-0100-0000D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93" name="Drop Down 1" hidden="1">
          <a:extLst>
            <a:ext uri="{FF2B5EF4-FFF2-40B4-BE49-F238E27FC236}">
              <a16:creationId xmlns:a16="http://schemas.microsoft.com/office/drawing/2014/main" id="{00000000-0008-0000-0100-0000D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594" name="Drop Down -1022" hidden="1">
          <a:extLst>
            <a:ext uri="{FF2B5EF4-FFF2-40B4-BE49-F238E27FC236}">
              <a16:creationId xmlns:a16="http://schemas.microsoft.com/office/drawing/2014/main" id="{00000000-0008-0000-0100-0000D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95" name="Drop Down 1" hidden="1">
          <a:extLst>
            <a:ext uri="{FF2B5EF4-FFF2-40B4-BE49-F238E27FC236}">
              <a16:creationId xmlns:a16="http://schemas.microsoft.com/office/drawing/2014/main" id="{00000000-0008-0000-0100-0000D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96" name="Drop Down 1" hidden="1">
          <a:extLst>
            <a:ext uri="{FF2B5EF4-FFF2-40B4-BE49-F238E27FC236}">
              <a16:creationId xmlns:a16="http://schemas.microsoft.com/office/drawing/2014/main" id="{00000000-0008-0000-0100-0000D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97" name="Drop Down 1" hidden="1">
          <a:extLst>
            <a:ext uri="{FF2B5EF4-FFF2-40B4-BE49-F238E27FC236}">
              <a16:creationId xmlns:a16="http://schemas.microsoft.com/office/drawing/2014/main" id="{00000000-0008-0000-0100-0000D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98" name="Drop Down 1" hidden="1">
          <a:extLst>
            <a:ext uri="{FF2B5EF4-FFF2-40B4-BE49-F238E27FC236}">
              <a16:creationId xmlns:a16="http://schemas.microsoft.com/office/drawing/2014/main" id="{00000000-0008-0000-0100-0000D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599" name="Drop Down 2" hidden="1">
          <a:extLst>
            <a:ext uri="{FF2B5EF4-FFF2-40B4-BE49-F238E27FC236}">
              <a16:creationId xmlns:a16="http://schemas.microsoft.com/office/drawing/2014/main" id="{00000000-0008-0000-0100-0000D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00" name="Drop Down 1" hidden="1">
          <a:extLst>
            <a:ext uri="{FF2B5EF4-FFF2-40B4-BE49-F238E27FC236}">
              <a16:creationId xmlns:a16="http://schemas.microsoft.com/office/drawing/2014/main" id="{00000000-0008-0000-0100-0000E0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01" name="Drop Down -1022" hidden="1">
          <a:extLst>
            <a:ext uri="{FF2B5EF4-FFF2-40B4-BE49-F238E27FC236}">
              <a16:creationId xmlns:a16="http://schemas.microsoft.com/office/drawing/2014/main" id="{00000000-0008-0000-0100-0000E1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02" name="Drop Down 1" hidden="1">
          <a:extLst>
            <a:ext uri="{FF2B5EF4-FFF2-40B4-BE49-F238E27FC236}">
              <a16:creationId xmlns:a16="http://schemas.microsoft.com/office/drawing/2014/main" id="{00000000-0008-0000-0100-0000E2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03" name="Drop Down 1" hidden="1">
          <a:extLst>
            <a:ext uri="{FF2B5EF4-FFF2-40B4-BE49-F238E27FC236}">
              <a16:creationId xmlns:a16="http://schemas.microsoft.com/office/drawing/2014/main" id="{00000000-0008-0000-0100-0000E3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04" name="Drop Down 1" hidden="1">
          <a:extLst>
            <a:ext uri="{FF2B5EF4-FFF2-40B4-BE49-F238E27FC236}">
              <a16:creationId xmlns:a16="http://schemas.microsoft.com/office/drawing/2014/main" id="{00000000-0008-0000-0100-0000E4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05" name="Drop Down 1" hidden="1">
          <a:extLst>
            <a:ext uri="{FF2B5EF4-FFF2-40B4-BE49-F238E27FC236}">
              <a16:creationId xmlns:a16="http://schemas.microsoft.com/office/drawing/2014/main" id="{00000000-0008-0000-0100-0000E5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06" name="Drop Down 2" hidden="1">
          <a:extLst>
            <a:ext uri="{FF2B5EF4-FFF2-40B4-BE49-F238E27FC236}">
              <a16:creationId xmlns:a16="http://schemas.microsoft.com/office/drawing/2014/main" id="{00000000-0008-0000-0100-0000E6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07" name="Drop Down 1" hidden="1">
          <a:extLst>
            <a:ext uri="{FF2B5EF4-FFF2-40B4-BE49-F238E27FC236}">
              <a16:creationId xmlns:a16="http://schemas.microsoft.com/office/drawing/2014/main" id="{00000000-0008-0000-0100-0000E7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08" name="Drop Down -1022" hidden="1">
          <a:extLst>
            <a:ext uri="{FF2B5EF4-FFF2-40B4-BE49-F238E27FC236}">
              <a16:creationId xmlns:a16="http://schemas.microsoft.com/office/drawing/2014/main" id="{00000000-0008-0000-0100-0000E8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09" name="Drop Down 1" hidden="1">
          <a:extLst>
            <a:ext uri="{FF2B5EF4-FFF2-40B4-BE49-F238E27FC236}">
              <a16:creationId xmlns:a16="http://schemas.microsoft.com/office/drawing/2014/main" id="{00000000-0008-0000-0100-0000E9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10" name="Drop Down 1" hidden="1">
          <a:extLst>
            <a:ext uri="{FF2B5EF4-FFF2-40B4-BE49-F238E27FC236}">
              <a16:creationId xmlns:a16="http://schemas.microsoft.com/office/drawing/2014/main" id="{00000000-0008-0000-0100-0000EA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11" name="Drop Down 1" hidden="1">
          <a:extLst>
            <a:ext uri="{FF2B5EF4-FFF2-40B4-BE49-F238E27FC236}">
              <a16:creationId xmlns:a16="http://schemas.microsoft.com/office/drawing/2014/main" id="{00000000-0008-0000-0100-0000EB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12" name="Drop Down 1" hidden="1">
          <a:extLst>
            <a:ext uri="{FF2B5EF4-FFF2-40B4-BE49-F238E27FC236}">
              <a16:creationId xmlns:a16="http://schemas.microsoft.com/office/drawing/2014/main" id="{00000000-0008-0000-0100-0000EC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13" name="Drop Down 2" hidden="1">
          <a:extLst>
            <a:ext uri="{FF2B5EF4-FFF2-40B4-BE49-F238E27FC236}">
              <a16:creationId xmlns:a16="http://schemas.microsoft.com/office/drawing/2014/main" id="{00000000-0008-0000-0100-0000ED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14" name="Drop Down 1" hidden="1">
          <a:extLst>
            <a:ext uri="{FF2B5EF4-FFF2-40B4-BE49-F238E27FC236}">
              <a16:creationId xmlns:a16="http://schemas.microsoft.com/office/drawing/2014/main" id="{00000000-0008-0000-0100-0000EE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15" name="Drop Down -1022" hidden="1">
          <a:extLst>
            <a:ext uri="{FF2B5EF4-FFF2-40B4-BE49-F238E27FC236}">
              <a16:creationId xmlns:a16="http://schemas.microsoft.com/office/drawing/2014/main" id="{00000000-0008-0000-0100-0000EF15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16" name="Drop Down 1" hidden="1">
          <a:extLst>
            <a:ext uri="{FF2B5EF4-FFF2-40B4-BE49-F238E27FC236}">
              <a16:creationId xmlns:a16="http://schemas.microsoft.com/office/drawing/2014/main" id="{00000000-0008-0000-0100-0000F0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17" name="Drop Down 1" hidden="1">
          <a:extLst>
            <a:ext uri="{FF2B5EF4-FFF2-40B4-BE49-F238E27FC236}">
              <a16:creationId xmlns:a16="http://schemas.microsoft.com/office/drawing/2014/main" id="{00000000-0008-0000-0100-0000F1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18" name="Drop Down 1" hidden="1">
          <a:extLst>
            <a:ext uri="{FF2B5EF4-FFF2-40B4-BE49-F238E27FC236}">
              <a16:creationId xmlns:a16="http://schemas.microsoft.com/office/drawing/2014/main" id="{00000000-0008-0000-0100-0000F2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19" name="Drop Down 1" hidden="1">
          <a:extLst>
            <a:ext uri="{FF2B5EF4-FFF2-40B4-BE49-F238E27FC236}">
              <a16:creationId xmlns:a16="http://schemas.microsoft.com/office/drawing/2014/main" id="{00000000-0008-0000-0100-0000F3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20" name="Drop Down 2" hidden="1">
          <a:extLst>
            <a:ext uri="{FF2B5EF4-FFF2-40B4-BE49-F238E27FC236}">
              <a16:creationId xmlns:a16="http://schemas.microsoft.com/office/drawing/2014/main" id="{00000000-0008-0000-0100-0000F4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21" name="Drop Down 1" hidden="1">
          <a:extLst>
            <a:ext uri="{FF2B5EF4-FFF2-40B4-BE49-F238E27FC236}">
              <a16:creationId xmlns:a16="http://schemas.microsoft.com/office/drawing/2014/main" id="{00000000-0008-0000-0100-0000F5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22" name="Drop Down -1022" hidden="1">
          <a:extLst>
            <a:ext uri="{FF2B5EF4-FFF2-40B4-BE49-F238E27FC236}">
              <a16:creationId xmlns:a16="http://schemas.microsoft.com/office/drawing/2014/main" id="{00000000-0008-0000-0100-0000F6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23" name="Drop Down 1" hidden="1">
          <a:extLst>
            <a:ext uri="{FF2B5EF4-FFF2-40B4-BE49-F238E27FC236}">
              <a16:creationId xmlns:a16="http://schemas.microsoft.com/office/drawing/2014/main" id="{00000000-0008-0000-0100-0000F7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24" name="Drop Down 1" hidden="1">
          <a:extLst>
            <a:ext uri="{FF2B5EF4-FFF2-40B4-BE49-F238E27FC236}">
              <a16:creationId xmlns:a16="http://schemas.microsoft.com/office/drawing/2014/main" id="{00000000-0008-0000-0100-0000F8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25" name="Drop Down 1" hidden="1">
          <a:extLst>
            <a:ext uri="{FF2B5EF4-FFF2-40B4-BE49-F238E27FC236}">
              <a16:creationId xmlns:a16="http://schemas.microsoft.com/office/drawing/2014/main" id="{00000000-0008-0000-0100-0000F9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26" name="Drop Down 1" hidden="1">
          <a:extLst>
            <a:ext uri="{FF2B5EF4-FFF2-40B4-BE49-F238E27FC236}">
              <a16:creationId xmlns:a16="http://schemas.microsoft.com/office/drawing/2014/main" id="{00000000-0008-0000-0100-0000FA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27" name="Drop Down 2" hidden="1">
          <a:extLst>
            <a:ext uri="{FF2B5EF4-FFF2-40B4-BE49-F238E27FC236}">
              <a16:creationId xmlns:a16="http://schemas.microsoft.com/office/drawing/2014/main" id="{00000000-0008-0000-0100-0000FB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28" name="Drop Down 1" hidden="1">
          <a:extLst>
            <a:ext uri="{FF2B5EF4-FFF2-40B4-BE49-F238E27FC236}">
              <a16:creationId xmlns:a16="http://schemas.microsoft.com/office/drawing/2014/main" id="{00000000-0008-0000-0100-0000FC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29" name="Drop Down -1022" hidden="1">
          <a:extLst>
            <a:ext uri="{FF2B5EF4-FFF2-40B4-BE49-F238E27FC236}">
              <a16:creationId xmlns:a16="http://schemas.microsoft.com/office/drawing/2014/main" id="{00000000-0008-0000-0100-0000FD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30" name="Drop Down 1" hidden="1">
          <a:extLst>
            <a:ext uri="{FF2B5EF4-FFF2-40B4-BE49-F238E27FC236}">
              <a16:creationId xmlns:a16="http://schemas.microsoft.com/office/drawing/2014/main" id="{00000000-0008-0000-0100-0000FE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31" name="Drop Down 1" hidden="1">
          <a:extLst>
            <a:ext uri="{FF2B5EF4-FFF2-40B4-BE49-F238E27FC236}">
              <a16:creationId xmlns:a16="http://schemas.microsoft.com/office/drawing/2014/main" id="{00000000-0008-0000-0100-0000FF15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32" name="Drop Down 1" hidden="1">
          <a:extLst>
            <a:ext uri="{FF2B5EF4-FFF2-40B4-BE49-F238E27FC236}">
              <a16:creationId xmlns:a16="http://schemas.microsoft.com/office/drawing/2014/main" id="{00000000-0008-0000-0100-000000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33" name="Drop Down 1" hidden="1">
          <a:extLst>
            <a:ext uri="{FF2B5EF4-FFF2-40B4-BE49-F238E27FC236}">
              <a16:creationId xmlns:a16="http://schemas.microsoft.com/office/drawing/2014/main" id="{00000000-0008-0000-0100-000001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34" name="Drop Down 2" hidden="1">
          <a:extLst>
            <a:ext uri="{FF2B5EF4-FFF2-40B4-BE49-F238E27FC236}">
              <a16:creationId xmlns:a16="http://schemas.microsoft.com/office/drawing/2014/main" id="{00000000-0008-0000-0100-000002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35" name="Drop Down 1" hidden="1">
          <a:extLst>
            <a:ext uri="{FF2B5EF4-FFF2-40B4-BE49-F238E27FC236}">
              <a16:creationId xmlns:a16="http://schemas.microsoft.com/office/drawing/2014/main" id="{00000000-0008-0000-0100-000003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36" name="Drop Down -1022" hidden="1">
          <a:extLst>
            <a:ext uri="{FF2B5EF4-FFF2-40B4-BE49-F238E27FC236}">
              <a16:creationId xmlns:a16="http://schemas.microsoft.com/office/drawing/2014/main" id="{00000000-0008-0000-0100-000004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37" name="Drop Down 1" hidden="1">
          <a:extLst>
            <a:ext uri="{FF2B5EF4-FFF2-40B4-BE49-F238E27FC236}">
              <a16:creationId xmlns:a16="http://schemas.microsoft.com/office/drawing/2014/main" id="{00000000-0008-0000-0100-000005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38" name="Drop Down 1" hidden="1">
          <a:extLst>
            <a:ext uri="{FF2B5EF4-FFF2-40B4-BE49-F238E27FC236}">
              <a16:creationId xmlns:a16="http://schemas.microsoft.com/office/drawing/2014/main" id="{00000000-0008-0000-0100-000006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39" name="Drop Down 1" hidden="1">
          <a:extLst>
            <a:ext uri="{FF2B5EF4-FFF2-40B4-BE49-F238E27FC236}">
              <a16:creationId xmlns:a16="http://schemas.microsoft.com/office/drawing/2014/main" id="{00000000-0008-0000-0100-000007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40" name="Drop Down 1" hidden="1">
          <a:extLst>
            <a:ext uri="{FF2B5EF4-FFF2-40B4-BE49-F238E27FC236}">
              <a16:creationId xmlns:a16="http://schemas.microsoft.com/office/drawing/2014/main" id="{00000000-0008-0000-0100-000008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41" name="Drop Down 2" hidden="1">
          <a:extLst>
            <a:ext uri="{FF2B5EF4-FFF2-40B4-BE49-F238E27FC236}">
              <a16:creationId xmlns:a16="http://schemas.microsoft.com/office/drawing/2014/main" id="{00000000-0008-0000-0100-000009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42" name="Drop Down 1" hidden="1">
          <a:extLst>
            <a:ext uri="{FF2B5EF4-FFF2-40B4-BE49-F238E27FC236}">
              <a16:creationId xmlns:a16="http://schemas.microsoft.com/office/drawing/2014/main" id="{00000000-0008-0000-0100-00000A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43" name="Drop Down -1022" hidden="1">
          <a:extLst>
            <a:ext uri="{FF2B5EF4-FFF2-40B4-BE49-F238E27FC236}">
              <a16:creationId xmlns:a16="http://schemas.microsoft.com/office/drawing/2014/main" id="{00000000-0008-0000-0100-00000B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644" name="Drop Down 1" hidden="1">
          <a:extLst>
            <a:ext uri="{FF2B5EF4-FFF2-40B4-BE49-F238E27FC236}">
              <a16:creationId xmlns:a16="http://schemas.microsoft.com/office/drawing/2014/main" id="{00000000-0008-0000-0100-00000C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645" name="Drop Down 1" hidden="1">
          <a:extLst>
            <a:ext uri="{FF2B5EF4-FFF2-40B4-BE49-F238E27FC236}">
              <a16:creationId xmlns:a16="http://schemas.microsoft.com/office/drawing/2014/main" id="{00000000-0008-0000-0100-00000D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646" name="Drop Down 1" hidden="1">
          <a:extLst>
            <a:ext uri="{FF2B5EF4-FFF2-40B4-BE49-F238E27FC236}">
              <a16:creationId xmlns:a16="http://schemas.microsoft.com/office/drawing/2014/main" id="{00000000-0008-0000-0100-00000E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647" name="Drop Down 1" hidden="1">
          <a:extLst>
            <a:ext uri="{FF2B5EF4-FFF2-40B4-BE49-F238E27FC236}">
              <a16:creationId xmlns:a16="http://schemas.microsoft.com/office/drawing/2014/main" id="{00000000-0008-0000-0100-00000F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648" name="Drop Down 2" hidden="1">
          <a:extLst>
            <a:ext uri="{FF2B5EF4-FFF2-40B4-BE49-F238E27FC236}">
              <a16:creationId xmlns:a16="http://schemas.microsoft.com/office/drawing/2014/main" id="{00000000-0008-0000-0100-000010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649" name="Drop Down 1" hidden="1">
          <a:extLst>
            <a:ext uri="{FF2B5EF4-FFF2-40B4-BE49-F238E27FC236}">
              <a16:creationId xmlns:a16="http://schemas.microsoft.com/office/drawing/2014/main" id="{00000000-0008-0000-0100-000011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650" name="Drop Down -1022" hidden="1">
          <a:extLst>
            <a:ext uri="{FF2B5EF4-FFF2-40B4-BE49-F238E27FC236}">
              <a16:creationId xmlns:a16="http://schemas.microsoft.com/office/drawing/2014/main" id="{00000000-0008-0000-0100-000012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651" name="Drop Down 1" hidden="1">
          <a:extLst>
            <a:ext uri="{FF2B5EF4-FFF2-40B4-BE49-F238E27FC236}">
              <a16:creationId xmlns:a16="http://schemas.microsoft.com/office/drawing/2014/main" id="{00000000-0008-0000-0100-000013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652" name="Drop Down 1" hidden="1">
          <a:extLst>
            <a:ext uri="{FF2B5EF4-FFF2-40B4-BE49-F238E27FC236}">
              <a16:creationId xmlns:a16="http://schemas.microsoft.com/office/drawing/2014/main" id="{00000000-0008-0000-0100-000014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653" name="Drop Down 1" hidden="1">
          <a:extLst>
            <a:ext uri="{FF2B5EF4-FFF2-40B4-BE49-F238E27FC236}">
              <a16:creationId xmlns:a16="http://schemas.microsoft.com/office/drawing/2014/main" id="{00000000-0008-0000-0100-000015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654" name="Drop Down 1" hidden="1">
          <a:extLst>
            <a:ext uri="{FF2B5EF4-FFF2-40B4-BE49-F238E27FC236}">
              <a16:creationId xmlns:a16="http://schemas.microsoft.com/office/drawing/2014/main" id="{00000000-0008-0000-0100-000016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655" name="Drop Down 2" hidden="1">
          <a:extLst>
            <a:ext uri="{FF2B5EF4-FFF2-40B4-BE49-F238E27FC236}">
              <a16:creationId xmlns:a16="http://schemas.microsoft.com/office/drawing/2014/main" id="{00000000-0008-0000-0100-000017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656" name="Drop Down 1" hidden="1">
          <a:extLst>
            <a:ext uri="{FF2B5EF4-FFF2-40B4-BE49-F238E27FC236}">
              <a16:creationId xmlns:a16="http://schemas.microsoft.com/office/drawing/2014/main" id="{00000000-0008-0000-0100-000018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657" name="Drop Down -1022" hidden="1">
          <a:extLst>
            <a:ext uri="{FF2B5EF4-FFF2-40B4-BE49-F238E27FC236}">
              <a16:creationId xmlns:a16="http://schemas.microsoft.com/office/drawing/2014/main" id="{00000000-0008-0000-0100-000019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58" name="Drop Down 1" hidden="1">
          <a:extLst>
            <a:ext uri="{FF2B5EF4-FFF2-40B4-BE49-F238E27FC236}">
              <a16:creationId xmlns:a16="http://schemas.microsoft.com/office/drawing/2014/main" id="{00000000-0008-0000-0100-00001A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59" name="Drop Down 1" hidden="1">
          <a:extLst>
            <a:ext uri="{FF2B5EF4-FFF2-40B4-BE49-F238E27FC236}">
              <a16:creationId xmlns:a16="http://schemas.microsoft.com/office/drawing/2014/main" id="{00000000-0008-0000-0100-00001B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60" name="Drop Down 1" hidden="1">
          <a:extLst>
            <a:ext uri="{FF2B5EF4-FFF2-40B4-BE49-F238E27FC236}">
              <a16:creationId xmlns:a16="http://schemas.microsoft.com/office/drawing/2014/main" id="{00000000-0008-0000-0100-00001C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61" name="Drop Down 1" hidden="1">
          <a:extLst>
            <a:ext uri="{FF2B5EF4-FFF2-40B4-BE49-F238E27FC236}">
              <a16:creationId xmlns:a16="http://schemas.microsoft.com/office/drawing/2014/main" id="{00000000-0008-0000-0100-00001D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62" name="Drop Down 2" hidden="1">
          <a:extLst>
            <a:ext uri="{FF2B5EF4-FFF2-40B4-BE49-F238E27FC236}">
              <a16:creationId xmlns:a16="http://schemas.microsoft.com/office/drawing/2014/main" id="{00000000-0008-0000-0100-00001E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63" name="Drop Down 1" hidden="1">
          <a:extLst>
            <a:ext uri="{FF2B5EF4-FFF2-40B4-BE49-F238E27FC236}">
              <a16:creationId xmlns:a16="http://schemas.microsoft.com/office/drawing/2014/main" id="{00000000-0008-0000-0100-00001F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664" name="Drop Down -1022" hidden="1">
          <a:extLst>
            <a:ext uri="{FF2B5EF4-FFF2-40B4-BE49-F238E27FC236}">
              <a16:creationId xmlns:a16="http://schemas.microsoft.com/office/drawing/2014/main" id="{00000000-0008-0000-0100-000020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65" name="Drop Down 1" hidden="1">
          <a:extLst>
            <a:ext uri="{FF2B5EF4-FFF2-40B4-BE49-F238E27FC236}">
              <a16:creationId xmlns:a16="http://schemas.microsoft.com/office/drawing/2014/main" id="{00000000-0008-0000-0100-000021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66" name="Drop Down 1" hidden="1">
          <a:extLst>
            <a:ext uri="{FF2B5EF4-FFF2-40B4-BE49-F238E27FC236}">
              <a16:creationId xmlns:a16="http://schemas.microsoft.com/office/drawing/2014/main" id="{00000000-0008-0000-0100-000022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67" name="Drop Down 1" hidden="1">
          <a:extLst>
            <a:ext uri="{FF2B5EF4-FFF2-40B4-BE49-F238E27FC236}">
              <a16:creationId xmlns:a16="http://schemas.microsoft.com/office/drawing/2014/main" id="{00000000-0008-0000-0100-000023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68" name="Drop Down 1" hidden="1">
          <a:extLst>
            <a:ext uri="{FF2B5EF4-FFF2-40B4-BE49-F238E27FC236}">
              <a16:creationId xmlns:a16="http://schemas.microsoft.com/office/drawing/2014/main" id="{00000000-0008-0000-0100-000024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69" name="Drop Down 2" hidden="1">
          <a:extLst>
            <a:ext uri="{FF2B5EF4-FFF2-40B4-BE49-F238E27FC236}">
              <a16:creationId xmlns:a16="http://schemas.microsoft.com/office/drawing/2014/main" id="{00000000-0008-0000-0100-000025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70" name="Drop Down 1" hidden="1">
          <a:extLst>
            <a:ext uri="{FF2B5EF4-FFF2-40B4-BE49-F238E27FC236}">
              <a16:creationId xmlns:a16="http://schemas.microsoft.com/office/drawing/2014/main" id="{00000000-0008-0000-0100-000026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671" name="Drop Down -1022" hidden="1">
          <a:extLst>
            <a:ext uri="{FF2B5EF4-FFF2-40B4-BE49-F238E27FC236}">
              <a16:creationId xmlns:a16="http://schemas.microsoft.com/office/drawing/2014/main" id="{00000000-0008-0000-0100-000027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72" name="Drop Down 1" hidden="1">
          <a:extLst>
            <a:ext uri="{FF2B5EF4-FFF2-40B4-BE49-F238E27FC236}">
              <a16:creationId xmlns:a16="http://schemas.microsoft.com/office/drawing/2014/main" id="{00000000-0008-0000-0100-00002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73" name="Drop Down 1" hidden="1">
          <a:extLst>
            <a:ext uri="{FF2B5EF4-FFF2-40B4-BE49-F238E27FC236}">
              <a16:creationId xmlns:a16="http://schemas.microsoft.com/office/drawing/2014/main" id="{00000000-0008-0000-0100-00002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74" name="Drop Down 1" hidden="1">
          <a:extLst>
            <a:ext uri="{FF2B5EF4-FFF2-40B4-BE49-F238E27FC236}">
              <a16:creationId xmlns:a16="http://schemas.microsoft.com/office/drawing/2014/main" id="{00000000-0008-0000-0100-00002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75" name="Drop Down 1" hidden="1">
          <a:extLst>
            <a:ext uri="{FF2B5EF4-FFF2-40B4-BE49-F238E27FC236}">
              <a16:creationId xmlns:a16="http://schemas.microsoft.com/office/drawing/2014/main" id="{00000000-0008-0000-0100-00002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76" name="Drop Down 2" hidden="1">
          <a:extLst>
            <a:ext uri="{FF2B5EF4-FFF2-40B4-BE49-F238E27FC236}">
              <a16:creationId xmlns:a16="http://schemas.microsoft.com/office/drawing/2014/main" id="{00000000-0008-0000-0100-00002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77" name="Drop Down 1" hidden="1">
          <a:extLst>
            <a:ext uri="{FF2B5EF4-FFF2-40B4-BE49-F238E27FC236}">
              <a16:creationId xmlns:a16="http://schemas.microsoft.com/office/drawing/2014/main" id="{00000000-0008-0000-0100-00002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78" name="Drop Down -1022" hidden="1">
          <a:extLst>
            <a:ext uri="{FF2B5EF4-FFF2-40B4-BE49-F238E27FC236}">
              <a16:creationId xmlns:a16="http://schemas.microsoft.com/office/drawing/2014/main" id="{00000000-0008-0000-0100-00002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79" name="Drop Down 1" hidden="1">
          <a:extLst>
            <a:ext uri="{FF2B5EF4-FFF2-40B4-BE49-F238E27FC236}">
              <a16:creationId xmlns:a16="http://schemas.microsoft.com/office/drawing/2014/main" id="{00000000-0008-0000-0100-00002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80" name="Drop Down 1" hidden="1">
          <a:extLst>
            <a:ext uri="{FF2B5EF4-FFF2-40B4-BE49-F238E27FC236}">
              <a16:creationId xmlns:a16="http://schemas.microsoft.com/office/drawing/2014/main" id="{00000000-0008-0000-0100-00003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81" name="Drop Down 1" hidden="1">
          <a:extLst>
            <a:ext uri="{FF2B5EF4-FFF2-40B4-BE49-F238E27FC236}">
              <a16:creationId xmlns:a16="http://schemas.microsoft.com/office/drawing/2014/main" id="{00000000-0008-0000-0100-00003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82" name="Drop Down 1" hidden="1">
          <a:extLst>
            <a:ext uri="{FF2B5EF4-FFF2-40B4-BE49-F238E27FC236}">
              <a16:creationId xmlns:a16="http://schemas.microsoft.com/office/drawing/2014/main" id="{00000000-0008-0000-0100-00003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83" name="Drop Down 2" hidden="1">
          <a:extLst>
            <a:ext uri="{FF2B5EF4-FFF2-40B4-BE49-F238E27FC236}">
              <a16:creationId xmlns:a16="http://schemas.microsoft.com/office/drawing/2014/main" id="{00000000-0008-0000-0100-00003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84" name="Drop Down 1" hidden="1">
          <a:extLst>
            <a:ext uri="{FF2B5EF4-FFF2-40B4-BE49-F238E27FC236}">
              <a16:creationId xmlns:a16="http://schemas.microsoft.com/office/drawing/2014/main" id="{00000000-0008-0000-0100-00003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85" name="Drop Down -1022" hidden="1">
          <a:extLst>
            <a:ext uri="{FF2B5EF4-FFF2-40B4-BE49-F238E27FC236}">
              <a16:creationId xmlns:a16="http://schemas.microsoft.com/office/drawing/2014/main" id="{00000000-0008-0000-0100-00003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86" name="Drop Down 1" hidden="1">
          <a:extLst>
            <a:ext uri="{FF2B5EF4-FFF2-40B4-BE49-F238E27FC236}">
              <a16:creationId xmlns:a16="http://schemas.microsoft.com/office/drawing/2014/main" id="{00000000-0008-0000-0100-00003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87" name="Drop Down 1" hidden="1">
          <a:extLst>
            <a:ext uri="{FF2B5EF4-FFF2-40B4-BE49-F238E27FC236}">
              <a16:creationId xmlns:a16="http://schemas.microsoft.com/office/drawing/2014/main" id="{00000000-0008-0000-0100-00003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88" name="Drop Down 1" hidden="1">
          <a:extLst>
            <a:ext uri="{FF2B5EF4-FFF2-40B4-BE49-F238E27FC236}">
              <a16:creationId xmlns:a16="http://schemas.microsoft.com/office/drawing/2014/main" id="{00000000-0008-0000-0100-00003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89" name="Drop Down 1" hidden="1">
          <a:extLst>
            <a:ext uri="{FF2B5EF4-FFF2-40B4-BE49-F238E27FC236}">
              <a16:creationId xmlns:a16="http://schemas.microsoft.com/office/drawing/2014/main" id="{00000000-0008-0000-0100-00003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90" name="Drop Down 2" hidden="1">
          <a:extLst>
            <a:ext uri="{FF2B5EF4-FFF2-40B4-BE49-F238E27FC236}">
              <a16:creationId xmlns:a16="http://schemas.microsoft.com/office/drawing/2014/main" id="{00000000-0008-0000-0100-00003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91" name="Drop Down 1" hidden="1">
          <a:extLst>
            <a:ext uri="{FF2B5EF4-FFF2-40B4-BE49-F238E27FC236}">
              <a16:creationId xmlns:a16="http://schemas.microsoft.com/office/drawing/2014/main" id="{00000000-0008-0000-0100-00003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692" name="Drop Down -1022" hidden="1">
          <a:extLst>
            <a:ext uri="{FF2B5EF4-FFF2-40B4-BE49-F238E27FC236}">
              <a16:creationId xmlns:a16="http://schemas.microsoft.com/office/drawing/2014/main" id="{00000000-0008-0000-0100-00003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93" name="Drop Down 1" hidden="1">
          <a:extLst>
            <a:ext uri="{FF2B5EF4-FFF2-40B4-BE49-F238E27FC236}">
              <a16:creationId xmlns:a16="http://schemas.microsoft.com/office/drawing/2014/main" id="{00000000-0008-0000-0100-00003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94" name="Drop Down 1" hidden="1">
          <a:extLst>
            <a:ext uri="{FF2B5EF4-FFF2-40B4-BE49-F238E27FC236}">
              <a16:creationId xmlns:a16="http://schemas.microsoft.com/office/drawing/2014/main" id="{00000000-0008-0000-0100-00003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95" name="Drop Down 1" hidden="1">
          <a:extLst>
            <a:ext uri="{FF2B5EF4-FFF2-40B4-BE49-F238E27FC236}">
              <a16:creationId xmlns:a16="http://schemas.microsoft.com/office/drawing/2014/main" id="{00000000-0008-0000-0100-00003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96" name="Drop Down 1" hidden="1">
          <a:extLst>
            <a:ext uri="{FF2B5EF4-FFF2-40B4-BE49-F238E27FC236}">
              <a16:creationId xmlns:a16="http://schemas.microsoft.com/office/drawing/2014/main" id="{00000000-0008-0000-0100-00004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97" name="Drop Down 2" hidden="1">
          <a:extLst>
            <a:ext uri="{FF2B5EF4-FFF2-40B4-BE49-F238E27FC236}">
              <a16:creationId xmlns:a16="http://schemas.microsoft.com/office/drawing/2014/main" id="{00000000-0008-0000-0100-00004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98" name="Drop Down 1" hidden="1">
          <a:extLst>
            <a:ext uri="{FF2B5EF4-FFF2-40B4-BE49-F238E27FC236}">
              <a16:creationId xmlns:a16="http://schemas.microsoft.com/office/drawing/2014/main" id="{00000000-0008-0000-0100-00004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699" name="Drop Down -1022" hidden="1">
          <a:extLst>
            <a:ext uri="{FF2B5EF4-FFF2-40B4-BE49-F238E27FC236}">
              <a16:creationId xmlns:a16="http://schemas.microsoft.com/office/drawing/2014/main" id="{00000000-0008-0000-0100-00004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00" name="Drop Down 1" hidden="1">
          <a:extLst>
            <a:ext uri="{FF2B5EF4-FFF2-40B4-BE49-F238E27FC236}">
              <a16:creationId xmlns:a16="http://schemas.microsoft.com/office/drawing/2014/main" id="{00000000-0008-0000-0100-00004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01" name="Drop Down 1" hidden="1">
          <a:extLst>
            <a:ext uri="{FF2B5EF4-FFF2-40B4-BE49-F238E27FC236}">
              <a16:creationId xmlns:a16="http://schemas.microsoft.com/office/drawing/2014/main" id="{00000000-0008-0000-0100-00004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02" name="Drop Down 1" hidden="1">
          <a:extLst>
            <a:ext uri="{FF2B5EF4-FFF2-40B4-BE49-F238E27FC236}">
              <a16:creationId xmlns:a16="http://schemas.microsoft.com/office/drawing/2014/main" id="{00000000-0008-0000-0100-00004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03" name="Drop Down 1" hidden="1">
          <a:extLst>
            <a:ext uri="{FF2B5EF4-FFF2-40B4-BE49-F238E27FC236}">
              <a16:creationId xmlns:a16="http://schemas.microsoft.com/office/drawing/2014/main" id="{00000000-0008-0000-0100-00004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04" name="Drop Down 2" hidden="1">
          <a:extLst>
            <a:ext uri="{FF2B5EF4-FFF2-40B4-BE49-F238E27FC236}">
              <a16:creationId xmlns:a16="http://schemas.microsoft.com/office/drawing/2014/main" id="{00000000-0008-0000-0100-00004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05" name="Drop Down 1" hidden="1">
          <a:extLst>
            <a:ext uri="{FF2B5EF4-FFF2-40B4-BE49-F238E27FC236}">
              <a16:creationId xmlns:a16="http://schemas.microsoft.com/office/drawing/2014/main" id="{00000000-0008-0000-0100-00004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06" name="Drop Down -1022" hidden="1">
          <a:extLst>
            <a:ext uri="{FF2B5EF4-FFF2-40B4-BE49-F238E27FC236}">
              <a16:creationId xmlns:a16="http://schemas.microsoft.com/office/drawing/2014/main" id="{00000000-0008-0000-0100-00004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07" name="Drop Down 1" hidden="1">
          <a:extLst>
            <a:ext uri="{FF2B5EF4-FFF2-40B4-BE49-F238E27FC236}">
              <a16:creationId xmlns:a16="http://schemas.microsoft.com/office/drawing/2014/main" id="{00000000-0008-0000-0100-00004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08" name="Drop Down 1" hidden="1">
          <a:extLst>
            <a:ext uri="{FF2B5EF4-FFF2-40B4-BE49-F238E27FC236}">
              <a16:creationId xmlns:a16="http://schemas.microsoft.com/office/drawing/2014/main" id="{00000000-0008-0000-0100-00004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09" name="Drop Down 1" hidden="1">
          <a:extLst>
            <a:ext uri="{FF2B5EF4-FFF2-40B4-BE49-F238E27FC236}">
              <a16:creationId xmlns:a16="http://schemas.microsoft.com/office/drawing/2014/main" id="{00000000-0008-0000-0100-00004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10" name="Drop Down 1" hidden="1">
          <a:extLst>
            <a:ext uri="{FF2B5EF4-FFF2-40B4-BE49-F238E27FC236}">
              <a16:creationId xmlns:a16="http://schemas.microsoft.com/office/drawing/2014/main" id="{00000000-0008-0000-0100-00004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11" name="Drop Down 2" hidden="1">
          <a:extLst>
            <a:ext uri="{FF2B5EF4-FFF2-40B4-BE49-F238E27FC236}">
              <a16:creationId xmlns:a16="http://schemas.microsoft.com/office/drawing/2014/main" id="{00000000-0008-0000-0100-00004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12" name="Drop Down 1" hidden="1">
          <a:extLst>
            <a:ext uri="{FF2B5EF4-FFF2-40B4-BE49-F238E27FC236}">
              <a16:creationId xmlns:a16="http://schemas.microsoft.com/office/drawing/2014/main" id="{00000000-0008-0000-0100-00005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13" name="Drop Down -1022" hidden="1">
          <a:extLst>
            <a:ext uri="{FF2B5EF4-FFF2-40B4-BE49-F238E27FC236}">
              <a16:creationId xmlns:a16="http://schemas.microsoft.com/office/drawing/2014/main" id="{00000000-0008-0000-0100-00005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14" name="Drop Down 1" hidden="1">
          <a:extLst>
            <a:ext uri="{FF2B5EF4-FFF2-40B4-BE49-F238E27FC236}">
              <a16:creationId xmlns:a16="http://schemas.microsoft.com/office/drawing/2014/main" id="{00000000-0008-0000-0100-00005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15" name="Drop Down 1" hidden="1">
          <a:extLst>
            <a:ext uri="{FF2B5EF4-FFF2-40B4-BE49-F238E27FC236}">
              <a16:creationId xmlns:a16="http://schemas.microsoft.com/office/drawing/2014/main" id="{00000000-0008-0000-0100-00005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16" name="Drop Down 1" hidden="1">
          <a:extLst>
            <a:ext uri="{FF2B5EF4-FFF2-40B4-BE49-F238E27FC236}">
              <a16:creationId xmlns:a16="http://schemas.microsoft.com/office/drawing/2014/main" id="{00000000-0008-0000-0100-00005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17" name="Drop Down 1" hidden="1">
          <a:extLst>
            <a:ext uri="{FF2B5EF4-FFF2-40B4-BE49-F238E27FC236}">
              <a16:creationId xmlns:a16="http://schemas.microsoft.com/office/drawing/2014/main" id="{00000000-0008-0000-0100-00005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18" name="Drop Down 2" hidden="1">
          <a:extLst>
            <a:ext uri="{FF2B5EF4-FFF2-40B4-BE49-F238E27FC236}">
              <a16:creationId xmlns:a16="http://schemas.microsoft.com/office/drawing/2014/main" id="{00000000-0008-0000-0100-00005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19" name="Drop Down 1" hidden="1">
          <a:extLst>
            <a:ext uri="{FF2B5EF4-FFF2-40B4-BE49-F238E27FC236}">
              <a16:creationId xmlns:a16="http://schemas.microsoft.com/office/drawing/2014/main" id="{00000000-0008-0000-0100-00005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20" name="Drop Down -1022" hidden="1">
          <a:extLst>
            <a:ext uri="{FF2B5EF4-FFF2-40B4-BE49-F238E27FC236}">
              <a16:creationId xmlns:a16="http://schemas.microsoft.com/office/drawing/2014/main" id="{00000000-0008-0000-0100-00005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21" name="Drop Down 1" hidden="1">
          <a:extLst>
            <a:ext uri="{FF2B5EF4-FFF2-40B4-BE49-F238E27FC236}">
              <a16:creationId xmlns:a16="http://schemas.microsoft.com/office/drawing/2014/main" id="{00000000-0008-0000-0100-00005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22" name="Drop Down 1" hidden="1">
          <a:extLst>
            <a:ext uri="{FF2B5EF4-FFF2-40B4-BE49-F238E27FC236}">
              <a16:creationId xmlns:a16="http://schemas.microsoft.com/office/drawing/2014/main" id="{00000000-0008-0000-0100-00005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23" name="Drop Down 1" hidden="1">
          <a:extLst>
            <a:ext uri="{FF2B5EF4-FFF2-40B4-BE49-F238E27FC236}">
              <a16:creationId xmlns:a16="http://schemas.microsoft.com/office/drawing/2014/main" id="{00000000-0008-0000-0100-00005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24" name="Drop Down 1" hidden="1">
          <a:extLst>
            <a:ext uri="{FF2B5EF4-FFF2-40B4-BE49-F238E27FC236}">
              <a16:creationId xmlns:a16="http://schemas.microsoft.com/office/drawing/2014/main" id="{00000000-0008-0000-0100-00005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25" name="Drop Down 2" hidden="1">
          <a:extLst>
            <a:ext uri="{FF2B5EF4-FFF2-40B4-BE49-F238E27FC236}">
              <a16:creationId xmlns:a16="http://schemas.microsoft.com/office/drawing/2014/main" id="{00000000-0008-0000-0100-00005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26" name="Drop Down 1" hidden="1">
          <a:extLst>
            <a:ext uri="{FF2B5EF4-FFF2-40B4-BE49-F238E27FC236}">
              <a16:creationId xmlns:a16="http://schemas.microsoft.com/office/drawing/2014/main" id="{00000000-0008-0000-0100-00005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27" name="Drop Down -1022" hidden="1">
          <a:extLst>
            <a:ext uri="{FF2B5EF4-FFF2-40B4-BE49-F238E27FC236}">
              <a16:creationId xmlns:a16="http://schemas.microsoft.com/office/drawing/2014/main" id="{00000000-0008-0000-0100-00005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28" name="Drop Down 1" hidden="1">
          <a:extLst>
            <a:ext uri="{FF2B5EF4-FFF2-40B4-BE49-F238E27FC236}">
              <a16:creationId xmlns:a16="http://schemas.microsoft.com/office/drawing/2014/main" id="{00000000-0008-0000-0100-000060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29" name="Drop Down 1" hidden="1">
          <a:extLst>
            <a:ext uri="{FF2B5EF4-FFF2-40B4-BE49-F238E27FC236}">
              <a16:creationId xmlns:a16="http://schemas.microsoft.com/office/drawing/2014/main" id="{00000000-0008-0000-0100-000061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30" name="Drop Down 1" hidden="1">
          <a:extLst>
            <a:ext uri="{FF2B5EF4-FFF2-40B4-BE49-F238E27FC236}">
              <a16:creationId xmlns:a16="http://schemas.microsoft.com/office/drawing/2014/main" id="{00000000-0008-0000-0100-000062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31" name="Drop Down 1" hidden="1">
          <a:extLst>
            <a:ext uri="{FF2B5EF4-FFF2-40B4-BE49-F238E27FC236}">
              <a16:creationId xmlns:a16="http://schemas.microsoft.com/office/drawing/2014/main" id="{00000000-0008-0000-0100-000063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32" name="Drop Down 2" hidden="1">
          <a:extLst>
            <a:ext uri="{FF2B5EF4-FFF2-40B4-BE49-F238E27FC236}">
              <a16:creationId xmlns:a16="http://schemas.microsoft.com/office/drawing/2014/main" id="{00000000-0008-0000-0100-000064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33" name="Drop Down 1" hidden="1">
          <a:extLst>
            <a:ext uri="{FF2B5EF4-FFF2-40B4-BE49-F238E27FC236}">
              <a16:creationId xmlns:a16="http://schemas.microsoft.com/office/drawing/2014/main" id="{00000000-0008-0000-0100-000065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34" name="Drop Down -1022" hidden="1">
          <a:extLst>
            <a:ext uri="{FF2B5EF4-FFF2-40B4-BE49-F238E27FC236}">
              <a16:creationId xmlns:a16="http://schemas.microsoft.com/office/drawing/2014/main" id="{00000000-0008-0000-0100-000066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35" name="Drop Down 1" hidden="1">
          <a:extLst>
            <a:ext uri="{FF2B5EF4-FFF2-40B4-BE49-F238E27FC236}">
              <a16:creationId xmlns:a16="http://schemas.microsoft.com/office/drawing/2014/main" id="{00000000-0008-0000-0100-000067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36" name="Drop Down 1" hidden="1">
          <a:extLst>
            <a:ext uri="{FF2B5EF4-FFF2-40B4-BE49-F238E27FC236}">
              <a16:creationId xmlns:a16="http://schemas.microsoft.com/office/drawing/2014/main" id="{00000000-0008-0000-0100-000068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37" name="Drop Down 1" hidden="1">
          <a:extLst>
            <a:ext uri="{FF2B5EF4-FFF2-40B4-BE49-F238E27FC236}">
              <a16:creationId xmlns:a16="http://schemas.microsoft.com/office/drawing/2014/main" id="{00000000-0008-0000-0100-000069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38" name="Drop Down 1" hidden="1">
          <a:extLst>
            <a:ext uri="{FF2B5EF4-FFF2-40B4-BE49-F238E27FC236}">
              <a16:creationId xmlns:a16="http://schemas.microsoft.com/office/drawing/2014/main" id="{00000000-0008-0000-0100-00006A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39" name="Drop Down 2" hidden="1">
          <a:extLst>
            <a:ext uri="{FF2B5EF4-FFF2-40B4-BE49-F238E27FC236}">
              <a16:creationId xmlns:a16="http://schemas.microsoft.com/office/drawing/2014/main" id="{00000000-0008-0000-0100-00006B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40" name="Drop Down 1" hidden="1">
          <a:extLst>
            <a:ext uri="{FF2B5EF4-FFF2-40B4-BE49-F238E27FC236}">
              <a16:creationId xmlns:a16="http://schemas.microsoft.com/office/drawing/2014/main" id="{00000000-0008-0000-0100-00006C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41" name="Drop Down -1022" hidden="1">
          <a:extLst>
            <a:ext uri="{FF2B5EF4-FFF2-40B4-BE49-F238E27FC236}">
              <a16:creationId xmlns:a16="http://schemas.microsoft.com/office/drawing/2014/main" id="{00000000-0008-0000-0100-00006D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42" name="Drop Down 1" hidden="1">
          <a:extLst>
            <a:ext uri="{FF2B5EF4-FFF2-40B4-BE49-F238E27FC236}">
              <a16:creationId xmlns:a16="http://schemas.microsoft.com/office/drawing/2014/main" id="{00000000-0008-0000-0100-00006E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43" name="Drop Down 1" hidden="1">
          <a:extLst>
            <a:ext uri="{FF2B5EF4-FFF2-40B4-BE49-F238E27FC236}">
              <a16:creationId xmlns:a16="http://schemas.microsoft.com/office/drawing/2014/main" id="{00000000-0008-0000-0100-00006F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44" name="Drop Down 1" hidden="1">
          <a:extLst>
            <a:ext uri="{FF2B5EF4-FFF2-40B4-BE49-F238E27FC236}">
              <a16:creationId xmlns:a16="http://schemas.microsoft.com/office/drawing/2014/main" id="{00000000-0008-0000-0100-000070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45" name="Drop Down 1" hidden="1">
          <a:extLst>
            <a:ext uri="{FF2B5EF4-FFF2-40B4-BE49-F238E27FC236}">
              <a16:creationId xmlns:a16="http://schemas.microsoft.com/office/drawing/2014/main" id="{00000000-0008-0000-0100-000071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46" name="Drop Down 2" hidden="1">
          <a:extLst>
            <a:ext uri="{FF2B5EF4-FFF2-40B4-BE49-F238E27FC236}">
              <a16:creationId xmlns:a16="http://schemas.microsoft.com/office/drawing/2014/main" id="{00000000-0008-0000-0100-000072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47" name="Drop Down 1" hidden="1">
          <a:extLst>
            <a:ext uri="{FF2B5EF4-FFF2-40B4-BE49-F238E27FC236}">
              <a16:creationId xmlns:a16="http://schemas.microsoft.com/office/drawing/2014/main" id="{00000000-0008-0000-0100-000073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48" name="Drop Down -1022" hidden="1">
          <a:extLst>
            <a:ext uri="{FF2B5EF4-FFF2-40B4-BE49-F238E27FC236}">
              <a16:creationId xmlns:a16="http://schemas.microsoft.com/office/drawing/2014/main" id="{00000000-0008-0000-0100-000074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49" name="Drop Down 1" hidden="1">
          <a:extLst>
            <a:ext uri="{FF2B5EF4-FFF2-40B4-BE49-F238E27FC236}">
              <a16:creationId xmlns:a16="http://schemas.microsoft.com/office/drawing/2014/main" id="{00000000-0008-0000-0100-000075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50" name="Drop Down 1" hidden="1">
          <a:extLst>
            <a:ext uri="{FF2B5EF4-FFF2-40B4-BE49-F238E27FC236}">
              <a16:creationId xmlns:a16="http://schemas.microsoft.com/office/drawing/2014/main" id="{00000000-0008-0000-0100-000076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51" name="Drop Down 1" hidden="1">
          <a:extLst>
            <a:ext uri="{FF2B5EF4-FFF2-40B4-BE49-F238E27FC236}">
              <a16:creationId xmlns:a16="http://schemas.microsoft.com/office/drawing/2014/main" id="{00000000-0008-0000-0100-000077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52" name="Drop Down 1" hidden="1">
          <a:extLst>
            <a:ext uri="{FF2B5EF4-FFF2-40B4-BE49-F238E27FC236}">
              <a16:creationId xmlns:a16="http://schemas.microsoft.com/office/drawing/2014/main" id="{00000000-0008-0000-0100-000078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53" name="Drop Down 2" hidden="1">
          <a:extLst>
            <a:ext uri="{FF2B5EF4-FFF2-40B4-BE49-F238E27FC236}">
              <a16:creationId xmlns:a16="http://schemas.microsoft.com/office/drawing/2014/main" id="{00000000-0008-0000-0100-000079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54" name="Drop Down 1" hidden="1">
          <a:extLst>
            <a:ext uri="{FF2B5EF4-FFF2-40B4-BE49-F238E27FC236}">
              <a16:creationId xmlns:a16="http://schemas.microsoft.com/office/drawing/2014/main" id="{00000000-0008-0000-0100-00007A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55" name="Drop Down -1022" hidden="1">
          <a:extLst>
            <a:ext uri="{FF2B5EF4-FFF2-40B4-BE49-F238E27FC236}">
              <a16:creationId xmlns:a16="http://schemas.microsoft.com/office/drawing/2014/main" id="{00000000-0008-0000-0100-00007B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56" name="Drop Down 1" hidden="1">
          <a:extLst>
            <a:ext uri="{FF2B5EF4-FFF2-40B4-BE49-F238E27FC236}">
              <a16:creationId xmlns:a16="http://schemas.microsoft.com/office/drawing/2014/main" id="{00000000-0008-0000-0100-00007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57" name="Drop Down 1" hidden="1">
          <a:extLst>
            <a:ext uri="{FF2B5EF4-FFF2-40B4-BE49-F238E27FC236}">
              <a16:creationId xmlns:a16="http://schemas.microsoft.com/office/drawing/2014/main" id="{00000000-0008-0000-0100-00007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58" name="Drop Down 1" hidden="1">
          <a:extLst>
            <a:ext uri="{FF2B5EF4-FFF2-40B4-BE49-F238E27FC236}">
              <a16:creationId xmlns:a16="http://schemas.microsoft.com/office/drawing/2014/main" id="{00000000-0008-0000-0100-00007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59" name="Drop Down 1" hidden="1">
          <a:extLst>
            <a:ext uri="{FF2B5EF4-FFF2-40B4-BE49-F238E27FC236}">
              <a16:creationId xmlns:a16="http://schemas.microsoft.com/office/drawing/2014/main" id="{00000000-0008-0000-0100-00007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60" name="Drop Down 2" hidden="1">
          <a:extLst>
            <a:ext uri="{FF2B5EF4-FFF2-40B4-BE49-F238E27FC236}">
              <a16:creationId xmlns:a16="http://schemas.microsoft.com/office/drawing/2014/main" id="{00000000-0008-0000-0100-00008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61" name="Drop Down 1" hidden="1">
          <a:extLst>
            <a:ext uri="{FF2B5EF4-FFF2-40B4-BE49-F238E27FC236}">
              <a16:creationId xmlns:a16="http://schemas.microsoft.com/office/drawing/2014/main" id="{00000000-0008-0000-0100-00008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62" name="Drop Down -1022" hidden="1">
          <a:extLst>
            <a:ext uri="{FF2B5EF4-FFF2-40B4-BE49-F238E27FC236}">
              <a16:creationId xmlns:a16="http://schemas.microsoft.com/office/drawing/2014/main" id="{00000000-0008-0000-0100-00008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63" name="Drop Down 1" hidden="1">
          <a:extLst>
            <a:ext uri="{FF2B5EF4-FFF2-40B4-BE49-F238E27FC236}">
              <a16:creationId xmlns:a16="http://schemas.microsoft.com/office/drawing/2014/main" id="{00000000-0008-0000-0100-00008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64" name="Drop Down 1" hidden="1">
          <a:extLst>
            <a:ext uri="{FF2B5EF4-FFF2-40B4-BE49-F238E27FC236}">
              <a16:creationId xmlns:a16="http://schemas.microsoft.com/office/drawing/2014/main" id="{00000000-0008-0000-0100-00008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65" name="Drop Down 1" hidden="1">
          <a:extLst>
            <a:ext uri="{FF2B5EF4-FFF2-40B4-BE49-F238E27FC236}">
              <a16:creationId xmlns:a16="http://schemas.microsoft.com/office/drawing/2014/main" id="{00000000-0008-0000-0100-00008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66" name="Drop Down 1" hidden="1">
          <a:extLst>
            <a:ext uri="{FF2B5EF4-FFF2-40B4-BE49-F238E27FC236}">
              <a16:creationId xmlns:a16="http://schemas.microsoft.com/office/drawing/2014/main" id="{00000000-0008-0000-0100-00008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67" name="Drop Down 2" hidden="1">
          <a:extLst>
            <a:ext uri="{FF2B5EF4-FFF2-40B4-BE49-F238E27FC236}">
              <a16:creationId xmlns:a16="http://schemas.microsoft.com/office/drawing/2014/main" id="{00000000-0008-0000-0100-00008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68" name="Drop Down 1" hidden="1">
          <a:extLst>
            <a:ext uri="{FF2B5EF4-FFF2-40B4-BE49-F238E27FC236}">
              <a16:creationId xmlns:a16="http://schemas.microsoft.com/office/drawing/2014/main" id="{00000000-0008-0000-0100-00008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69" name="Drop Down -1022" hidden="1">
          <a:extLst>
            <a:ext uri="{FF2B5EF4-FFF2-40B4-BE49-F238E27FC236}">
              <a16:creationId xmlns:a16="http://schemas.microsoft.com/office/drawing/2014/main" id="{00000000-0008-0000-0100-00008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70" name="Drop Down 1" hidden="1">
          <a:extLst>
            <a:ext uri="{FF2B5EF4-FFF2-40B4-BE49-F238E27FC236}">
              <a16:creationId xmlns:a16="http://schemas.microsoft.com/office/drawing/2014/main" id="{00000000-0008-0000-0100-00008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71" name="Drop Down 1" hidden="1">
          <a:extLst>
            <a:ext uri="{FF2B5EF4-FFF2-40B4-BE49-F238E27FC236}">
              <a16:creationId xmlns:a16="http://schemas.microsoft.com/office/drawing/2014/main" id="{00000000-0008-0000-0100-00008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72" name="Drop Down 1" hidden="1">
          <a:extLst>
            <a:ext uri="{FF2B5EF4-FFF2-40B4-BE49-F238E27FC236}">
              <a16:creationId xmlns:a16="http://schemas.microsoft.com/office/drawing/2014/main" id="{00000000-0008-0000-0100-00008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73" name="Drop Down 1" hidden="1">
          <a:extLst>
            <a:ext uri="{FF2B5EF4-FFF2-40B4-BE49-F238E27FC236}">
              <a16:creationId xmlns:a16="http://schemas.microsoft.com/office/drawing/2014/main" id="{00000000-0008-0000-0100-00008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74" name="Drop Down 2" hidden="1">
          <a:extLst>
            <a:ext uri="{FF2B5EF4-FFF2-40B4-BE49-F238E27FC236}">
              <a16:creationId xmlns:a16="http://schemas.microsoft.com/office/drawing/2014/main" id="{00000000-0008-0000-0100-00008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75" name="Drop Down 1" hidden="1">
          <a:extLst>
            <a:ext uri="{FF2B5EF4-FFF2-40B4-BE49-F238E27FC236}">
              <a16:creationId xmlns:a16="http://schemas.microsoft.com/office/drawing/2014/main" id="{00000000-0008-0000-0100-00008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776" name="Drop Down -1022" hidden="1">
          <a:extLst>
            <a:ext uri="{FF2B5EF4-FFF2-40B4-BE49-F238E27FC236}">
              <a16:creationId xmlns:a16="http://schemas.microsoft.com/office/drawing/2014/main" id="{00000000-0008-0000-0100-00009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77" name="Drop Down 1" hidden="1">
          <a:extLst>
            <a:ext uri="{FF2B5EF4-FFF2-40B4-BE49-F238E27FC236}">
              <a16:creationId xmlns:a16="http://schemas.microsoft.com/office/drawing/2014/main" id="{00000000-0008-0000-0100-00009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78" name="Drop Down 1" hidden="1">
          <a:extLst>
            <a:ext uri="{FF2B5EF4-FFF2-40B4-BE49-F238E27FC236}">
              <a16:creationId xmlns:a16="http://schemas.microsoft.com/office/drawing/2014/main" id="{00000000-0008-0000-0100-00009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79" name="Drop Down 1" hidden="1">
          <a:extLst>
            <a:ext uri="{FF2B5EF4-FFF2-40B4-BE49-F238E27FC236}">
              <a16:creationId xmlns:a16="http://schemas.microsoft.com/office/drawing/2014/main" id="{00000000-0008-0000-0100-00009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80" name="Drop Down 1" hidden="1">
          <a:extLst>
            <a:ext uri="{FF2B5EF4-FFF2-40B4-BE49-F238E27FC236}">
              <a16:creationId xmlns:a16="http://schemas.microsoft.com/office/drawing/2014/main" id="{00000000-0008-0000-0100-00009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81" name="Drop Down 2" hidden="1">
          <a:extLst>
            <a:ext uri="{FF2B5EF4-FFF2-40B4-BE49-F238E27FC236}">
              <a16:creationId xmlns:a16="http://schemas.microsoft.com/office/drawing/2014/main" id="{00000000-0008-0000-0100-00009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82" name="Drop Down 1" hidden="1">
          <a:extLst>
            <a:ext uri="{FF2B5EF4-FFF2-40B4-BE49-F238E27FC236}">
              <a16:creationId xmlns:a16="http://schemas.microsoft.com/office/drawing/2014/main" id="{00000000-0008-0000-0100-00009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783" name="Drop Down -1022" hidden="1">
          <a:extLst>
            <a:ext uri="{FF2B5EF4-FFF2-40B4-BE49-F238E27FC236}">
              <a16:creationId xmlns:a16="http://schemas.microsoft.com/office/drawing/2014/main" id="{00000000-0008-0000-0100-00009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84" name="Drop Down 1" hidden="1">
          <a:extLst>
            <a:ext uri="{FF2B5EF4-FFF2-40B4-BE49-F238E27FC236}">
              <a16:creationId xmlns:a16="http://schemas.microsoft.com/office/drawing/2014/main" id="{00000000-0008-0000-0100-000098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85" name="Drop Down 1" hidden="1">
          <a:extLst>
            <a:ext uri="{FF2B5EF4-FFF2-40B4-BE49-F238E27FC236}">
              <a16:creationId xmlns:a16="http://schemas.microsoft.com/office/drawing/2014/main" id="{00000000-0008-0000-0100-000099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86" name="Drop Down 1" hidden="1">
          <a:extLst>
            <a:ext uri="{FF2B5EF4-FFF2-40B4-BE49-F238E27FC236}">
              <a16:creationId xmlns:a16="http://schemas.microsoft.com/office/drawing/2014/main" id="{00000000-0008-0000-0100-00009A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87" name="Drop Down 1" hidden="1">
          <a:extLst>
            <a:ext uri="{FF2B5EF4-FFF2-40B4-BE49-F238E27FC236}">
              <a16:creationId xmlns:a16="http://schemas.microsoft.com/office/drawing/2014/main" id="{00000000-0008-0000-0100-00009B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88" name="Drop Down 2" hidden="1">
          <a:extLst>
            <a:ext uri="{FF2B5EF4-FFF2-40B4-BE49-F238E27FC236}">
              <a16:creationId xmlns:a16="http://schemas.microsoft.com/office/drawing/2014/main" id="{00000000-0008-0000-0100-00009C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89" name="Drop Down 1" hidden="1">
          <a:extLst>
            <a:ext uri="{FF2B5EF4-FFF2-40B4-BE49-F238E27FC236}">
              <a16:creationId xmlns:a16="http://schemas.microsoft.com/office/drawing/2014/main" id="{00000000-0008-0000-0100-00009D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90" name="Drop Down -1022" hidden="1">
          <a:extLst>
            <a:ext uri="{FF2B5EF4-FFF2-40B4-BE49-F238E27FC236}">
              <a16:creationId xmlns:a16="http://schemas.microsoft.com/office/drawing/2014/main" id="{00000000-0008-0000-0100-00009E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91" name="Drop Down 1" hidden="1">
          <a:extLst>
            <a:ext uri="{FF2B5EF4-FFF2-40B4-BE49-F238E27FC236}">
              <a16:creationId xmlns:a16="http://schemas.microsoft.com/office/drawing/2014/main" id="{00000000-0008-0000-0100-00009F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92" name="Drop Down 1" hidden="1">
          <a:extLst>
            <a:ext uri="{FF2B5EF4-FFF2-40B4-BE49-F238E27FC236}">
              <a16:creationId xmlns:a16="http://schemas.microsoft.com/office/drawing/2014/main" id="{00000000-0008-0000-0100-0000A0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93" name="Drop Down 1" hidden="1">
          <a:extLst>
            <a:ext uri="{FF2B5EF4-FFF2-40B4-BE49-F238E27FC236}">
              <a16:creationId xmlns:a16="http://schemas.microsoft.com/office/drawing/2014/main" id="{00000000-0008-0000-0100-0000A1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94" name="Drop Down 1" hidden="1">
          <a:extLst>
            <a:ext uri="{FF2B5EF4-FFF2-40B4-BE49-F238E27FC236}">
              <a16:creationId xmlns:a16="http://schemas.microsoft.com/office/drawing/2014/main" id="{00000000-0008-0000-0100-0000A2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95" name="Drop Down 2" hidden="1">
          <a:extLst>
            <a:ext uri="{FF2B5EF4-FFF2-40B4-BE49-F238E27FC236}">
              <a16:creationId xmlns:a16="http://schemas.microsoft.com/office/drawing/2014/main" id="{00000000-0008-0000-0100-0000A3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96" name="Drop Down 1" hidden="1">
          <a:extLst>
            <a:ext uri="{FF2B5EF4-FFF2-40B4-BE49-F238E27FC236}">
              <a16:creationId xmlns:a16="http://schemas.microsoft.com/office/drawing/2014/main" id="{00000000-0008-0000-0100-0000A4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797" name="Drop Down -1022" hidden="1">
          <a:extLst>
            <a:ext uri="{FF2B5EF4-FFF2-40B4-BE49-F238E27FC236}">
              <a16:creationId xmlns:a16="http://schemas.microsoft.com/office/drawing/2014/main" id="{00000000-0008-0000-0100-0000A5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98" name="Drop Down 1" hidden="1">
          <a:extLst>
            <a:ext uri="{FF2B5EF4-FFF2-40B4-BE49-F238E27FC236}">
              <a16:creationId xmlns:a16="http://schemas.microsoft.com/office/drawing/2014/main" id="{00000000-0008-0000-0100-0000A6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799" name="Drop Down 1" hidden="1">
          <a:extLst>
            <a:ext uri="{FF2B5EF4-FFF2-40B4-BE49-F238E27FC236}">
              <a16:creationId xmlns:a16="http://schemas.microsoft.com/office/drawing/2014/main" id="{00000000-0008-0000-0100-0000A7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800" name="Drop Down 1" hidden="1">
          <a:extLst>
            <a:ext uri="{FF2B5EF4-FFF2-40B4-BE49-F238E27FC236}">
              <a16:creationId xmlns:a16="http://schemas.microsoft.com/office/drawing/2014/main" id="{00000000-0008-0000-0100-0000A8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801" name="Drop Down 1" hidden="1">
          <a:extLst>
            <a:ext uri="{FF2B5EF4-FFF2-40B4-BE49-F238E27FC236}">
              <a16:creationId xmlns:a16="http://schemas.microsoft.com/office/drawing/2014/main" id="{00000000-0008-0000-0100-0000A9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802" name="Drop Down 2" hidden="1">
          <a:extLst>
            <a:ext uri="{FF2B5EF4-FFF2-40B4-BE49-F238E27FC236}">
              <a16:creationId xmlns:a16="http://schemas.microsoft.com/office/drawing/2014/main" id="{00000000-0008-0000-0100-0000AA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803" name="Drop Down 1" hidden="1">
          <a:extLst>
            <a:ext uri="{FF2B5EF4-FFF2-40B4-BE49-F238E27FC236}">
              <a16:creationId xmlns:a16="http://schemas.microsoft.com/office/drawing/2014/main" id="{00000000-0008-0000-0100-0000AB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804" name="Drop Down -1022" hidden="1">
          <a:extLst>
            <a:ext uri="{FF2B5EF4-FFF2-40B4-BE49-F238E27FC236}">
              <a16:creationId xmlns:a16="http://schemas.microsoft.com/office/drawing/2014/main" id="{00000000-0008-0000-0100-0000AC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805" name="Drop Down 1" hidden="1">
          <a:extLst>
            <a:ext uri="{FF2B5EF4-FFF2-40B4-BE49-F238E27FC236}">
              <a16:creationId xmlns:a16="http://schemas.microsoft.com/office/drawing/2014/main" id="{00000000-0008-0000-0100-0000AD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806" name="Drop Down 1" hidden="1">
          <a:extLst>
            <a:ext uri="{FF2B5EF4-FFF2-40B4-BE49-F238E27FC236}">
              <a16:creationId xmlns:a16="http://schemas.microsoft.com/office/drawing/2014/main" id="{00000000-0008-0000-0100-0000AE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807" name="Drop Down 1" hidden="1">
          <a:extLst>
            <a:ext uri="{FF2B5EF4-FFF2-40B4-BE49-F238E27FC236}">
              <a16:creationId xmlns:a16="http://schemas.microsoft.com/office/drawing/2014/main" id="{00000000-0008-0000-0100-0000AF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808" name="Drop Down 1" hidden="1">
          <a:extLst>
            <a:ext uri="{FF2B5EF4-FFF2-40B4-BE49-F238E27FC236}">
              <a16:creationId xmlns:a16="http://schemas.microsoft.com/office/drawing/2014/main" id="{00000000-0008-0000-0100-0000B0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809" name="Drop Down 2" hidden="1">
          <a:extLst>
            <a:ext uri="{FF2B5EF4-FFF2-40B4-BE49-F238E27FC236}">
              <a16:creationId xmlns:a16="http://schemas.microsoft.com/office/drawing/2014/main" id="{00000000-0008-0000-0100-0000B1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810" name="Drop Down 1" hidden="1">
          <a:extLst>
            <a:ext uri="{FF2B5EF4-FFF2-40B4-BE49-F238E27FC236}">
              <a16:creationId xmlns:a16="http://schemas.microsoft.com/office/drawing/2014/main" id="{00000000-0008-0000-0100-0000B2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5811" name="Drop Down -1022" hidden="1">
          <a:extLst>
            <a:ext uri="{FF2B5EF4-FFF2-40B4-BE49-F238E27FC236}">
              <a16:creationId xmlns:a16="http://schemas.microsoft.com/office/drawing/2014/main" id="{00000000-0008-0000-0100-0000B316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12" name="Drop Down 1" hidden="1">
          <a:extLst>
            <a:ext uri="{FF2B5EF4-FFF2-40B4-BE49-F238E27FC236}">
              <a16:creationId xmlns:a16="http://schemas.microsoft.com/office/drawing/2014/main" id="{00000000-0008-0000-0100-0000B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13" name="Drop Down 1" hidden="1">
          <a:extLst>
            <a:ext uri="{FF2B5EF4-FFF2-40B4-BE49-F238E27FC236}">
              <a16:creationId xmlns:a16="http://schemas.microsoft.com/office/drawing/2014/main" id="{00000000-0008-0000-0100-0000B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14" name="Drop Down 1" hidden="1">
          <a:extLst>
            <a:ext uri="{FF2B5EF4-FFF2-40B4-BE49-F238E27FC236}">
              <a16:creationId xmlns:a16="http://schemas.microsoft.com/office/drawing/2014/main" id="{00000000-0008-0000-0100-0000B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15" name="Drop Down 1" hidden="1">
          <a:extLst>
            <a:ext uri="{FF2B5EF4-FFF2-40B4-BE49-F238E27FC236}">
              <a16:creationId xmlns:a16="http://schemas.microsoft.com/office/drawing/2014/main" id="{00000000-0008-0000-0100-0000B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16" name="Drop Down 2" hidden="1">
          <a:extLst>
            <a:ext uri="{FF2B5EF4-FFF2-40B4-BE49-F238E27FC236}">
              <a16:creationId xmlns:a16="http://schemas.microsoft.com/office/drawing/2014/main" id="{00000000-0008-0000-0100-0000B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17" name="Drop Down 1" hidden="1">
          <a:extLst>
            <a:ext uri="{FF2B5EF4-FFF2-40B4-BE49-F238E27FC236}">
              <a16:creationId xmlns:a16="http://schemas.microsoft.com/office/drawing/2014/main" id="{00000000-0008-0000-0100-0000B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18" name="Drop Down -1022" hidden="1">
          <a:extLst>
            <a:ext uri="{FF2B5EF4-FFF2-40B4-BE49-F238E27FC236}">
              <a16:creationId xmlns:a16="http://schemas.microsoft.com/office/drawing/2014/main" id="{00000000-0008-0000-0100-0000B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819" name="Drop Down 1" hidden="1">
          <a:extLst>
            <a:ext uri="{FF2B5EF4-FFF2-40B4-BE49-F238E27FC236}">
              <a16:creationId xmlns:a16="http://schemas.microsoft.com/office/drawing/2014/main" id="{00000000-0008-0000-0100-0000B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820" name="Drop Down 1" hidden="1">
          <a:extLst>
            <a:ext uri="{FF2B5EF4-FFF2-40B4-BE49-F238E27FC236}">
              <a16:creationId xmlns:a16="http://schemas.microsoft.com/office/drawing/2014/main" id="{00000000-0008-0000-0100-0000B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821" name="Drop Down 1" hidden="1">
          <a:extLst>
            <a:ext uri="{FF2B5EF4-FFF2-40B4-BE49-F238E27FC236}">
              <a16:creationId xmlns:a16="http://schemas.microsoft.com/office/drawing/2014/main" id="{00000000-0008-0000-0100-0000B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822" name="Drop Down 1" hidden="1">
          <a:extLst>
            <a:ext uri="{FF2B5EF4-FFF2-40B4-BE49-F238E27FC236}">
              <a16:creationId xmlns:a16="http://schemas.microsoft.com/office/drawing/2014/main" id="{00000000-0008-0000-0100-0000B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823" name="Drop Down 2" hidden="1">
          <a:extLst>
            <a:ext uri="{FF2B5EF4-FFF2-40B4-BE49-F238E27FC236}">
              <a16:creationId xmlns:a16="http://schemas.microsoft.com/office/drawing/2014/main" id="{00000000-0008-0000-0100-0000B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824" name="Drop Down 1" hidden="1">
          <a:extLst>
            <a:ext uri="{FF2B5EF4-FFF2-40B4-BE49-F238E27FC236}">
              <a16:creationId xmlns:a16="http://schemas.microsoft.com/office/drawing/2014/main" id="{00000000-0008-0000-0100-0000C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825" name="Drop Down -1022" hidden="1">
          <a:extLst>
            <a:ext uri="{FF2B5EF4-FFF2-40B4-BE49-F238E27FC236}">
              <a16:creationId xmlns:a16="http://schemas.microsoft.com/office/drawing/2014/main" id="{00000000-0008-0000-0100-0000C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26" name="Drop Down 1" hidden="1">
          <a:extLst>
            <a:ext uri="{FF2B5EF4-FFF2-40B4-BE49-F238E27FC236}">
              <a16:creationId xmlns:a16="http://schemas.microsoft.com/office/drawing/2014/main" id="{00000000-0008-0000-0100-0000C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27" name="Drop Down 1" hidden="1">
          <a:extLst>
            <a:ext uri="{FF2B5EF4-FFF2-40B4-BE49-F238E27FC236}">
              <a16:creationId xmlns:a16="http://schemas.microsoft.com/office/drawing/2014/main" id="{00000000-0008-0000-0100-0000C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28" name="Drop Down 1" hidden="1">
          <a:extLst>
            <a:ext uri="{FF2B5EF4-FFF2-40B4-BE49-F238E27FC236}">
              <a16:creationId xmlns:a16="http://schemas.microsoft.com/office/drawing/2014/main" id="{00000000-0008-0000-0100-0000C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29" name="Drop Down 1" hidden="1">
          <a:extLst>
            <a:ext uri="{FF2B5EF4-FFF2-40B4-BE49-F238E27FC236}">
              <a16:creationId xmlns:a16="http://schemas.microsoft.com/office/drawing/2014/main" id="{00000000-0008-0000-0100-0000C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30" name="Drop Down 2" hidden="1">
          <a:extLst>
            <a:ext uri="{FF2B5EF4-FFF2-40B4-BE49-F238E27FC236}">
              <a16:creationId xmlns:a16="http://schemas.microsoft.com/office/drawing/2014/main" id="{00000000-0008-0000-0100-0000C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31" name="Drop Down 1" hidden="1">
          <a:extLst>
            <a:ext uri="{FF2B5EF4-FFF2-40B4-BE49-F238E27FC236}">
              <a16:creationId xmlns:a16="http://schemas.microsoft.com/office/drawing/2014/main" id="{00000000-0008-0000-0100-0000C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32" name="Drop Down -1022" hidden="1">
          <a:extLst>
            <a:ext uri="{FF2B5EF4-FFF2-40B4-BE49-F238E27FC236}">
              <a16:creationId xmlns:a16="http://schemas.microsoft.com/office/drawing/2014/main" id="{00000000-0008-0000-0100-0000C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33" name="Drop Down 1" hidden="1">
          <a:extLst>
            <a:ext uri="{FF2B5EF4-FFF2-40B4-BE49-F238E27FC236}">
              <a16:creationId xmlns:a16="http://schemas.microsoft.com/office/drawing/2014/main" id="{00000000-0008-0000-0100-0000C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34" name="Drop Down 1" hidden="1">
          <a:extLst>
            <a:ext uri="{FF2B5EF4-FFF2-40B4-BE49-F238E27FC236}">
              <a16:creationId xmlns:a16="http://schemas.microsoft.com/office/drawing/2014/main" id="{00000000-0008-0000-0100-0000C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35" name="Drop Down 1" hidden="1">
          <a:extLst>
            <a:ext uri="{FF2B5EF4-FFF2-40B4-BE49-F238E27FC236}">
              <a16:creationId xmlns:a16="http://schemas.microsoft.com/office/drawing/2014/main" id="{00000000-0008-0000-0100-0000C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36" name="Drop Down 1" hidden="1">
          <a:extLst>
            <a:ext uri="{FF2B5EF4-FFF2-40B4-BE49-F238E27FC236}">
              <a16:creationId xmlns:a16="http://schemas.microsoft.com/office/drawing/2014/main" id="{00000000-0008-0000-0100-0000C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37" name="Drop Down 2" hidden="1">
          <a:extLst>
            <a:ext uri="{FF2B5EF4-FFF2-40B4-BE49-F238E27FC236}">
              <a16:creationId xmlns:a16="http://schemas.microsoft.com/office/drawing/2014/main" id="{00000000-0008-0000-0100-0000C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38" name="Drop Down 1" hidden="1">
          <a:extLst>
            <a:ext uri="{FF2B5EF4-FFF2-40B4-BE49-F238E27FC236}">
              <a16:creationId xmlns:a16="http://schemas.microsoft.com/office/drawing/2014/main" id="{00000000-0008-0000-0100-0000C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39" name="Drop Down -1022" hidden="1">
          <a:extLst>
            <a:ext uri="{FF2B5EF4-FFF2-40B4-BE49-F238E27FC236}">
              <a16:creationId xmlns:a16="http://schemas.microsoft.com/office/drawing/2014/main" id="{00000000-0008-0000-0100-0000C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40" name="Drop Down 1" hidden="1">
          <a:extLst>
            <a:ext uri="{FF2B5EF4-FFF2-40B4-BE49-F238E27FC236}">
              <a16:creationId xmlns:a16="http://schemas.microsoft.com/office/drawing/2014/main" id="{00000000-0008-0000-0100-0000D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41" name="Drop Down 1" hidden="1">
          <a:extLst>
            <a:ext uri="{FF2B5EF4-FFF2-40B4-BE49-F238E27FC236}">
              <a16:creationId xmlns:a16="http://schemas.microsoft.com/office/drawing/2014/main" id="{00000000-0008-0000-0100-0000D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42" name="Drop Down 1" hidden="1">
          <a:extLst>
            <a:ext uri="{FF2B5EF4-FFF2-40B4-BE49-F238E27FC236}">
              <a16:creationId xmlns:a16="http://schemas.microsoft.com/office/drawing/2014/main" id="{00000000-0008-0000-0100-0000D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43" name="Drop Down 1" hidden="1">
          <a:extLst>
            <a:ext uri="{FF2B5EF4-FFF2-40B4-BE49-F238E27FC236}">
              <a16:creationId xmlns:a16="http://schemas.microsoft.com/office/drawing/2014/main" id="{00000000-0008-0000-0100-0000D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44" name="Drop Down 2" hidden="1">
          <a:extLst>
            <a:ext uri="{FF2B5EF4-FFF2-40B4-BE49-F238E27FC236}">
              <a16:creationId xmlns:a16="http://schemas.microsoft.com/office/drawing/2014/main" id="{00000000-0008-0000-0100-0000D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45" name="Drop Down 1" hidden="1">
          <a:extLst>
            <a:ext uri="{FF2B5EF4-FFF2-40B4-BE49-F238E27FC236}">
              <a16:creationId xmlns:a16="http://schemas.microsoft.com/office/drawing/2014/main" id="{00000000-0008-0000-0100-0000D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46" name="Drop Down -1022" hidden="1">
          <a:extLst>
            <a:ext uri="{FF2B5EF4-FFF2-40B4-BE49-F238E27FC236}">
              <a16:creationId xmlns:a16="http://schemas.microsoft.com/office/drawing/2014/main" id="{00000000-0008-0000-0100-0000D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47" name="Drop Down 1" hidden="1">
          <a:extLst>
            <a:ext uri="{FF2B5EF4-FFF2-40B4-BE49-F238E27FC236}">
              <a16:creationId xmlns:a16="http://schemas.microsoft.com/office/drawing/2014/main" id="{00000000-0008-0000-0100-0000D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48" name="Drop Down 1" hidden="1">
          <a:extLst>
            <a:ext uri="{FF2B5EF4-FFF2-40B4-BE49-F238E27FC236}">
              <a16:creationId xmlns:a16="http://schemas.microsoft.com/office/drawing/2014/main" id="{00000000-0008-0000-0100-0000D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49" name="Drop Down 1" hidden="1">
          <a:extLst>
            <a:ext uri="{FF2B5EF4-FFF2-40B4-BE49-F238E27FC236}">
              <a16:creationId xmlns:a16="http://schemas.microsoft.com/office/drawing/2014/main" id="{00000000-0008-0000-0100-0000D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50" name="Drop Down 1" hidden="1">
          <a:extLst>
            <a:ext uri="{FF2B5EF4-FFF2-40B4-BE49-F238E27FC236}">
              <a16:creationId xmlns:a16="http://schemas.microsoft.com/office/drawing/2014/main" id="{00000000-0008-0000-0100-0000D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51" name="Drop Down 2" hidden="1">
          <a:extLst>
            <a:ext uri="{FF2B5EF4-FFF2-40B4-BE49-F238E27FC236}">
              <a16:creationId xmlns:a16="http://schemas.microsoft.com/office/drawing/2014/main" id="{00000000-0008-0000-0100-0000D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52" name="Drop Down 1" hidden="1">
          <a:extLst>
            <a:ext uri="{FF2B5EF4-FFF2-40B4-BE49-F238E27FC236}">
              <a16:creationId xmlns:a16="http://schemas.microsoft.com/office/drawing/2014/main" id="{00000000-0008-0000-0100-0000D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53" name="Drop Down -1022" hidden="1">
          <a:extLst>
            <a:ext uri="{FF2B5EF4-FFF2-40B4-BE49-F238E27FC236}">
              <a16:creationId xmlns:a16="http://schemas.microsoft.com/office/drawing/2014/main" id="{00000000-0008-0000-0100-0000D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54" name="Drop Down 1" hidden="1">
          <a:extLst>
            <a:ext uri="{FF2B5EF4-FFF2-40B4-BE49-F238E27FC236}">
              <a16:creationId xmlns:a16="http://schemas.microsoft.com/office/drawing/2014/main" id="{00000000-0008-0000-0100-0000D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55" name="Drop Down 1" hidden="1">
          <a:extLst>
            <a:ext uri="{FF2B5EF4-FFF2-40B4-BE49-F238E27FC236}">
              <a16:creationId xmlns:a16="http://schemas.microsoft.com/office/drawing/2014/main" id="{00000000-0008-0000-0100-0000D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56" name="Drop Down 1" hidden="1">
          <a:extLst>
            <a:ext uri="{FF2B5EF4-FFF2-40B4-BE49-F238E27FC236}">
              <a16:creationId xmlns:a16="http://schemas.microsoft.com/office/drawing/2014/main" id="{00000000-0008-0000-0100-0000E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57" name="Drop Down 1" hidden="1">
          <a:extLst>
            <a:ext uri="{FF2B5EF4-FFF2-40B4-BE49-F238E27FC236}">
              <a16:creationId xmlns:a16="http://schemas.microsoft.com/office/drawing/2014/main" id="{00000000-0008-0000-0100-0000E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58" name="Drop Down 2" hidden="1">
          <a:extLst>
            <a:ext uri="{FF2B5EF4-FFF2-40B4-BE49-F238E27FC236}">
              <a16:creationId xmlns:a16="http://schemas.microsoft.com/office/drawing/2014/main" id="{00000000-0008-0000-0100-0000E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59" name="Drop Down 1" hidden="1">
          <a:extLst>
            <a:ext uri="{FF2B5EF4-FFF2-40B4-BE49-F238E27FC236}">
              <a16:creationId xmlns:a16="http://schemas.microsoft.com/office/drawing/2014/main" id="{00000000-0008-0000-0100-0000E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60" name="Drop Down -1022" hidden="1">
          <a:extLst>
            <a:ext uri="{FF2B5EF4-FFF2-40B4-BE49-F238E27FC236}">
              <a16:creationId xmlns:a16="http://schemas.microsoft.com/office/drawing/2014/main" id="{00000000-0008-0000-0100-0000E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61" name="Drop Down 1" hidden="1">
          <a:extLst>
            <a:ext uri="{FF2B5EF4-FFF2-40B4-BE49-F238E27FC236}">
              <a16:creationId xmlns:a16="http://schemas.microsoft.com/office/drawing/2014/main" id="{00000000-0008-0000-0100-0000E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62" name="Drop Down 1" hidden="1">
          <a:extLst>
            <a:ext uri="{FF2B5EF4-FFF2-40B4-BE49-F238E27FC236}">
              <a16:creationId xmlns:a16="http://schemas.microsoft.com/office/drawing/2014/main" id="{00000000-0008-0000-0100-0000E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63" name="Drop Down 1" hidden="1">
          <a:extLst>
            <a:ext uri="{FF2B5EF4-FFF2-40B4-BE49-F238E27FC236}">
              <a16:creationId xmlns:a16="http://schemas.microsoft.com/office/drawing/2014/main" id="{00000000-0008-0000-0100-0000E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64" name="Drop Down 1" hidden="1">
          <a:extLst>
            <a:ext uri="{FF2B5EF4-FFF2-40B4-BE49-F238E27FC236}">
              <a16:creationId xmlns:a16="http://schemas.microsoft.com/office/drawing/2014/main" id="{00000000-0008-0000-0100-0000E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65" name="Drop Down 2" hidden="1">
          <a:extLst>
            <a:ext uri="{FF2B5EF4-FFF2-40B4-BE49-F238E27FC236}">
              <a16:creationId xmlns:a16="http://schemas.microsoft.com/office/drawing/2014/main" id="{00000000-0008-0000-0100-0000E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66" name="Drop Down 1" hidden="1">
          <a:extLst>
            <a:ext uri="{FF2B5EF4-FFF2-40B4-BE49-F238E27FC236}">
              <a16:creationId xmlns:a16="http://schemas.microsoft.com/office/drawing/2014/main" id="{00000000-0008-0000-0100-0000E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67" name="Drop Down -1022" hidden="1">
          <a:extLst>
            <a:ext uri="{FF2B5EF4-FFF2-40B4-BE49-F238E27FC236}">
              <a16:creationId xmlns:a16="http://schemas.microsoft.com/office/drawing/2014/main" id="{00000000-0008-0000-0100-0000E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68" name="Drop Down 1" hidden="1">
          <a:extLst>
            <a:ext uri="{FF2B5EF4-FFF2-40B4-BE49-F238E27FC236}">
              <a16:creationId xmlns:a16="http://schemas.microsoft.com/office/drawing/2014/main" id="{00000000-0008-0000-0100-0000E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69" name="Drop Down 1" hidden="1">
          <a:extLst>
            <a:ext uri="{FF2B5EF4-FFF2-40B4-BE49-F238E27FC236}">
              <a16:creationId xmlns:a16="http://schemas.microsoft.com/office/drawing/2014/main" id="{00000000-0008-0000-0100-0000E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70" name="Drop Down 1" hidden="1">
          <a:extLst>
            <a:ext uri="{FF2B5EF4-FFF2-40B4-BE49-F238E27FC236}">
              <a16:creationId xmlns:a16="http://schemas.microsoft.com/office/drawing/2014/main" id="{00000000-0008-0000-0100-0000E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71" name="Drop Down 1" hidden="1">
          <a:extLst>
            <a:ext uri="{FF2B5EF4-FFF2-40B4-BE49-F238E27FC236}">
              <a16:creationId xmlns:a16="http://schemas.microsoft.com/office/drawing/2014/main" id="{00000000-0008-0000-0100-0000E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72" name="Drop Down 2" hidden="1">
          <a:extLst>
            <a:ext uri="{FF2B5EF4-FFF2-40B4-BE49-F238E27FC236}">
              <a16:creationId xmlns:a16="http://schemas.microsoft.com/office/drawing/2014/main" id="{00000000-0008-0000-0100-0000F0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73" name="Drop Down 1" hidden="1">
          <a:extLst>
            <a:ext uri="{FF2B5EF4-FFF2-40B4-BE49-F238E27FC236}">
              <a16:creationId xmlns:a16="http://schemas.microsoft.com/office/drawing/2014/main" id="{00000000-0008-0000-0100-0000F1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74" name="Drop Down -1022" hidden="1">
          <a:extLst>
            <a:ext uri="{FF2B5EF4-FFF2-40B4-BE49-F238E27FC236}">
              <a16:creationId xmlns:a16="http://schemas.microsoft.com/office/drawing/2014/main" id="{00000000-0008-0000-0100-0000F2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75" name="Drop Down 1" hidden="1">
          <a:extLst>
            <a:ext uri="{FF2B5EF4-FFF2-40B4-BE49-F238E27FC236}">
              <a16:creationId xmlns:a16="http://schemas.microsoft.com/office/drawing/2014/main" id="{00000000-0008-0000-0100-0000F3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76" name="Drop Down 1" hidden="1">
          <a:extLst>
            <a:ext uri="{FF2B5EF4-FFF2-40B4-BE49-F238E27FC236}">
              <a16:creationId xmlns:a16="http://schemas.microsoft.com/office/drawing/2014/main" id="{00000000-0008-0000-0100-0000F4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77" name="Drop Down 1" hidden="1">
          <a:extLst>
            <a:ext uri="{FF2B5EF4-FFF2-40B4-BE49-F238E27FC236}">
              <a16:creationId xmlns:a16="http://schemas.microsoft.com/office/drawing/2014/main" id="{00000000-0008-0000-0100-0000F5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78" name="Drop Down 1" hidden="1">
          <a:extLst>
            <a:ext uri="{FF2B5EF4-FFF2-40B4-BE49-F238E27FC236}">
              <a16:creationId xmlns:a16="http://schemas.microsoft.com/office/drawing/2014/main" id="{00000000-0008-0000-0100-0000F6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79" name="Drop Down 2" hidden="1">
          <a:extLst>
            <a:ext uri="{FF2B5EF4-FFF2-40B4-BE49-F238E27FC236}">
              <a16:creationId xmlns:a16="http://schemas.microsoft.com/office/drawing/2014/main" id="{00000000-0008-0000-0100-0000F7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80" name="Drop Down 1" hidden="1">
          <a:extLst>
            <a:ext uri="{FF2B5EF4-FFF2-40B4-BE49-F238E27FC236}">
              <a16:creationId xmlns:a16="http://schemas.microsoft.com/office/drawing/2014/main" id="{00000000-0008-0000-0100-0000F8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81" name="Drop Down -1022" hidden="1">
          <a:extLst>
            <a:ext uri="{FF2B5EF4-FFF2-40B4-BE49-F238E27FC236}">
              <a16:creationId xmlns:a16="http://schemas.microsoft.com/office/drawing/2014/main" id="{00000000-0008-0000-0100-0000F9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82" name="Drop Down 1" hidden="1">
          <a:extLst>
            <a:ext uri="{FF2B5EF4-FFF2-40B4-BE49-F238E27FC236}">
              <a16:creationId xmlns:a16="http://schemas.microsoft.com/office/drawing/2014/main" id="{00000000-0008-0000-0100-0000FA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83" name="Drop Down 1" hidden="1">
          <a:extLst>
            <a:ext uri="{FF2B5EF4-FFF2-40B4-BE49-F238E27FC236}">
              <a16:creationId xmlns:a16="http://schemas.microsoft.com/office/drawing/2014/main" id="{00000000-0008-0000-0100-0000FB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84" name="Drop Down 1" hidden="1">
          <a:extLst>
            <a:ext uri="{FF2B5EF4-FFF2-40B4-BE49-F238E27FC236}">
              <a16:creationId xmlns:a16="http://schemas.microsoft.com/office/drawing/2014/main" id="{00000000-0008-0000-0100-0000FC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85" name="Drop Down 1" hidden="1">
          <a:extLst>
            <a:ext uri="{FF2B5EF4-FFF2-40B4-BE49-F238E27FC236}">
              <a16:creationId xmlns:a16="http://schemas.microsoft.com/office/drawing/2014/main" id="{00000000-0008-0000-0100-0000FD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86" name="Drop Down 2" hidden="1">
          <a:extLst>
            <a:ext uri="{FF2B5EF4-FFF2-40B4-BE49-F238E27FC236}">
              <a16:creationId xmlns:a16="http://schemas.microsoft.com/office/drawing/2014/main" id="{00000000-0008-0000-0100-0000FE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87" name="Drop Down 1" hidden="1">
          <a:extLst>
            <a:ext uri="{FF2B5EF4-FFF2-40B4-BE49-F238E27FC236}">
              <a16:creationId xmlns:a16="http://schemas.microsoft.com/office/drawing/2014/main" id="{00000000-0008-0000-0100-0000FF16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888" name="Drop Down -1022" hidden="1">
          <a:extLst>
            <a:ext uri="{FF2B5EF4-FFF2-40B4-BE49-F238E27FC236}">
              <a16:creationId xmlns:a16="http://schemas.microsoft.com/office/drawing/2014/main" id="{00000000-0008-0000-0100-00000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89" name="Drop Down 1" hidden="1">
          <a:extLst>
            <a:ext uri="{FF2B5EF4-FFF2-40B4-BE49-F238E27FC236}">
              <a16:creationId xmlns:a16="http://schemas.microsoft.com/office/drawing/2014/main" id="{00000000-0008-0000-0100-00000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90" name="Drop Down 1" hidden="1">
          <a:extLst>
            <a:ext uri="{FF2B5EF4-FFF2-40B4-BE49-F238E27FC236}">
              <a16:creationId xmlns:a16="http://schemas.microsoft.com/office/drawing/2014/main" id="{00000000-0008-0000-0100-00000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91" name="Drop Down 1" hidden="1">
          <a:extLst>
            <a:ext uri="{FF2B5EF4-FFF2-40B4-BE49-F238E27FC236}">
              <a16:creationId xmlns:a16="http://schemas.microsoft.com/office/drawing/2014/main" id="{00000000-0008-0000-0100-00000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92" name="Drop Down 1" hidden="1">
          <a:extLst>
            <a:ext uri="{FF2B5EF4-FFF2-40B4-BE49-F238E27FC236}">
              <a16:creationId xmlns:a16="http://schemas.microsoft.com/office/drawing/2014/main" id="{00000000-0008-0000-0100-00000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93" name="Drop Down 2" hidden="1">
          <a:extLst>
            <a:ext uri="{FF2B5EF4-FFF2-40B4-BE49-F238E27FC236}">
              <a16:creationId xmlns:a16="http://schemas.microsoft.com/office/drawing/2014/main" id="{00000000-0008-0000-0100-00000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94" name="Drop Down 1" hidden="1">
          <a:extLst>
            <a:ext uri="{FF2B5EF4-FFF2-40B4-BE49-F238E27FC236}">
              <a16:creationId xmlns:a16="http://schemas.microsoft.com/office/drawing/2014/main" id="{00000000-0008-0000-0100-00000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895" name="Drop Down -1022" hidden="1">
          <a:extLst>
            <a:ext uri="{FF2B5EF4-FFF2-40B4-BE49-F238E27FC236}">
              <a16:creationId xmlns:a16="http://schemas.microsoft.com/office/drawing/2014/main" id="{00000000-0008-0000-0100-00000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96" name="Drop Down 1" hidden="1">
          <a:extLst>
            <a:ext uri="{FF2B5EF4-FFF2-40B4-BE49-F238E27FC236}">
              <a16:creationId xmlns:a16="http://schemas.microsoft.com/office/drawing/2014/main" id="{00000000-0008-0000-0100-00000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97" name="Drop Down 1" hidden="1">
          <a:extLst>
            <a:ext uri="{FF2B5EF4-FFF2-40B4-BE49-F238E27FC236}">
              <a16:creationId xmlns:a16="http://schemas.microsoft.com/office/drawing/2014/main" id="{00000000-0008-0000-0100-00000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98" name="Drop Down 1" hidden="1">
          <a:extLst>
            <a:ext uri="{FF2B5EF4-FFF2-40B4-BE49-F238E27FC236}">
              <a16:creationId xmlns:a16="http://schemas.microsoft.com/office/drawing/2014/main" id="{00000000-0008-0000-0100-00000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899" name="Drop Down 1" hidden="1">
          <a:extLst>
            <a:ext uri="{FF2B5EF4-FFF2-40B4-BE49-F238E27FC236}">
              <a16:creationId xmlns:a16="http://schemas.microsoft.com/office/drawing/2014/main" id="{00000000-0008-0000-0100-00000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900" name="Drop Down 2" hidden="1">
          <a:extLst>
            <a:ext uri="{FF2B5EF4-FFF2-40B4-BE49-F238E27FC236}">
              <a16:creationId xmlns:a16="http://schemas.microsoft.com/office/drawing/2014/main" id="{00000000-0008-0000-0100-00000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901" name="Drop Down 1" hidden="1">
          <a:extLst>
            <a:ext uri="{FF2B5EF4-FFF2-40B4-BE49-F238E27FC236}">
              <a16:creationId xmlns:a16="http://schemas.microsoft.com/office/drawing/2014/main" id="{00000000-0008-0000-0100-00000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5902" name="Drop Down -1022" hidden="1">
          <a:extLst>
            <a:ext uri="{FF2B5EF4-FFF2-40B4-BE49-F238E27FC236}">
              <a16:creationId xmlns:a16="http://schemas.microsoft.com/office/drawing/2014/main" id="{00000000-0008-0000-0100-00000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903" name="Drop Down 1" hidden="1">
          <a:extLst>
            <a:ext uri="{FF2B5EF4-FFF2-40B4-BE49-F238E27FC236}">
              <a16:creationId xmlns:a16="http://schemas.microsoft.com/office/drawing/2014/main" id="{00000000-0008-0000-0100-00000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904" name="Drop Down 1" hidden="1">
          <a:extLst>
            <a:ext uri="{FF2B5EF4-FFF2-40B4-BE49-F238E27FC236}">
              <a16:creationId xmlns:a16="http://schemas.microsoft.com/office/drawing/2014/main" id="{00000000-0008-0000-0100-00001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905" name="Drop Down 1" hidden="1">
          <a:extLst>
            <a:ext uri="{FF2B5EF4-FFF2-40B4-BE49-F238E27FC236}">
              <a16:creationId xmlns:a16="http://schemas.microsoft.com/office/drawing/2014/main" id="{00000000-0008-0000-0100-00001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906" name="Drop Down 1" hidden="1">
          <a:extLst>
            <a:ext uri="{FF2B5EF4-FFF2-40B4-BE49-F238E27FC236}">
              <a16:creationId xmlns:a16="http://schemas.microsoft.com/office/drawing/2014/main" id="{00000000-0008-0000-0100-00001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907" name="Drop Down 2" hidden="1">
          <a:extLst>
            <a:ext uri="{FF2B5EF4-FFF2-40B4-BE49-F238E27FC236}">
              <a16:creationId xmlns:a16="http://schemas.microsoft.com/office/drawing/2014/main" id="{00000000-0008-0000-0100-00001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908" name="Drop Down 1" hidden="1">
          <a:extLst>
            <a:ext uri="{FF2B5EF4-FFF2-40B4-BE49-F238E27FC236}">
              <a16:creationId xmlns:a16="http://schemas.microsoft.com/office/drawing/2014/main" id="{00000000-0008-0000-0100-00001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5909" name="Drop Down -1022" hidden="1">
          <a:extLst>
            <a:ext uri="{FF2B5EF4-FFF2-40B4-BE49-F238E27FC236}">
              <a16:creationId xmlns:a16="http://schemas.microsoft.com/office/drawing/2014/main" id="{00000000-0008-0000-0100-00001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10" name="Drop Down 1" hidden="1">
          <a:extLst>
            <a:ext uri="{FF2B5EF4-FFF2-40B4-BE49-F238E27FC236}">
              <a16:creationId xmlns:a16="http://schemas.microsoft.com/office/drawing/2014/main" id="{00000000-0008-0000-0100-00001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11" name="Drop Down 1" hidden="1">
          <a:extLst>
            <a:ext uri="{FF2B5EF4-FFF2-40B4-BE49-F238E27FC236}">
              <a16:creationId xmlns:a16="http://schemas.microsoft.com/office/drawing/2014/main" id="{00000000-0008-0000-0100-00001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12" name="Drop Down 1" hidden="1">
          <a:extLst>
            <a:ext uri="{FF2B5EF4-FFF2-40B4-BE49-F238E27FC236}">
              <a16:creationId xmlns:a16="http://schemas.microsoft.com/office/drawing/2014/main" id="{00000000-0008-0000-0100-00001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13" name="Drop Down 1" hidden="1">
          <a:extLst>
            <a:ext uri="{FF2B5EF4-FFF2-40B4-BE49-F238E27FC236}">
              <a16:creationId xmlns:a16="http://schemas.microsoft.com/office/drawing/2014/main" id="{00000000-0008-0000-0100-00001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14" name="Drop Down 2" hidden="1">
          <a:extLst>
            <a:ext uri="{FF2B5EF4-FFF2-40B4-BE49-F238E27FC236}">
              <a16:creationId xmlns:a16="http://schemas.microsoft.com/office/drawing/2014/main" id="{00000000-0008-0000-0100-00001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15" name="Drop Down 1" hidden="1">
          <a:extLst>
            <a:ext uri="{FF2B5EF4-FFF2-40B4-BE49-F238E27FC236}">
              <a16:creationId xmlns:a16="http://schemas.microsoft.com/office/drawing/2014/main" id="{00000000-0008-0000-0100-00001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16" name="Drop Down -1022" hidden="1">
          <a:extLst>
            <a:ext uri="{FF2B5EF4-FFF2-40B4-BE49-F238E27FC236}">
              <a16:creationId xmlns:a16="http://schemas.microsoft.com/office/drawing/2014/main" id="{00000000-0008-0000-0100-00001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17" name="Drop Down 1" hidden="1">
          <a:extLst>
            <a:ext uri="{FF2B5EF4-FFF2-40B4-BE49-F238E27FC236}">
              <a16:creationId xmlns:a16="http://schemas.microsoft.com/office/drawing/2014/main" id="{00000000-0008-0000-0100-00001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18" name="Drop Down 1" hidden="1">
          <a:extLst>
            <a:ext uri="{FF2B5EF4-FFF2-40B4-BE49-F238E27FC236}">
              <a16:creationId xmlns:a16="http://schemas.microsoft.com/office/drawing/2014/main" id="{00000000-0008-0000-0100-00001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19" name="Drop Down 1" hidden="1">
          <a:extLst>
            <a:ext uri="{FF2B5EF4-FFF2-40B4-BE49-F238E27FC236}">
              <a16:creationId xmlns:a16="http://schemas.microsoft.com/office/drawing/2014/main" id="{00000000-0008-0000-0100-00001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20" name="Drop Down 1" hidden="1">
          <a:extLst>
            <a:ext uri="{FF2B5EF4-FFF2-40B4-BE49-F238E27FC236}">
              <a16:creationId xmlns:a16="http://schemas.microsoft.com/office/drawing/2014/main" id="{00000000-0008-0000-0100-00002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21" name="Drop Down 2" hidden="1">
          <a:extLst>
            <a:ext uri="{FF2B5EF4-FFF2-40B4-BE49-F238E27FC236}">
              <a16:creationId xmlns:a16="http://schemas.microsoft.com/office/drawing/2014/main" id="{00000000-0008-0000-0100-00002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22" name="Drop Down 1" hidden="1">
          <a:extLst>
            <a:ext uri="{FF2B5EF4-FFF2-40B4-BE49-F238E27FC236}">
              <a16:creationId xmlns:a16="http://schemas.microsoft.com/office/drawing/2014/main" id="{00000000-0008-0000-0100-00002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23" name="Drop Down -1022" hidden="1">
          <a:extLst>
            <a:ext uri="{FF2B5EF4-FFF2-40B4-BE49-F238E27FC236}">
              <a16:creationId xmlns:a16="http://schemas.microsoft.com/office/drawing/2014/main" id="{00000000-0008-0000-0100-00002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24" name="Drop Down 1" hidden="1">
          <a:extLst>
            <a:ext uri="{FF2B5EF4-FFF2-40B4-BE49-F238E27FC236}">
              <a16:creationId xmlns:a16="http://schemas.microsoft.com/office/drawing/2014/main" id="{00000000-0008-0000-0100-00002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25" name="Drop Down 1" hidden="1">
          <a:extLst>
            <a:ext uri="{FF2B5EF4-FFF2-40B4-BE49-F238E27FC236}">
              <a16:creationId xmlns:a16="http://schemas.microsoft.com/office/drawing/2014/main" id="{00000000-0008-0000-0100-00002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26" name="Drop Down 1" hidden="1">
          <a:extLst>
            <a:ext uri="{FF2B5EF4-FFF2-40B4-BE49-F238E27FC236}">
              <a16:creationId xmlns:a16="http://schemas.microsoft.com/office/drawing/2014/main" id="{00000000-0008-0000-0100-00002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27" name="Drop Down 1" hidden="1">
          <a:extLst>
            <a:ext uri="{FF2B5EF4-FFF2-40B4-BE49-F238E27FC236}">
              <a16:creationId xmlns:a16="http://schemas.microsoft.com/office/drawing/2014/main" id="{00000000-0008-0000-0100-00002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28" name="Drop Down 2" hidden="1">
          <a:extLst>
            <a:ext uri="{FF2B5EF4-FFF2-40B4-BE49-F238E27FC236}">
              <a16:creationId xmlns:a16="http://schemas.microsoft.com/office/drawing/2014/main" id="{00000000-0008-0000-0100-00002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29" name="Drop Down 1" hidden="1">
          <a:extLst>
            <a:ext uri="{FF2B5EF4-FFF2-40B4-BE49-F238E27FC236}">
              <a16:creationId xmlns:a16="http://schemas.microsoft.com/office/drawing/2014/main" id="{00000000-0008-0000-0100-00002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30" name="Drop Down -1022" hidden="1">
          <a:extLst>
            <a:ext uri="{FF2B5EF4-FFF2-40B4-BE49-F238E27FC236}">
              <a16:creationId xmlns:a16="http://schemas.microsoft.com/office/drawing/2014/main" id="{00000000-0008-0000-0100-00002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31" name="Drop Down 1" hidden="1">
          <a:extLst>
            <a:ext uri="{FF2B5EF4-FFF2-40B4-BE49-F238E27FC236}">
              <a16:creationId xmlns:a16="http://schemas.microsoft.com/office/drawing/2014/main" id="{00000000-0008-0000-0100-00002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32" name="Drop Down 1" hidden="1">
          <a:extLst>
            <a:ext uri="{FF2B5EF4-FFF2-40B4-BE49-F238E27FC236}">
              <a16:creationId xmlns:a16="http://schemas.microsoft.com/office/drawing/2014/main" id="{00000000-0008-0000-0100-00002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33" name="Drop Down 1" hidden="1">
          <a:extLst>
            <a:ext uri="{FF2B5EF4-FFF2-40B4-BE49-F238E27FC236}">
              <a16:creationId xmlns:a16="http://schemas.microsoft.com/office/drawing/2014/main" id="{00000000-0008-0000-0100-00002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34" name="Drop Down 1" hidden="1">
          <a:extLst>
            <a:ext uri="{FF2B5EF4-FFF2-40B4-BE49-F238E27FC236}">
              <a16:creationId xmlns:a16="http://schemas.microsoft.com/office/drawing/2014/main" id="{00000000-0008-0000-0100-00002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35" name="Drop Down 2" hidden="1">
          <a:extLst>
            <a:ext uri="{FF2B5EF4-FFF2-40B4-BE49-F238E27FC236}">
              <a16:creationId xmlns:a16="http://schemas.microsoft.com/office/drawing/2014/main" id="{00000000-0008-0000-0100-00002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36" name="Drop Down 1" hidden="1">
          <a:extLst>
            <a:ext uri="{FF2B5EF4-FFF2-40B4-BE49-F238E27FC236}">
              <a16:creationId xmlns:a16="http://schemas.microsoft.com/office/drawing/2014/main" id="{00000000-0008-0000-0100-00003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37" name="Drop Down -1022" hidden="1">
          <a:extLst>
            <a:ext uri="{FF2B5EF4-FFF2-40B4-BE49-F238E27FC236}">
              <a16:creationId xmlns:a16="http://schemas.microsoft.com/office/drawing/2014/main" id="{00000000-0008-0000-0100-00003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38" name="Drop Down 1" hidden="1">
          <a:extLst>
            <a:ext uri="{FF2B5EF4-FFF2-40B4-BE49-F238E27FC236}">
              <a16:creationId xmlns:a16="http://schemas.microsoft.com/office/drawing/2014/main" id="{00000000-0008-0000-0100-00003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39" name="Drop Down 1" hidden="1">
          <a:extLst>
            <a:ext uri="{FF2B5EF4-FFF2-40B4-BE49-F238E27FC236}">
              <a16:creationId xmlns:a16="http://schemas.microsoft.com/office/drawing/2014/main" id="{00000000-0008-0000-0100-00003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40" name="Drop Down 1" hidden="1">
          <a:extLst>
            <a:ext uri="{FF2B5EF4-FFF2-40B4-BE49-F238E27FC236}">
              <a16:creationId xmlns:a16="http://schemas.microsoft.com/office/drawing/2014/main" id="{00000000-0008-0000-0100-00003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41" name="Drop Down 1" hidden="1">
          <a:extLst>
            <a:ext uri="{FF2B5EF4-FFF2-40B4-BE49-F238E27FC236}">
              <a16:creationId xmlns:a16="http://schemas.microsoft.com/office/drawing/2014/main" id="{00000000-0008-0000-0100-00003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42" name="Drop Down 2" hidden="1">
          <a:extLst>
            <a:ext uri="{FF2B5EF4-FFF2-40B4-BE49-F238E27FC236}">
              <a16:creationId xmlns:a16="http://schemas.microsoft.com/office/drawing/2014/main" id="{00000000-0008-0000-0100-00003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43" name="Drop Down 1" hidden="1">
          <a:extLst>
            <a:ext uri="{FF2B5EF4-FFF2-40B4-BE49-F238E27FC236}">
              <a16:creationId xmlns:a16="http://schemas.microsoft.com/office/drawing/2014/main" id="{00000000-0008-0000-0100-00003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44" name="Drop Down -1022" hidden="1">
          <a:extLst>
            <a:ext uri="{FF2B5EF4-FFF2-40B4-BE49-F238E27FC236}">
              <a16:creationId xmlns:a16="http://schemas.microsoft.com/office/drawing/2014/main" id="{00000000-0008-0000-0100-00003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45" name="Drop Down 1" hidden="1">
          <a:extLst>
            <a:ext uri="{FF2B5EF4-FFF2-40B4-BE49-F238E27FC236}">
              <a16:creationId xmlns:a16="http://schemas.microsoft.com/office/drawing/2014/main" id="{00000000-0008-0000-0100-00003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46" name="Drop Down 1" hidden="1">
          <a:extLst>
            <a:ext uri="{FF2B5EF4-FFF2-40B4-BE49-F238E27FC236}">
              <a16:creationId xmlns:a16="http://schemas.microsoft.com/office/drawing/2014/main" id="{00000000-0008-0000-0100-00003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47" name="Drop Down 1" hidden="1">
          <a:extLst>
            <a:ext uri="{FF2B5EF4-FFF2-40B4-BE49-F238E27FC236}">
              <a16:creationId xmlns:a16="http://schemas.microsoft.com/office/drawing/2014/main" id="{00000000-0008-0000-0100-00003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48" name="Drop Down 1" hidden="1">
          <a:extLst>
            <a:ext uri="{FF2B5EF4-FFF2-40B4-BE49-F238E27FC236}">
              <a16:creationId xmlns:a16="http://schemas.microsoft.com/office/drawing/2014/main" id="{00000000-0008-0000-0100-00003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49" name="Drop Down 2" hidden="1">
          <a:extLst>
            <a:ext uri="{FF2B5EF4-FFF2-40B4-BE49-F238E27FC236}">
              <a16:creationId xmlns:a16="http://schemas.microsoft.com/office/drawing/2014/main" id="{00000000-0008-0000-0100-00003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50" name="Drop Down 1" hidden="1">
          <a:extLst>
            <a:ext uri="{FF2B5EF4-FFF2-40B4-BE49-F238E27FC236}">
              <a16:creationId xmlns:a16="http://schemas.microsoft.com/office/drawing/2014/main" id="{00000000-0008-0000-0100-00003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51" name="Drop Down -1022" hidden="1">
          <a:extLst>
            <a:ext uri="{FF2B5EF4-FFF2-40B4-BE49-F238E27FC236}">
              <a16:creationId xmlns:a16="http://schemas.microsoft.com/office/drawing/2014/main" id="{00000000-0008-0000-0100-00003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52" name="Drop Down 1" hidden="1">
          <a:extLst>
            <a:ext uri="{FF2B5EF4-FFF2-40B4-BE49-F238E27FC236}">
              <a16:creationId xmlns:a16="http://schemas.microsoft.com/office/drawing/2014/main" id="{00000000-0008-0000-0100-00004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53" name="Drop Down 1" hidden="1">
          <a:extLst>
            <a:ext uri="{FF2B5EF4-FFF2-40B4-BE49-F238E27FC236}">
              <a16:creationId xmlns:a16="http://schemas.microsoft.com/office/drawing/2014/main" id="{00000000-0008-0000-0100-00004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54" name="Drop Down 1" hidden="1">
          <a:extLst>
            <a:ext uri="{FF2B5EF4-FFF2-40B4-BE49-F238E27FC236}">
              <a16:creationId xmlns:a16="http://schemas.microsoft.com/office/drawing/2014/main" id="{00000000-0008-0000-0100-00004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55" name="Drop Down 1" hidden="1">
          <a:extLst>
            <a:ext uri="{FF2B5EF4-FFF2-40B4-BE49-F238E27FC236}">
              <a16:creationId xmlns:a16="http://schemas.microsoft.com/office/drawing/2014/main" id="{00000000-0008-0000-0100-00004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56" name="Drop Down 2" hidden="1">
          <a:extLst>
            <a:ext uri="{FF2B5EF4-FFF2-40B4-BE49-F238E27FC236}">
              <a16:creationId xmlns:a16="http://schemas.microsoft.com/office/drawing/2014/main" id="{00000000-0008-0000-0100-00004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57" name="Drop Down 1" hidden="1">
          <a:extLst>
            <a:ext uri="{FF2B5EF4-FFF2-40B4-BE49-F238E27FC236}">
              <a16:creationId xmlns:a16="http://schemas.microsoft.com/office/drawing/2014/main" id="{00000000-0008-0000-0100-00004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58" name="Drop Down -1022" hidden="1">
          <a:extLst>
            <a:ext uri="{FF2B5EF4-FFF2-40B4-BE49-F238E27FC236}">
              <a16:creationId xmlns:a16="http://schemas.microsoft.com/office/drawing/2014/main" id="{00000000-0008-0000-0100-00004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59" name="Drop Down 1" hidden="1">
          <a:extLst>
            <a:ext uri="{FF2B5EF4-FFF2-40B4-BE49-F238E27FC236}">
              <a16:creationId xmlns:a16="http://schemas.microsoft.com/office/drawing/2014/main" id="{00000000-0008-0000-0100-00004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60" name="Drop Down 1" hidden="1">
          <a:extLst>
            <a:ext uri="{FF2B5EF4-FFF2-40B4-BE49-F238E27FC236}">
              <a16:creationId xmlns:a16="http://schemas.microsoft.com/office/drawing/2014/main" id="{00000000-0008-0000-0100-00004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61" name="Drop Down 1" hidden="1">
          <a:extLst>
            <a:ext uri="{FF2B5EF4-FFF2-40B4-BE49-F238E27FC236}">
              <a16:creationId xmlns:a16="http://schemas.microsoft.com/office/drawing/2014/main" id="{00000000-0008-0000-0100-00004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62" name="Drop Down 1" hidden="1">
          <a:extLst>
            <a:ext uri="{FF2B5EF4-FFF2-40B4-BE49-F238E27FC236}">
              <a16:creationId xmlns:a16="http://schemas.microsoft.com/office/drawing/2014/main" id="{00000000-0008-0000-0100-00004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63" name="Drop Down 2" hidden="1">
          <a:extLst>
            <a:ext uri="{FF2B5EF4-FFF2-40B4-BE49-F238E27FC236}">
              <a16:creationId xmlns:a16="http://schemas.microsoft.com/office/drawing/2014/main" id="{00000000-0008-0000-0100-00004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64" name="Drop Down 1" hidden="1">
          <a:extLst>
            <a:ext uri="{FF2B5EF4-FFF2-40B4-BE49-F238E27FC236}">
              <a16:creationId xmlns:a16="http://schemas.microsoft.com/office/drawing/2014/main" id="{00000000-0008-0000-0100-00004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65" name="Drop Down -1022" hidden="1">
          <a:extLst>
            <a:ext uri="{FF2B5EF4-FFF2-40B4-BE49-F238E27FC236}">
              <a16:creationId xmlns:a16="http://schemas.microsoft.com/office/drawing/2014/main" id="{00000000-0008-0000-0100-00004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66" name="Drop Down 1" hidden="1">
          <a:extLst>
            <a:ext uri="{FF2B5EF4-FFF2-40B4-BE49-F238E27FC236}">
              <a16:creationId xmlns:a16="http://schemas.microsoft.com/office/drawing/2014/main" id="{00000000-0008-0000-0100-00004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67" name="Drop Down 1" hidden="1">
          <a:extLst>
            <a:ext uri="{FF2B5EF4-FFF2-40B4-BE49-F238E27FC236}">
              <a16:creationId xmlns:a16="http://schemas.microsoft.com/office/drawing/2014/main" id="{00000000-0008-0000-0100-00004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68" name="Drop Down 1" hidden="1">
          <a:extLst>
            <a:ext uri="{FF2B5EF4-FFF2-40B4-BE49-F238E27FC236}">
              <a16:creationId xmlns:a16="http://schemas.microsoft.com/office/drawing/2014/main" id="{00000000-0008-0000-0100-00005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69" name="Drop Down 1" hidden="1">
          <a:extLst>
            <a:ext uri="{FF2B5EF4-FFF2-40B4-BE49-F238E27FC236}">
              <a16:creationId xmlns:a16="http://schemas.microsoft.com/office/drawing/2014/main" id="{00000000-0008-0000-0100-00005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70" name="Drop Down 2" hidden="1">
          <a:extLst>
            <a:ext uri="{FF2B5EF4-FFF2-40B4-BE49-F238E27FC236}">
              <a16:creationId xmlns:a16="http://schemas.microsoft.com/office/drawing/2014/main" id="{00000000-0008-0000-0100-00005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71" name="Drop Down 1" hidden="1">
          <a:extLst>
            <a:ext uri="{FF2B5EF4-FFF2-40B4-BE49-F238E27FC236}">
              <a16:creationId xmlns:a16="http://schemas.microsoft.com/office/drawing/2014/main" id="{00000000-0008-0000-0100-00005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5972" name="Drop Down -1022" hidden="1">
          <a:extLst>
            <a:ext uri="{FF2B5EF4-FFF2-40B4-BE49-F238E27FC236}">
              <a16:creationId xmlns:a16="http://schemas.microsoft.com/office/drawing/2014/main" id="{00000000-0008-0000-0100-00005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73" name="Drop Down 1" hidden="1">
          <a:extLst>
            <a:ext uri="{FF2B5EF4-FFF2-40B4-BE49-F238E27FC236}">
              <a16:creationId xmlns:a16="http://schemas.microsoft.com/office/drawing/2014/main" id="{00000000-0008-0000-0100-00005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74" name="Drop Down 1" hidden="1">
          <a:extLst>
            <a:ext uri="{FF2B5EF4-FFF2-40B4-BE49-F238E27FC236}">
              <a16:creationId xmlns:a16="http://schemas.microsoft.com/office/drawing/2014/main" id="{00000000-0008-0000-0100-00005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75" name="Drop Down 1" hidden="1">
          <a:extLst>
            <a:ext uri="{FF2B5EF4-FFF2-40B4-BE49-F238E27FC236}">
              <a16:creationId xmlns:a16="http://schemas.microsoft.com/office/drawing/2014/main" id="{00000000-0008-0000-0100-00005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76" name="Drop Down 1" hidden="1">
          <a:extLst>
            <a:ext uri="{FF2B5EF4-FFF2-40B4-BE49-F238E27FC236}">
              <a16:creationId xmlns:a16="http://schemas.microsoft.com/office/drawing/2014/main" id="{00000000-0008-0000-0100-00005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77" name="Drop Down 2" hidden="1">
          <a:extLst>
            <a:ext uri="{FF2B5EF4-FFF2-40B4-BE49-F238E27FC236}">
              <a16:creationId xmlns:a16="http://schemas.microsoft.com/office/drawing/2014/main" id="{00000000-0008-0000-0100-00005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78" name="Drop Down 1" hidden="1">
          <a:extLst>
            <a:ext uri="{FF2B5EF4-FFF2-40B4-BE49-F238E27FC236}">
              <a16:creationId xmlns:a16="http://schemas.microsoft.com/office/drawing/2014/main" id="{00000000-0008-0000-0100-00005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5979" name="Drop Down -1022" hidden="1">
          <a:extLst>
            <a:ext uri="{FF2B5EF4-FFF2-40B4-BE49-F238E27FC236}">
              <a16:creationId xmlns:a16="http://schemas.microsoft.com/office/drawing/2014/main" id="{00000000-0008-0000-0100-00005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980" name="Drop Down 1" hidden="1">
          <a:extLst>
            <a:ext uri="{FF2B5EF4-FFF2-40B4-BE49-F238E27FC236}">
              <a16:creationId xmlns:a16="http://schemas.microsoft.com/office/drawing/2014/main" id="{00000000-0008-0000-0100-00005C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981" name="Drop Down 1" hidden="1">
          <a:extLst>
            <a:ext uri="{FF2B5EF4-FFF2-40B4-BE49-F238E27FC236}">
              <a16:creationId xmlns:a16="http://schemas.microsoft.com/office/drawing/2014/main" id="{00000000-0008-0000-0100-00005D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982" name="Drop Down 1" hidden="1">
          <a:extLst>
            <a:ext uri="{FF2B5EF4-FFF2-40B4-BE49-F238E27FC236}">
              <a16:creationId xmlns:a16="http://schemas.microsoft.com/office/drawing/2014/main" id="{00000000-0008-0000-0100-00005E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983" name="Drop Down 1" hidden="1">
          <a:extLst>
            <a:ext uri="{FF2B5EF4-FFF2-40B4-BE49-F238E27FC236}">
              <a16:creationId xmlns:a16="http://schemas.microsoft.com/office/drawing/2014/main" id="{00000000-0008-0000-0100-00005F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984" name="Drop Down 2" hidden="1">
          <a:extLst>
            <a:ext uri="{FF2B5EF4-FFF2-40B4-BE49-F238E27FC236}">
              <a16:creationId xmlns:a16="http://schemas.microsoft.com/office/drawing/2014/main" id="{00000000-0008-0000-0100-000060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985" name="Drop Down 1" hidden="1">
          <a:extLst>
            <a:ext uri="{FF2B5EF4-FFF2-40B4-BE49-F238E27FC236}">
              <a16:creationId xmlns:a16="http://schemas.microsoft.com/office/drawing/2014/main" id="{00000000-0008-0000-0100-000061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5986" name="Drop Down -1022" hidden="1">
          <a:extLst>
            <a:ext uri="{FF2B5EF4-FFF2-40B4-BE49-F238E27FC236}">
              <a16:creationId xmlns:a16="http://schemas.microsoft.com/office/drawing/2014/main" id="{00000000-0008-0000-0100-000062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987" name="Drop Down 1" hidden="1">
          <a:extLst>
            <a:ext uri="{FF2B5EF4-FFF2-40B4-BE49-F238E27FC236}">
              <a16:creationId xmlns:a16="http://schemas.microsoft.com/office/drawing/2014/main" id="{00000000-0008-0000-0100-000063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988" name="Drop Down 1" hidden="1">
          <a:extLst>
            <a:ext uri="{FF2B5EF4-FFF2-40B4-BE49-F238E27FC236}">
              <a16:creationId xmlns:a16="http://schemas.microsoft.com/office/drawing/2014/main" id="{00000000-0008-0000-0100-000064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989" name="Drop Down 1" hidden="1">
          <a:extLst>
            <a:ext uri="{FF2B5EF4-FFF2-40B4-BE49-F238E27FC236}">
              <a16:creationId xmlns:a16="http://schemas.microsoft.com/office/drawing/2014/main" id="{00000000-0008-0000-0100-000065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990" name="Drop Down 1" hidden="1">
          <a:extLst>
            <a:ext uri="{FF2B5EF4-FFF2-40B4-BE49-F238E27FC236}">
              <a16:creationId xmlns:a16="http://schemas.microsoft.com/office/drawing/2014/main" id="{00000000-0008-0000-0100-000066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991" name="Drop Down 2" hidden="1">
          <a:extLst>
            <a:ext uri="{FF2B5EF4-FFF2-40B4-BE49-F238E27FC236}">
              <a16:creationId xmlns:a16="http://schemas.microsoft.com/office/drawing/2014/main" id="{00000000-0008-0000-0100-000067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992" name="Drop Down 1" hidden="1">
          <a:extLst>
            <a:ext uri="{FF2B5EF4-FFF2-40B4-BE49-F238E27FC236}">
              <a16:creationId xmlns:a16="http://schemas.microsoft.com/office/drawing/2014/main" id="{00000000-0008-0000-0100-000068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5993" name="Drop Down -1022" hidden="1">
          <a:extLst>
            <a:ext uri="{FF2B5EF4-FFF2-40B4-BE49-F238E27FC236}">
              <a16:creationId xmlns:a16="http://schemas.microsoft.com/office/drawing/2014/main" id="{00000000-0008-0000-0100-000069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994" name="Drop Down 1" hidden="1">
          <a:extLst>
            <a:ext uri="{FF2B5EF4-FFF2-40B4-BE49-F238E27FC236}">
              <a16:creationId xmlns:a16="http://schemas.microsoft.com/office/drawing/2014/main" id="{00000000-0008-0000-0100-00006A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995" name="Drop Down 1" hidden="1">
          <a:extLst>
            <a:ext uri="{FF2B5EF4-FFF2-40B4-BE49-F238E27FC236}">
              <a16:creationId xmlns:a16="http://schemas.microsoft.com/office/drawing/2014/main" id="{00000000-0008-0000-0100-00006B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996" name="Drop Down 1" hidden="1">
          <a:extLst>
            <a:ext uri="{FF2B5EF4-FFF2-40B4-BE49-F238E27FC236}">
              <a16:creationId xmlns:a16="http://schemas.microsoft.com/office/drawing/2014/main" id="{00000000-0008-0000-0100-00006C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997" name="Drop Down 1" hidden="1">
          <a:extLst>
            <a:ext uri="{FF2B5EF4-FFF2-40B4-BE49-F238E27FC236}">
              <a16:creationId xmlns:a16="http://schemas.microsoft.com/office/drawing/2014/main" id="{00000000-0008-0000-0100-00006D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998" name="Drop Down 2" hidden="1">
          <a:extLst>
            <a:ext uri="{FF2B5EF4-FFF2-40B4-BE49-F238E27FC236}">
              <a16:creationId xmlns:a16="http://schemas.microsoft.com/office/drawing/2014/main" id="{00000000-0008-0000-0100-00006E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5999" name="Drop Down 1" hidden="1">
          <a:extLst>
            <a:ext uri="{FF2B5EF4-FFF2-40B4-BE49-F238E27FC236}">
              <a16:creationId xmlns:a16="http://schemas.microsoft.com/office/drawing/2014/main" id="{00000000-0008-0000-0100-00006F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00" name="Drop Down -1022" hidden="1">
          <a:extLst>
            <a:ext uri="{FF2B5EF4-FFF2-40B4-BE49-F238E27FC236}">
              <a16:creationId xmlns:a16="http://schemas.microsoft.com/office/drawing/2014/main" id="{00000000-0008-0000-0100-000070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01" name="Drop Down 1" hidden="1">
          <a:extLst>
            <a:ext uri="{FF2B5EF4-FFF2-40B4-BE49-F238E27FC236}">
              <a16:creationId xmlns:a16="http://schemas.microsoft.com/office/drawing/2014/main" id="{00000000-0008-0000-0100-000071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02" name="Drop Down 1" hidden="1">
          <a:extLst>
            <a:ext uri="{FF2B5EF4-FFF2-40B4-BE49-F238E27FC236}">
              <a16:creationId xmlns:a16="http://schemas.microsoft.com/office/drawing/2014/main" id="{00000000-0008-0000-0100-000072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03" name="Drop Down 1" hidden="1">
          <a:extLst>
            <a:ext uri="{FF2B5EF4-FFF2-40B4-BE49-F238E27FC236}">
              <a16:creationId xmlns:a16="http://schemas.microsoft.com/office/drawing/2014/main" id="{00000000-0008-0000-0100-000073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04" name="Drop Down 1" hidden="1">
          <a:extLst>
            <a:ext uri="{FF2B5EF4-FFF2-40B4-BE49-F238E27FC236}">
              <a16:creationId xmlns:a16="http://schemas.microsoft.com/office/drawing/2014/main" id="{00000000-0008-0000-0100-000074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05" name="Drop Down 2" hidden="1">
          <a:extLst>
            <a:ext uri="{FF2B5EF4-FFF2-40B4-BE49-F238E27FC236}">
              <a16:creationId xmlns:a16="http://schemas.microsoft.com/office/drawing/2014/main" id="{00000000-0008-0000-0100-000075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06" name="Drop Down 1" hidden="1">
          <a:extLst>
            <a:ext uri="{FF2B5EF4-FFF2-40B4-BE49-F238E27FC236}">
              <a16:creationId xmlns:a16="http://schemas.microsoft.com/office/drawing/2014/main" id="{00000000-0008-0000-0100-000076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07" name="Drop Down -1022" hidden="1">
          <a:extLst>
            <a:ext uri="{FF2B5EF4-FFF2-40B4-BE49-F238E27FC236}">
              <a16:creationId xmlns:a16="http://schemas.microsoft.com/office/drawing/2014/main" id="{00000000-0008-0000-0100-000077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08" name="Drop Down 1" hidden="1">
          <a:extLst>
            <a:ext uri="{FF2B5EF4-FFF2-40B4-BE49-F238E27FC236}">
              <a16:creationId xmlns:a16="http://schemas.microsoft.com/office/drawing/2014/main" id="{00000000-0008-0000-0100-00007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09" name="Drop Down 1" hidden="1">
          <a:extLst>
            <a:ext uri="{FF2B5EF4-FFF2-40B4-BE49-F238E27FC236}">
              <a16:creationId xmlns:a16="http://schemas.microsoft.com/office/drawing/2014/main" id="{00000000-0008-0000-0100-00007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10" name="Drop Down 1" hidden="1">
          <a:extLst>
            <a:ext uri="{FF2B5EF4-FFF2-40B4-BE49-F238E27FC236}">
              <a16:creationId xmlns:a16="http://schemas.microsoft.com/office/drawing/2014/main" id="{00000000-0008-0000-0100-00007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11" name="Drop Down 1" hidden="1">
          <a:extLst>
            <a:ext uri="{FF2B5EF4-FFF2-40B4-BE49-F238E27FC236}">
              <a16:creationId xmlns:a16="http://schemas.microsoft.com/office/drawing/2014/main" id="{00000000-0008-0000-0100-00007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12" name="Drop Down 2" hidden="1">
          <a:extLst>
            <a:ext uri="{FF2B5EF4-FFF2-40B4-BE49-F238E27FC236}">
              <a16:creationId xmlns:a16="http://schemas.microsoft.com/office/drawing/2014/main" id="{00000000-0008-0000-0100-00007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13" name="Drop Down 1" hidden="1">
          <a:extLst>
            <a:ext uri="{FF2B5EF4-FFF2-40B4-BE49-F238E27FC236}">
              <a16:creationId xmlns:a16="http://schemas.microsoft.com/office/drawing/2014/main" id="{00000000-0008-0000-0100-00007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14" name="Drop Down -1022" hidden="1">
          <a:extLst>
            <a:ext uri="{FF2B5EF4-FFF2-40B4-BE49-F238E27FC236}">
              <a16:creationId xmlns:a16="http://schemas.microsoft.com/office/drawing/2014/main" id="{00000000-0008-0000-0100-00007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15" name="Drop Down 1" hidden="1">
          <a:extLst>
            <a:ext uri="{FF2B5EF4-FFF2-40B4-BE49-F238E27FC236}">
              <a16:creationId xmlns:a16="http://schemas.microsoft.com/office/drawing/2014/main" id="{00000000-0008-0000-0100-00007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16" name="Drop Down 1" hidden="1">
          <a:extLst>
            <a:ext uri="{FF2B5EF4-FFF2-40B4-BE49-F238E27FC236}">
              <a16:creationId xmlns:a16="http://schemas.microsoft.com/office/drawing/2014/main" id="{00000000-0008-0000-0100-00008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17" name="Drop Down 1" hidden="1">
          <a:extLst>
            <a:ext uri="{FF2B5EF4-FFF2-40B4-BE49-F238E27FC236}">
              <a16:creationId xmlns:a16="http://schemas.microsoft.com/office/drawing/2014/main" id="{00000000-0008-0000-0100-00008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18" name="Drop Down 1" hidden="1">
          <a:extLst>
            <a:ext uri="{FF2B5EF4-FFF2-40B4-BE49-F238E27FC236}">
              <a16:creationId xmlns:a16="http://schemas.microsoft.com/office/drawing/2014/main" id="{00000000-0008-0000-0100-00008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19" name="Drop Down 2" hidden="1">
          <a:extLst>
            <a:ext uri="{FF2B5EF4-FFF2-40B4-BE49-F238E27FC236}">
              <a16:creationId xmlns:a16="http://schemas.microsoft.com/office/drawing/2014/main" id="{00000000-0008-0000-0100-00008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20" name="Drop Down 1" hidden="1">
          <a:extLst>
            <a:ext uri="{FF2B5EF4-FFF2-40B4-BE49-F238E27FC236}">
              <a16:creationId xmlns:a16="http://schemas.microsoft.com/office/drawing/2014/main" id="{00000000-0008-0000-0100-00008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21" name="Drop Down -1022" hidden="1">
          <a:extLst>
            <a:ext uri="{FF2B5EF4-FFF2-40B4-BE49-F238E27FC236}">
              <a16:creationId xmlns:a16="http://schemas.microsoft.com/office/drawing/2014/main" id="{00000000-0008-0000-0100-00008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22" name="Drop Down 1" hidden="1">
          <a:extLst>
            <a:ext uri="{FF2B5EF4-FFF2-40B4-BE49-F238E27FC236}">
              <a16:creationId xmlns:a16="http://schemas.microsoft.com/office/drawing/2014/main" id="{00000000-0008-0000-0100-00008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23" name="Drop Down 1" hidden="1">
          <a:extLst>
            <a:ext uri="{FF2B5EF4-FFF2-40B4-BE49-F238E27FC236}">
              <a16:creationId xmlns:a16="http://schemas.microsoft.com/office/drawing/2014/main" id="{00000000-0008-0000-0100-00008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24" name="Drop Down 1" hidden="1">
          <a:extLst>
            <a:ext uri="{FF2B5EF4-FFF2-40B4-BE49-F238E27FC236}">
              <a16:creationId xmlns:a16="http://schemas.microsoft.com/office/drawing/2014/main" id="{00000000-0008-0000-0100-00008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25" name="Drop Down 1" hidden="1">
          <a:extLst>
            <a:ext uri="{FF2B5EF4-FFF2-40B4-BE49-F238E27FC236}">
              <a16:creationId xmlns:a16="http://schemas.microsoft.com/office/drawing/2014/main" id="{00000000-0008-0000-0100-00008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26" name="Drop Down 2" hidden="1">
          <a:extLst>
            <a:ext uri="{FF2B5EF4-FFF2-40B4-BE49-F238E27FC236}">
              <a16:creationId xmlns:a16="http://schemas.microsoft.com/office/drawing/2014/main" id="{00000000-0008-0000-0100-00008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27" name="Drop Down 1" hidden="1">
          <a:extLst>
            <a:ext uri="{FF2B5EF4-FFF2-40B4-BE49-F238E27FC236}">
              <a16:creationId xmlns:a16="http://schemas.microsoft.com/office/drawing/2014/main" id="{00000000-0008-0000-0100-00008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28" name="Drop Down -1022" hidden="1">
          <a:extLst>
            <a:ext uri="{FF2B5EF4-FFF2-40B4-BE49-F238E27FC236}">
              <a16:creationId xmlns:a16="http://schemas.microsoft.com/office/drawing/2014/main" id="{00000000-0008-0000-0100-00008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29" name="Drop Down 1" hidden="1">
          <a:extLst>
            <a:ext uri="{FF2B5EF4-FFF2-40B4-BE49-F238E27FC236}">
              <a16:creationId xmlns:a16="http://schemas.microsoft.com/office/drawing/2014/main" id="{00000000-0008-0000-0100-00008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30" name="Drop Down 1" hidden="1">
          <a:extLst>
            <a:ext uri="{FF2B5EF4-FFF2-40B4-BE49-F238E27FC236}">
              <a16:creationId xmlns:a16="http://schemas.microsoft.com/office/drawing/2014/main" id="{00000000-0008-0000-0100-00008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31" name="Drop Down 1" hidden="1">
          <a:extLst>
            <a:ext uri="{FF2B5EF4-FFF2-40B4-BE49-F238E27FC236}">
              <a16:creationId xmlns:a16="http://schemas.microsoft.com/office/drawing/2014/main" id="{00000000-0008-0000-0100-00008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32" name="Drop Down 1" hidden="1">
          <a:extLst>
            <a:ext uri="{FF2B5EF4-FFF2-40B4-BE49-F238E27FC236}">
              <a16:creationId xmlns:a16="http://schemas.microsoft.com/office/drawing/2014/main" id="{00000000-0008-0000-0100-00009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33" name="Drop Down 2" hidden="1">
          <a:extLst>
            <a:ext uri="{FF2B5EF4-FFF2-40B4-BE49-F238E27FC236}">
              <a16:creationId xmlns:a16="http://schemas.microsoft.com/office/drawing/2014/main" id="{00000000-0008-0000-0100-00009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34" name="Drop Down 1" hidden="1">
          <a:extLst>
            <a:ext uri="{FF2B5EF4-FFF2-40B4-BE49-F238E27FC236}">
              <a16:creationId xmlns:a16="http://schemas.microsoft.com/office/drawing/2014/main" id="{00000000-0008-0000-0100-00009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35" name="Drop Down -1022" hidden="1">
          <a:extLst>
            <a:ext uri="{FF2B5EF4-FFF2-40B4-BE49-F238E27FC236}">
              <a16:creationId xmlns:a16="http://schemas.microsoft.com/office/drawing/2014/main" id="{00000000-0008-0000-0100-00009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36" name="Drop Down 1" hidden="1">
          <a:extLst>
            <a:ext uri="{FF2B5EF4-FFF2-40B4-BE49-F238E27FC236}">
              <a16:creationId xmlns:a16="http://schemas.microsoft.com/office/drawing/2014/main" id="{00000000-0008-0000-0100-00009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37" name="Drop Down 1" hidden="1">
          <a:extLst>
            <a:ext uri="{FF2B5EF4-FFF2-40B4-BE49-F238E27FC236}">
              <a16:creationId xmlns:a16="http://schemas.microsoft.com/office/drawing/2014/main" id="{00000000-0008-0000-0100-00009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38" name="Drop Down 1" hidden="1">
          <a:extLst>
            <a:ext uri="{FF2B5EF4-FFF2-40B4-BE49-F238E27FC236}">
              <a16:creationId xmlns:a16="http://schemas.microsoft.com/office/drawing/2014/main" id="{00000000-0008-0000-0100-00009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39" name="Drop Down 1" hidden="1">
          <a:extLst>
            <a:ext uri="{FF2B5EF4-FFF2-40B4-BE49-F238E27FC236}">
              <a16:creationId xmlns:a16="http://schemas.microsoft.com/office/drawing/2014/main" id="{00000000-0008-0000-0100-00009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40" name="Drop Down 2" hidden="1">
          <a:extLst>
            <a:ext uri="{FF2B5EF4-FFF2-40B4-BE49-F238E27FC236}">
              <a16:creationId xmlns:a16="http://schemas.microsoft.com/office/drawing/2014/main" id="{00000000-0008-0000-0100-00009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41" name="Drop Down 1" hidden="1">
          <a:extLst>
            <a:ext uri="{FF2B5EF4-FFF2-40B4-BE49-F238E27FC236}">
              <a16:creationId xmlns:a16="http://schemas.microsoft.com/office/drawing/2014/main" id="{00000000-0008-0000-0100-00009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42" name="Drop Down -1022" hidden="1">
          <a:extLst>
            <a:ext uri="{FF2B5EF4-FFF2-40B4-BE49-F238E27FC236}">
              <a16:creationId xmlns:a16="http://schemas.microsoft.com/office/drawing/2014/main" id="{00000000-0008-0000-0100-00009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43" name="Drop Down 1" hidden="1">
          <a:extLst>
            <a:ext uri="{FF2B5EF4-FFF2-40B4-BE49-F238E27FC236}">
              <a16:creationId xmlns:a16="http://schemas.microsoft.com/office/drawing/2014/main" id="{00000000-0008-0000-0100-00009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44" name="Drop Down 1" hidden="1">
          <a:extLst>
            <a:ext uri="{FF2B5EF4-FFF2-40B4-BE49-F238E27FC236}">
              <a16:creationId xmlns:a16="http://schemas.microsoft.com/office/drawing/2014/main" id="{00000000-0008-0000-0100-00009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45" name="Drop Down 1" hidden="1">
          <a:extLst>
            <a:ext uri="{FF2B5EF4-FFF2-40B4-BE49-F238E27FC236}">
              <a16:creationId xmlns:a16="http://schemas.microsoft.com/office/drawing/2014/main" id="{00000000-0008-0000-0100-00009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46" name="Drop Down 1" hidden="1">
          <a:extLst>
            <a:ext uri="{FF2B5EF4-FFF2-40B4-BE49-F238E27FC236}">
              <a16:creationId xmlns:a16="http://schemas.microsoft.com/office/drawing/2014/main" id="{00000000-0008-0000-0100-00009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47" name="Drop Down 2" hidden="1">
          <a:extLst>
            <a:ext uri="{FF2B5EF4-FFF2-40B4-BE49-F238E27FC236}">
              <a16:creationId xmlns:a16="http://schemas.microsoft.com/office/drawing/2014/main" id="{00000000-0008-0000-0100-00009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48" name="Drop Down 1" hidden="1">
          <a:extLst>
            <a:ext uri="{FF2B5EF4-FFF2-40B4-BE49-F238E27FC236}">
              <a16:creationId xmlns:a16="http://schemas.microsoft.com/office/drawing/2014/main" id="{00000000-0008-0000-0100-0000A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49" name="Drop Down -1022" hidden="1">
          <a:extLst>
            <a:ext uri="{FF2B5EF4-FFF2-40B4-BE49-F238E27FC236}">
              <a16:creationId xmlns:a16="http://schemas.microsoft.com/office/drawing/2014/main" id="{00000000-0008-0000-0100-0000A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50" name="Drop Down 1" hidden="1">
          <a:extLst>
            <a:ext uri="{FF2B5EF4-FFF2-40B4-BE49-F238E27FC236}">
              <a16:creationId xmlns:a16="http://schemas.microsoft.com/office/drawing/2014/main" id="{00000000-0008-0000-0100-0000A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51" name="Drop Down 1" hidden="1">
          <a:extLst>
            <a:ext uri="{FF2B5EF4-FFF2-40B4-BE49-F238E27FC236}">
              <a16:creationId xmlns:a16="http://schemas.microsoft.com/office/drawing/2014/main" id="{00000000-0008-0000-0100-0000A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52" name="Drop Down 1" hidden="1">
          <a:extLst>
            <a:ext uri="{FF2B5EF4-FFF2-40B4-BE49-F238E27FC236}">
              <a16:creationId xmlns:a16="http://schemas.microsoft.com/office/drawing/2014/main" id="{00000000-0008-0000-0100-0000A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53" name="Drop Down 1" hidden="1">
          <a:extLst>
            <a:ext uri="{FF2B5EF4-FFF2-40B4-BE49-F238E27FC236}">
              <a16:creationId xmlns:a16="http://schemas.microsoft.com/office/drawing/2014/main" id="{00000000-0008-0000-0100-0000A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54" name="Drop Down 2" hidden="1">
          <a:extLst>
            <a:ext uri="{FF2B5EF4-FFF2-40B4-BE49-F238E27FC236}">
              <a16:creationId xmlns:a16="http://schemas.microsoft.com/office/drawing/2014/main" id="{00000000-0008-0000-0100-0000A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55" name="Drop Down 1" hidden="1">
          <a:extLst>
            <a:ext uri="{FF2B5EF4-FFF2-40B4-BE49-F238E27FC236}">
              <a16:creationId xmlns:a16="http://schemas.microsoft.com/office/drawing/2014/main" id="{00000000-0008-0000-0100-0000A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56" name="Drop Down -1022" hidden="1">
          <a:extLst>
            <a:ext uri="{FF2B5EF4-FFF2-40B4-BE49-F238E27FC236}">
              <a16:creationId xmlns:a16="http://schemas.microsoft.com/office/drawing/2014/main" id="{00000000-0008-0000-0100-0000A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57" name="Drop Down 1" hidden="1">
          <a:extLst>
            <a:ext uri="{FF2B5EF4-FFF2-40B4-BE49-F238E27FC236}">
              <a16:creationId xmlns:a16="http://schemas.microsoft.com/office/drawing/2014/main" id="{00000000-0008-0000-0100-0000A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58" name="Drop Down 1" hidden="1">
          <a:extLst>
            <a:ext uri="{FF2B5EF4-FFF2-40B4-BE49-F238E27FC236}">
              <a16:creationId xmlns:a16="http://schemas.microsoft.com/office/drawing/2014/main" id="{00000000-0008-0000-0100-0000A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59" name="Drop Down 1" hidden="1">
          <a:extLst>
            <a:ext uri="{FF2B5EF4-FFF2-40B4-BE49-F238E27FC236}">
              <a16:creationId xmlns:a16="http://schemas.microsoft.com/office/drawing/2014/main" id="{00000000-0008-0000-0100-0000A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60" name="Drop Down 1" hidden="1">
          <a:extLst>
            <a:ext uri="{FF2B5EF4-FFF2-40B4-BE49-F238E27FC236}">
              <a16:creationId xmlns:a16="http://schemas.microsoft.com/office/drawing/2014/main" id="{00000000-0008-0000-0100-0000A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61" name="Drop Down 2" hidden="1">
          <a:extLst>
            <a:ext uri="{FF2B5EF4-FFF2-40B4-BE49-F238E27FC236}">
              <a16:creationId xmlns:a16="http://schemas.microsoft.com/office/drawing/2014/main" id="{00000000-0008-0000-0100-0000A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62" name="Drop Down 1" hidden="1">
          <a:extLst>
            <a:ext uri="{FF2B5EF4-FFF2-40B4-BE49-F238E27FC236}">
              <a16:creationId xmlns:a16="http://schemas.microsoft.com/office/drawing/2014/main" id="{00000000-0008-0000-0100-0000A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63" name="Drop Down -1022" hidden="1">
          <a:extLst>
            <a:ext uri="{FF2B5EF4-FFF2-40B4-BE49-F238E27FC236}">
              <a16:creationId xmlns:a16="http://schemas.microsoft.com/office/drawing/2014/main" id="{00000000-0008-0000-0100-0000A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64" name="Drop Down 1" hidden="1">
          <a:extLst>
            <a:ext uri="{FF2B5EF4-FFF2-40B4-BE49-F238E27FC236}">
              <a16:creationId xmlns:a16="http://schemas.microsoft.com/office/drawing/2014/main" id="{00000000-0008-0000-0100-0000B0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65" name="Drop Down 1" hidden="1">
          <a:extLst>
            <a:ext uri="{FF2B5EF4-FFF2-40B4-BE49-F238E27FC236}">
              <a16:creationId xmlns:a16="http://schemas.microsoft.com/office/drawing/2014/main" id="{00000000-0008-0000-0100-0000B1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66" name="Drop Down 1" hidden="1">
          <a:extLst>
            <a:ext uri="{FF2B5EF4-FFF2-40B4-BE49-F238E27FC236}">
              <a16:creationId xmlns:a16="http://schemas.microsoft.com/office/drawing/2014/main" id="{00000000-0008-0000-0100-0000B2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67" name="Drop Down 1" hidden="1">
          <a:extLst>
            <a:ext uri="{FF2B5EF4-FFF2-40B4-BE49-F238E27FC236}">
              <a16:creationId xmlns:a16="http://schemas.microsoft.com/office/drawing/2014/main" id="{00000000-0008-0000-0100-0000B3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68" name="Drop Down 2" hidden="1">
          <a:extLst>
            <a:ext uri="{FF2B5EF4-FFF2-40B4-BE49-F238E27FC236}">
              <a16:creationId xmlns:a16="http://schemas.microsoft.com/office/drawing/2014/main" id="{00000000-0008-0000-0100-0000B4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69" name="Drop Down 1" hidden="1">
          <a:extLst>
            <a:ext uri="{FF2B5EF4-FFF2-40B4-BE49-F238E27FC236}">
              <a16:creationId xmlns:a16="http://schemas.microsoft.com/office/drawing/2014/main" id="{00000000-0008-0000-0100-0000B5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70" name="Drop Down -1022" hidden="1">
          <a:extLst>
            <a:ext uri="{FF2B5EF4-FFF2-40B4-BE49-F238E27FC236}">
              <a16:creationId xmlns:a16="http://schemas.microsoft.com/office/drawing/2014/main" id="{00000000-0008-0000-0100-0000B6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71" name="Drop Down 1" hidden="1">
          <a:extLst>
            <a:ext uri="{FF2B5EF4-FFF2-40B4-BE49-F238E27FC236}">
              <a16:creationId xmlns:a16="http://schemas.microsoft.com/office/drawing/2014/main" id="{00000000-0008-0000-0100-0000B7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72" name="Drop Down 1" hidden="1">
          <a:extLst>
            <a:ext uri="{FF2B5EF4-FFF2-40B4-BE49-F238E27FC236}">
              <a16:creationId xmlns:a16="http://schemas.microsoft.com/office/drawing/2014/main" id="{00000000-0008-0000-0100-0000B8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73" name="Drop Down 1" hidden="1">
          <a:extLst>
            <a:ext uri="{FF2B5EF4-FFF2-40B4-BE49-F238E27FC236}">
              <a16:creationId xmlns:a16="http://schemas.microsoft.com/office/drawing/2014/main" id="{00000000-0008-0000-0100-0000B9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74" name="Drop Down 1" hidden="1">
          <a:extLst>
            <a:ext uri="{FF2B5EF4-FFF2-40B4-BE49-F238E27FC236}">
              <a16:creationId xmlns:a16="http://schemas.microsoft.com/office/drawing/2014/main" id="{00000000-0008-0000-0100-0000BA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75" name="Drop Down 2" hidden="1">
          <a:extLst>
            <a:ext uri="{FF2B5EF4-FFF2-40B4-BE49-F238E27FC236}">
              <a16:creationId xmlns:a16="http://schemas.microsoft.com/office/drawing/2014/main" id="{00000000-0008-0000-0100-0000BB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76" name="Drop Down 1" hidden="1">
          <a:extLst>
            <a:ext uri="{FF2B5EF4-FFF2-40B4-BE49-F238E27FC236}">
              <a16:creationId xmlns:a16="http://schemas.microsoft.com/office/drawing/2014/main" id="{00000000-0008-0000-0100-0000BC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77" name="Drop Down -1022" hidden="1">
          <a:extLst>
            <a:ext uri="{FF2B5EF4-FFF2-40B4-BE49-F238E27FC236}">
              <a16:creationId xmlns:a16="http://schemas.microsoft.com/office/drawing/2014/main" id="{00000000-0008-0000-0100-0000BD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78" name="Drop Down 1" hidden="1">
          <a:extLst>
            <a:ext uri="{FF2B5EF4-FFF2-40B4-BE49-F238E27FC236}">
              <a16:creationId xmlns:a16="http://schemas.microsoft.com/office/drawing/2014/main" id="{00000000-0008-0000-0100-0000BE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79" name="Drop Down 1" hidden="1">
          <a:extLst>
            <a:ext uri="{FF2B5EF4-FFF2-40B4-BE49-F238E27FC236}">
              <a16:creationId xmlns:a16="http://schemas.microsoft.com/office/drawing/2014/main" id="{00000000-0008-0000-0100-0000BF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80" name="Drop Down 1" hidden="1">
          <a:extLst>
            <a:ext uri="{FF2B5EF4-FFF2-40B4-BE49-F238E27FC236}">
              <a16:creationId xmlns:a16="http://schemas.microsoft.com/office/drawing/2014/main" id="{00000000-0008-0000-0100-0000C0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81" name="Drop Down 1" hidden="1">
          <a:extLst>
            <a:ext uri="{FF2B5EF4-FFF2-40B4-BE49-F238E27FC236}">
              <a16:creationId xmlns:a16="http://schemas.microsoft.com/office/drawing/2014/main" id="{00000000-0008-0000-0100-0000C1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82" name="Drop Down 2" hidden="1">
          <a:extLst>
            <a:ext uri="{FF2B5EF4-FFF2-40B4-BE49-F238E27FC236}">
              <a16:creationId xmlns:a16="http://schemas.microsoft.com/office/drawing/2014/main" id="{00000000-0008-0000-0100-0000C2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83" name="Drop Down 1" hidden="1">
          <a:extLst>
            <a:ext uri="{FF2B5EF4-FFF2-40B4-BE49-F238E27FC236}">
              <a16:creationId xmlns:a16="http://schemas.microsoft.com/office/drawing/2014/main" id="{00000000-0008-0000-0100-0000C3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084" name="Drop Down -1022" hidden="1">
          <a:extLst>
            <a:ext uri="{FF2B5EF4-FFF2-40B4-BE49-F238E27FC236}">
              <a16:creationId xmlns:a16="http://schemas.microsoft.com/office/drawing/2014/main" id="{00000000-0008-0000-0100-0000C4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85" name="Drop Down 1" hidden="1">
          <a:extLst>
            <a:ext uri="{FF2B5EF4-FFF2-40B4-BE49-F238E27FC236}">
              <a16:creationId xmlns:a16="http://schemas.microsoft.com/office/drawing/2014/main" id="{00000000-0008-0000-0100-0000C5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86" name="Drop Down 1" hidden="1">
          <a:extLst>
            <a:ext uri="{FF2B5EF4-FFF2-40B4-BE49-F238E27FC236}">
              <a16:creationId xmlns:a16="http://schemas.microsoft.com/office/drawing/2014/main" id="{00000000-0008-0000-0100-0000C6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87" name="Drop Down 1" hidden="1">
          <a:extLst>
            <a:ext uri="{FF2B5EF4-FFF2-40B4-BE49-F238E27FC236}">
              <a16:creationId xmlns:a16="http://schemas.microsoft.com/office/drawing/2014/main" id="{00000000-0008-0000-0100-0000C7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88" name="Drop Down 1" hidden="1">
          <a:extLst>
            <a:ext uri="{FF2B5EF4-FFF2-40B4-BE49-F238E27FC236}">
              <a16:creationId xmlns:a16="http://schemas.microsoft.com/office/drawing/2014/main" id="{00000000-0008-0000-0100-0000C8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89" name="Drop Down 2" hidden="1">
          <a:extLst>
            <a:ext uri="{FF2B5EF4-FFF2-40B4-BE49-F238E27FC236}">
              <a16:creationId xmlns:a16="http://schemas.microsoft.com/office/drawing/2014/main" id="{00000000-0008-0000-0100-0000C9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90" name="Drop Down 1" hidden="1">
          <a:extLst>
            <a:ext uri="{FF2B5EF4-FFF2-40B4-BE49-F238E27FC236}">
              <a16:creationId xmlns:a16="http://schemas.microsoft.com/office/drawing/2014/main" id="{00000000-0008-0000-0100-0000CA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091" name="Drop Down -1022" hidden="1">
          <a:extLst>
            <a:ext uri="{FF2B5EF4-FFF2-40B4-BE49-F238E27FC236}">
              <a16:creationId xmlns:a16="http://schemas.microsoft.com/office/drawing/2014/main" id="{00000000-0008-0000-0100-0000CB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92" name="Drop Down 1" hidden="1">
          <a:extLst>
            <a:ext uri="{FF2B5EF4-FFF2-40B4-BE49-F238E27FC236}">
              <a16:creationId xmlns:a16="http://schemas.microsoft.com/office/drawing/2014/main" id="{00000000-0008-0000-0100-0000C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93" name="Drop Down 1" hidden="1">
          <a:extLst>
            <a:ext uri="{FF2B5EF4-FFF2-40B4-BE49-F238E27FC236}">
              <a16:creationId xmlns:a16="http://schemas.microsoft.com/office/drawing/2014/main" id="{00000000-0008-0000-0100-0000C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94" name="Drop Down 1" hidden="1">
          <a:extLst>
            <a:ext uri="{FF2B5EF4-FFF2-40B4-BE49-F238E27FC236}">
              <a16:creationId xmlns:a16="http://schemas.microsoft.com/office/drawing/2014/main" id="{00000000-0008-0000-0100-0000C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95" name="Drop Down 1" hidden="1">
          <a:extLst>
            <a:ext uri="{FF2B5EF4-FFF2-40B4-BE49-F238E27FC236}">
              <a16:creationId xmlns:a16="http://schemas.microsoft.com/office/drawing/2014/main" id="{00000000-0008-0000-0100-0000C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96" name="Drop Down 2" hidden="1">
          <a:extLst>
            <a:ext uri="{FF2B5EF4-FFF2-40B4-BE49-F238E27FC236}">
              <a16:creationId xmlns:a16="http://schemas.microsoft.com/office/drawing/2014/main" id="{00000000-0008-0000-0100-0000D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97" name="Drop Down 1" hidden="1">
          <a:extLst>
            <a:ext uri="{FF2B5EF4-FFF2-40B4-BE49-F238E27FC236}">
              <a16:creationId xmlns:a16="http://schemas.microsoft.com/office/drawing/2014/main" id="{00000000-0008-0000-0100-0000D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098" name="Drop Down -1022" hidden="1">
          <a:extLst>
            <a:ext uri="{FF2B5EF4-FFF2-40B4-BE49-F238E27FC236}">
              <a16:creationId xmlns:a16="http://schemas.microsoft.com/office/drawing/2014/main" id="{00000000-0008-0000-0100-0000D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099" name="Drop Down 1" hidden="1">
          <a:extLst>
            <a:ext uri="{FF2B5EF4-FFF2-40B4-BE49-F238E27FC236}">
              <a16:creationId xmlns:a16="http://schemas.microsoft.com/office/drawing/2014/main" id="{00000000-0008-0000-0100-0000D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00" name="Drop Down 1" hidden="1">
          <a:extLst>
            <a:ext uri="{FF2B5EF4-FFF2-40B4-BE49-F238E27FC236}">
              <a16:creationId xmlns:a16="http://schemas.microsoft.com/office/drawing/2014/main" id="{00000000-0008-0000-0100-0000D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01" name="Drop Down 1" hidden="1">
          <a:extLst>
            <a:ext uri="{FF2B5EF4-FFF2-40B4-BE49-F238E27FC236}">
              <a16:creationId xmlns:a16="http://schemas.microsoft.com/office/drawing/2014/main" id="{00000000-0008-0000-0100-0000D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02" name="Drop Down 1" hidden="1">
          <a:extLst>
            <a:ext uri="{FF2B5EF4-FFF2-40B4-BE49-F238E27FC236}">
              <a16:creationId xmlns:a16="http://schemas.microsoft.com/office/drawing/2014/main" id="{00000000-0008-0000-0100-0000D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03" name="Drop Down 2" hidden="1">
          <a:extLst>
            <a:ext uri="{FF2B5EF4-FFF2-40B4-BE49-F238E27FC236}">
              <a16:creationId xmlns:a16="http://schemas.microsoft.com/office/drawing/2014/main" id="{00000000-0008-0000-0100-0000D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04" name="Drop Down 1" hidden="1">
          <a:extLst>
            <a:ext uri="{FF2B5EF4-FFF2-40B4-BE49-F238E27FC236}">
              <a16:creationId xmlns:a16="http://schemas.microsoft.com/office/drawing/2014/main" id="{00000000-0008-0000-0100-0000D8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05" name="Drop Down -1022" hidden="1">
          <a:extLst>
            <a:ext uri="{FF2B5EF4-FFF2-40B4-BE49-F238E27FC236}">
              <a16:creationId xmlns:a16="http://schemas.microsoft.com/office/drawing/2014/main" id="{00000000-0008-0000-0100-0000D9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06" name="Drop Down 1" hidden="1">
          <a:extLst>
            <a:ext uri="{FF2B5EF4-FFF2-40B4-BE49-F238E27FC236}">
              <a16:creationId xmlns:a16="http://schemas.microsoft.com/office/drawing/2014/main" id="{00000000-0008-0000-0100-0000DA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07" name="Drop Down 1" hidden="1">
          <a:extLst>
            <a:ext uri="{FF2B5EF4-FFF2-40B4-BE49-F238E27FC236}">
              <a16:creationId xmlns:a16="http://schemas.microsoft.com/office/drawing/2014/main" id="{00000000-0008-0000-0100-0000DB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08" name="Drop Down 1" hidden="1">
          <a:extLst>
            <a:ext uri="{FF2B5EF4-FFF2-40B4-BE49-F238E27FC236}">
              <a16:creationId xmlns:a16="http://schemas.microsoft.com/office/drawing/2014/main" id="{00000000-0008-0000-0100-0000DC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09" name="Drop Down 1" hidden="1">
          <a:extLst>
            <a:ext uri="{FF2B5EF4-FFF2-40B4-BE49-F238E27FC236}">
              <a16:creationId xmlns:a16="http://schemas.microsoft.com/office/drawing/2014/main" id="{00000000-0008-0000-0100-0000DD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10" name="Drop Down 2" hidden="1">
          <a:extLst>
            <a:ext uri="{FF2B5EF4-FFF2-40B4-BE49-F238E27FC236}">
              <a16:creationId xmlns:a16="http://schemas.microsoft.com/office/drawing/2014/main" id="{00000000-0008-0000-0100-0000DE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11" name="Drop Down 1" hidden="1">
          <a:extLst>
            <a:ext uri="{FF2B5EF4-FFF2-40B4-BE49-F238E27FC236}">
              <a16:creationId xmlns:a16="http://schemas.microsoft.com/office/drawing/2014/main" id="{00000000-0008-0000-0100-0000DF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12" name="Drop Down -1022" hidden="1">
          <a:extLst>
            <a:ext uri="{FF2B5EF4-FFF2-40B4-BE49-F238E27FC236}">
              <a16:creationId xmlns:a16="http://schemas.microsoft.com/office/drawing/2014/main" id="{00000000-0008-0000-0100-0000E0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13" name="Drop Down 1" hidden="1">
          <a:extLst>
            <a:ext uri="{FF2B5EF4-FFF2-40B4-BE49-F238E27FC236}">
              <a16:creationId xmlns:a16="http://schemas.microsoft.com/office/drawing/2014/main" id="{00000000-0008-0000-0100-0000E1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14" name="Drop Down 1" hidden="1">
          <a:extLst>
            <a:ext uri="{FF2B5EF4-FFF2-40B4-BE49-F238E27FC236}">
              <a16:creationId xmlns:a16="http://schemas.microsoft.com/office/drawing/2014/main" id="{00000000-0008-0000-0100-0000E2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15" name="Drop Down 1" hidden="1">
          <a:extLst>
            <a:ext uri="{FF2B5EF4-FFF2-40B4-BE49-F238E27FC236}">
              <a16:creationId xmlns:a16="http://schemas.microsoft.com/office/drawing/2014/main" id="{00000000-0008-0000-0100-0000E3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16" name="Drop Down 1" hidden="1">
          <a:extLst>
            <a:ext uri="{FF2B5EF4-FFF2-40B4-BE49-F238E27FC236}">
              <a16:creationId xmlns:a16="http://schemas.microsoft.com/office/drawing/2014/main" id="{00000000-0008-0000-0100-0000E4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17" name="Drop Down 2" hidden="1">
          <a:extLst>
            <a:ext uri="{FF2B5EF4-FFF2-40B4-BE49-F238E27FC236}">
              <a16:creationId xmlns:a16="http://schemas.microsoft.com/office/drawing/2014/main" id="{00000000-0008-0000-0100-0000E5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18" name="Drop Down 1" hidden="1">
          <a:extLst>
            <a:ext uri="{FF2B5EF4-FFF2-40B4-BE49-F238E27FC236}">
              <a16:creationId xmlns:a16="http://schemas.microsoft.com/office/drawing/2014/main" id="{00000000-0008-0000-0100-0000E6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19" name="Drop Down -1022" hidden="1">
          <a:extLst>
            <a:ext uri="{FF2B5EF4-FFF2-40B4-BE49-F238E27FC236}">
              <a16:creationId xmlns:a16="http://schemas.microsoft.com/office/drawing/2014/main" id="{00000000-0008-0000-0100-0000E717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20" name="Drop Down 1" hidden="1">
          <a:extLst>
            <a:ext uri="{FF2B5EF4-FFF2-40B4-BE49-F238E27FC236}">
              <a16:creationId xmlns:a16="http://schemas.microsoft.com/office/drawing/2014/main" id="{00000000-0008-0000-0100-0000E8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21" name="Drop Down 1" hidden="1">
          <a:extLst>
            <a:ext uri="{FF2B5EF4-FFF2-40B4-BE49-F238E27FC236}">
              <a16:creationId xmlns:a16="http://schemas.microsoft.com/office/drawing/2014/main" id="{00000000-0008-0000-0100-0000E9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22" name="Drop Down 1" hidden="1">
          <a:extLst>
            <a:ext uri="{FF2B5EF4-FFF2-40B4-BE49-F238E27FC236}">
              <a16:creationId xmlns:a16="http://schemas.microsoft.com/office/drawing/2014/main" id="{00000000-0008-0000-0100-0000EA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23" name="Drop Down 1" hidden="1">
          <a:extLst>
            <a:ext uri="{FF2B5EF4-FFF2-40B4-BE49-F238E27FC236}">
              <a16:creationId xmlns:a16="http://schemas.microsoft.com/office/drawing/2014/main" id="{00000000-0008-0000-0100-0000EB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24" name="Drop Down 2" hidden="1">
          <a:extLst>
            <a:ext uri="{FF2B5EF4-FFF2-40B4-BE49-F238E27FC236}">
              <a16:creationId xmlns:a16="http://schemas.microsoft.com/office/drawing/2014/main" id="{00000000-0008-0000-0100-0000EC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25" name="Drop Down 1" hidden="1">
          <a:extLst>
            <a:ext uri="{FF2B5EF4-FFF2-40B4-BE49-F238E27FC236}">
              <a16:creationId xmlns:a16="http://schemas.microsoft.com/office/drawing/2014/main" id="{00000000-0008-0000-0100-0000ED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26" name="Drop Down -1022" hidden="1">
          <a:extLst>
            <a:ext uri="{FF2B5EF4-FFF2-40B4-BE49-F238E27FC236}">
              <a16:creationId xmlns:a16="http://schemas.microsoft.com/office/drawing/2014/main" id="{00000000-0008-0000-0100-0000EE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27" name="Drop Down 1" hidden="1">
          <a:extLst>
            <a:ext uri="{FF2B5EF4-FFF2-40B4-BE49-F238E27FC236}">
              <a16:creationId xmlns:a16="http://schemas.microsoft.com/office/drawing/2014/main" id="{00000000-0008-0000-0100-0000EF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28" name="Drop Down 1" hidden="1">
          <a:extLst>
            <a:ext uri="{FF2B5EF4-FFF2-40B4-BE49-F238E27FC236}">
              <a16:creationId xmlns:a16="http://schemas.microsoft.com/office/drawing/2014/main" id="{00000000-0008-0000-0100-0000F0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29" name="Drop Down 1" hidden="1">
          <a:extLst>
            <a:ext uri="{FF2B5EF4-FFF2-40B4-BE49-F238E27FC236}">
              <a16:creationId xmlns:a16="http://schemas.microsoft.com/office/drawing/2014/main" id="{00000000-0008-0000-0100-0000F1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30" name="Drop Down 1" hidden="1">
          <a:extLst>
            <a:ext uri="{FF2B5EF4-FFF2-40B4-BE49-F238E27FC236}">
              <a16:creationId xmlns:a16="http://schemas.microsoft.com/office/drawing/2014/main" id="{00000000-0008-0000-0100-0000F2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31" name="Drop Down 2" hidden="1">
          <a:extLst>
            <a:ext uri="{FF2B5EF4-FFF2-40B4-BE49-F238E27FC236}">
              <a16:creationId xmlns:a16="http://schemas.microsoft.com/office/drawing/2014/main" id="{00000000-0008-0000-0100-0000F3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32" name="Drop Down 1" hidden="1">
          <a:extLst>
            <a:ext uri="{FF2B5EF4-FFF2-40B4-BE49-F238E27FC236}">
              <a16:creationId xmlns:a16="http://schemas.microsoft.com/office/drawing/2014/main" id="{00000000-0008-0000-0100-0000F4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33" name="Drop Down -1022" hidden="1">
          <a:extLst>
            <a:ext uri="{FF2B5EF4-FFF2-40B4-BE49-F238E27FC236}">
              <a16:creationId xmlns:a16="http://schemas.microsoft.com/office/drawing/2014/main" id="{00000000-0008-0000-0100-0000F5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34" name="Drop Down 1" hidden="1">
          <a:extLst>
            <a:ext uri="{FF2B5EF4-FFF2-40B4-BE49-F238E27FC236}">
              <a16:creationId xmlns:a16="http://schemas.microsoft.com/office/drawing/2014/main" id="{00000000-0008-0000-0100-0000F6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35" name="Drop Down 1" hidden="1">
          <a:extLst>
            <a:ext uri="{FF2B5EF4-FFF2-40B4-BE49-F238E27FC236}">
              <a16:creationId xmlns:a16="http://schemas.microsoft.com/office/drawing/2014/main" id="{00000000-0008-0000-0100-0000F7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36" name="Drop Down 1" hidden="1">
          <a:extLst>
            <a:ext uri="{FF2B5EF4-FFF2-40B4-BE49-F238E27FC236}">
              <a16:creationId xmlns:a16="http://schemas.microsoft.com/office/drawing/2014/main" id="{00000000-0008-0000-0100-0000F8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37" name="Drop Down 1" hidden="1">
          <a:extLst>
            <a:ext uri="{FF2B5EF4-FFF2-40B4-BE49-F238E27FC236}">
              <a16:creationId xmlns:a16="http://schemas.microsoft.com/office/drawing/2014/main" id="{00000000-0008-0000-0100-0000F9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38" name="Drop Down 2" hidden="1">
          <a:extLst>
            <a:ext uri="{FF2B5EF4-FFF2-40B4-BE49-F238E27FC236}">
              <a16:creationId xmlns:a16="http://schemas.microsoft.com/office/drawing/2014/main" id="{00000000-0008-0000-0100-0000FA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39" name="Drop Down 1" hidden="1">
          <a:extLst>
            <a:ext uri="{FF2B5EF4-FFF2-40B4-BE49-F238E27FC236}">
              <a16:creationId xmlns:a16="http://schemas.microsoft.com/office/drawing/2014/main" id="{00000000-0008-0000-0100-0000FB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40" name="Drop Down -1022" hidden="1">
          <a:extLst>
            <a:ext uri="{FF2B5EF4-FFF2-40B4-BE49-F238E27FC236}">
              <a16:creationId xmlns:a16="http://schemas.microsoft.com/office/drawing/2014/main" id="{00000000-0008-0000-0100-0000FC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41" name="Drop Down 1" hidden="1">
          <a:extLst>
            <a:ext uri="{FF2B5EF4-FFF2-40B4-BE49-F238E27FC236}">
              <a16:creationId xmlns:a16="http://schemas.microsoft.com/office/drawing/2014/main" id="{00000000-0008-0000-0100-0000FD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42" name="Drop Down 1" hidden="1">
          <a:extLst>
            <a:ext uri="{FF2B5EF4-FFF2-40B4-BE49-F238E27FC236}">
              <a16:creationId xmlns:a16="http://schemas.microsoft.com/office/drawing/2014/main" id="{00000000-0008-0000-0100-0000FE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43" name="Drop Down 1" hidden="1">
          <a:extLst>
            <a:ext uri="{FF2B5EF4-FFF2-40B4-BE49-F238E27FC236}">
              <a16:creationId xmlns:a16="http://schemas.microsoft.com/office/drawing/2014/main" id="{00000000-0008-0000-0100-0000FF17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44" name="Drop Down 1" hidden="1">
          <a:extLst>
            <a:ext uri="{FF2B5EF4-FFF2-40B4-BE49-F238E27FC236}">
              <a16:creationId xmlns:a16="http://schemas.microsoft.com/office/drawing/2014/main" id="{00000000-0008-0000-0100-000000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45" name="Drop Down 2" hidden="1">
          <a:extLst>
            <a:ext uri="{FF2B5EF4-FFF2-40B4-BE49-F238E27FC236}">
              <a16:creationId xmlns:a16="http://schemas.microsoft.com/office/drawing/2014/main" id="{00000000-0008-0000-0100-000001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46" name="Drop Down 1" hidden="1">
          <a:extLst>
            <a:ext uri="{FF2B5EF4-FFF2-40B4-BE49-F238E27FC236}">
              <a16:creationId xmlns:a16="http://schemas.microsoft.com/office/drawing/2014/main" id="{00000000-0008-0000-0100-000002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47" name="Drop Down -1022" hidden="1">
          <a:extLst>
            <a:ext uri="{FF2B5EF4-FFF2-40B4-BE49-F238E27FC236}">
              <a16:creationId xmlns:a16="http://schemas.microsoft.com/office/drawing/2014/main" id="{00000000-0008-0000-0100-000003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6148" name="Drop Down 1" hidden="1">
          <a:extLst>
            <a:ext uri="{FF2B5EF4-FFF2-40B4-BE49-F238E27FC236}">
              <a16:creationId xmlns:a16="http://schemas.microsoft.com/office/drawing/2014/main" id="{00000000-0008-0000-0100-000004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6149" name="Drop Down 1" hidden="1">
          <a:extLst>
            <a:ext uri="{FF2B5EF4-FFF2-40B4-BE49-F238E27FC236}">
              <a16:creationId xmlns:a16="http://schemas.microsoft.com/office/drawing/2014/main" id="{00000000-0008-0000-0100-000005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6150" name="Drop Down 1" hidden="1">
          <a:extLst>
            <a:ext uri="{FF2B5EF4-FFF2-40B4-BE49-F238E27FC236}">
              <a16:creationId xmlns:a16="http://schemas.microsoft.com/office/drawing/2014/main" id="{00000000-0008-0000-0100-000006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6151" name="Drop Down 1" hidden="1">
          <a:extLst>
            <a:ext uri="{FF2B5EF4-FFF2-40B4-BE49-F238E27FC236}">
              <a16:creationId xmlns:a16="http://schemas.microsoft.com/office/drawing/2014/main" id="{00000000-0008-0000-0100-000007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6152" name="Drop Down 2" hidden="1">
          <a:extLst>
            <a:ext uri="{FF2B5EF4-FFF2-40B4-BE49-F238E27FC236}">
              <a16:creationId xmlns:a16="http://schemas.microsoft.com/office/drawing/2014/main" id="{00000000-0008-0000-0100-000008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6153" name="Drop Down 1" hidden="1">
          <a:extLst>
            <a:ext uri="{FF2B5EF4-FFF2-40B4-BE49-F238E27FC236}">
              <a16:creationId xmlns:a16="http://schemas.microsoft.com/office/drawing/2014/main" id="{00000000-0008-0000-0100-000009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6154" name="Drop Down -1022" hidden="1">
          <a:extLst>
            <a:ext uri="{FF2B5EF4-FFF2-40B4-BE49-F238E27FC236}">
              <a16:creationId xmlns:a16="http://schemas.microsoft.com/office/drawing/2014/main" id="{00000000-0008-0000-0100-00000A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6155" name="Drop Down 1" hidden="1">
          <a:extLst>
            <a:ext uri="{FF2B5EF4-FFF2-40B4-BE49-F238E27FC236}">
              <a16:creationId xmlns:a16="http://schemas.microsoft.com/office/drawing/2014/main" id="{00000000-0008-0000-0100-00000B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6156" name="Drop Down 1" hidden="1">
          <a:extLst>
            <a:ext uri="{FF2B5EF4-FFF2-40B4-BE49-F238E27FC236}">
              <a16:creationId xmlns:a16="http://schemas.microsoft.com/office/drawing/2014/main" id="{00000000-0008-0000-0100-00000C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6157" name="Drop Down 1" hidden="1">
          <a:extLst>
            <a:ext uri="{FF2B5EF4-FFF2-40B4-BE49-F238E27FC236}">
              <a16:creationId xmlns:a16="http://schemas.microsoft.com/office/drawing/2014/main" id="{00000000-0008-0000-0100-00000D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6158" name="Drop Down 1" hidden="1">
          <a:extLst>
            <a:ext uri="{FF2B5EF4-FFF2-40B4-BE49-F238E27FC236}">
              <a16:creationId xmlns:a16="http://schemas.microsoft.com/office/drawing/2014/main" id="{00000000-0008-0000-0100-00000E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6159" name="Drop Down 2" hidden="1">
          <a:extLst>
            <a:ext uri="{FF2B5EF4-FFF2-40B4-BE49-F238E27FC236}">
              <a16:creationId xmlns:a16="http://schemas.microsoft.com/office/drawing/2014/main" id="{00000000-0008-0000-0100-00000F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6160" name="Drop Down 1" hidden="1">
          <a:extLst>
            <a:ext uri="{FF2B5EF4-FFF2-40B4-BE49-F238E27FC236}">
              <a16:creationId xmlns:a16="http://schemas.microsoft.com/office/drawing/2014/main" id="{00000000-0008-0000-0100-000010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6161" name="Drop Down -1022" hidden="1">
          <a:extLst>
            <a:ext uri="{FF2B5EF4-FFF2-40B4-BE49-F238E27FC236}">
              <a16:creationId xmlns:a16="http://schemas.microsoft.com/office/drawing/2014/main" id="{00000000-0008-0000-0100-000011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62" name="Drop Down 1" hidden="1">
          <a:extLst>
            <a:ext uri="{FF2B5EF4-FFF2-40B4-BE49-F238E27FC236}">
              <a16:creationId xmlns:a16="http://schemas.microsoft.com/office/drawing/2014/main" id="{00000000-0008-0000-0100-000012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63" name="Drop Down 1" hidden="1">
          <a:extLst>
            <a:ext uri="{FF2B5EF4-FFF2-40B4-BE49-F238E27FC236}">
              <a16:creationId xmlns:a16="http://schemas.microsoft.com/office/drawing/2014/main" id="{00000000-0008-0000-0100-000013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64" name="Drop Down 1" hidden="1">
          <a:extLst>
            <a:ext uri="{FF2B5EF4-FFF2-40B4-BE49-F238E27FC236}">
              <a16:creationId xmlns:a16="http://schemas.microsoft.com/office/drawing/2014/main" id="{00000000-0008-0000-0100-000014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65" name="Drop Down 1" hidden="1">
          <a:extLst>
            <a:ext uri="{FF2B5EF4-FFF2-40B4-BE49-F238E27FC236}">
              <a16:creationId xmlns:a16="http://schemas.microsoft.com/office/drawing/2014/main" id="{00000000-0008-0000-0100-000015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66" name="Drop Down 2" hidden="1">
          <a:extLst>
            <a:ext uri="{FF2B5EF4-FFF2-40B4-BE49-F238E27FC236}">
              <a16:creationId xmlns:a16="http://schemas.microsoft.com/office/drawing/2014/main" id="{00000000-0008-0000-0100-000016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67" name="Drop Down 1" hidden="1">
          <a:extLst>
            <a:ext uri="{FF2B5EF4-FFF2-40B4-BE49-F238E27FC236}">
              <a16:creationId xmlns:a16="http://schemas.microsoft.com/office/drawing/2014/main" id="{00000000-0008-0000-0100-000017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168" name="Drop Down -1022" hidden="1">
          <a:extLst>
            <a:ext uri="{FF2B5EF4-FFF2-40B4-BE49-F238E27FC236}">
              <a16:creationId xmlns:a16="http://schemas.microsoft.com/office/drawing/2014/main" id="{00000000-0008-0000-0100-000018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69" name="Drop Down 1" hidden="1">
          <a:extLst>
            <a:ext uri="{FF2B5EF4-FFF2-40B4-BE49-F238E27FC236}">
              <a16:creationId xmlns:a16="http://schemas.microsoft.com/office/drawing/2014/main" id="{00000000-0008-0000-0100-000019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70" name="Drop Down 1" hidden="1">
          <a:extLst>
            <a:ext uri="{FF2B5EF4-FFF2-40B4-BE49-F238E27FC236}">
              <a16:creationId xmlns:a16="http://schemas.microsoft.com/office/drawing/2014/main" id="{00000000-0008-0000-0100-00001A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71" name="Drop Down 1" hidden="1">
          <a:extLst>
            <a:ext uri="{FF2B5EF4-FFF2-40B4-BE49-F238E27FC236}">
              <a16:creationId xmlns:a16="http://schemas.microsoft.com/office/drawing/2014/main" id="{00000000-0008-0000-0100-00001B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72" name="Drop Down 1" hidden="1">
          <a:extLst>
            <a:ext uri="{FF2B5EF4-FFF2-40B4-BE49-F238E27FC236}">
              <a16:creationId xmlns:a16="http://schemas.microsoft.com/office/drawing/2014/main" id="{00000000-0008-0000-0100-00001C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73" name="Drop Down 2" hidden="1">
          <a:extLst>
            <a:ext uri="{FF2B5EF4-FFF2-40B4-BE49-F238E27FC236}">
              <a16:creationId xmlns:a16="http://schemas.microsoft.com/office/drawing/2014/main" id="{00000000-0008-0000-0100-00001D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74" name="Drop Down 1" hidden="1">
          <a:extLst>
            <a:ext uri="{FF2B5EF4-FFF2-40B4-BE49-F238E27FC236}">
              <a16:creationId xmlns:a16="http://schemas.microsoft.com/office/drawing/2014/main" id="{00000000-0008-0000-0100-00001E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175" name="Drop Down -1022" hidden="1">
          <a:extLst>
            <a:ext uri="{FF2B5EF4-FFF2-40B4-BE49-F238E27FC236}">
              <a16:creationId xmlns:a16="http://schemas.microsoft.com/office/drawing/2014/main" id="{00000000-0008-0000-0100-00001F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76" name="Drop Down 1" hidden="1">
          <a:extLst>
            <a:ext uri="{FF2B5EF4-FFF2-40B4-BE49-F238E27FC236}">
              <a16:creationId xmlns:a16="http://schemas.microsoft.com/office/drawing/2014/main" id="{00000000-0008-0000-0100-00002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77" name="Drop Down 1" hidden="1">
          <a:extLst>
            <a:ext uri="{FF2B5EF4-FFF2-40B4-BE49-F238E27FC236}">
              <a16:creationId xmlns:a16="http://schemas.microsoft.com/office/drawing/2014/main" id="{00000000-0008-0000-0100-00002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78" name="Drop Down 1" hidden="1">
          <a:extLst>
            <a:ext uri="{FF2B5EF4-FFF2-40B4-BE49-F238E27FC236}">
              <a16:creationId xmlns:a16="http://schemas.microsoft.com/office/drawing/2014/main" id="{00000000-0008-0000-0100-00002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79" name="Drop Down 1" hidden="1">
          <a:extLst>
            <a:ext uri="{FF2B5EF4-FFF2-40B4-BE49-F238E27FC236}">
              <a16:creationId xmlns:a16="http://schemas.microsoft.com/office/drawing/2014/main" id="{00000000-0008-0000-0100-00002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80" name="Drop Down 2" hidden="1">
          <a:extLst>
            <a:ext uri="{FF2B5EF4-FFF2-40B4-BE49-F238E27FC236}">
              <a16:creationId xmlns:a16="http://schemas.microsoft.com/office/drawing/2014/main" id="{00000000-0008-0000-0100-00002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81" name="Drop Down 1" hidden="1">
          <a:extLst>
            <a:ext uri="{FF2B5EF4-FFF2-40B4-BE49-F238E27FC236}">
              <a16:creationId xmlns:a16="http://schemas.microsoft.com/office/drawing/2014/main" id="{00000000-0008-0000-0100-00002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82" name="Drop Down -1022" hidden="1">
          <a:extLst>
            <a:ext uri="{FF2B5EF4-FFF2-40B4-BE49-F238E27FC236}">
              <a16:creationId xmlns:a16="http://schemas.microsoft.com/office/drawing/2014/main" id="{00000000-0008-0000-0100-00002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83" name="Drop Down 1" hidden="1">
          <a:extLst>
            <a:ext uri="{FF2B5EF4-FFF2-40B4-BE49-F238E27FC236}">
              <a16:creationId xmlns:a16="http://schemas.microsoft.com/office/drawing/2014/main" id="{00000000-0008-0000-0100-00002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84" name="Drop Down 1" hidden="1">
          <a:extLst>
            <a:ext uri="{FF2B5EF4-FFF2-40B4-BE49-F238E27FC236}">
              <a16:creationId xmlns:a16="http://schemas.microsoft.com/office/drawing/2014/main" id="{00000000-0008-0000-0100-00002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85" name="Drop Down 1" hidden="1">
          <a:extLst>
            <a:ext uri="{FF2B5EF4-FFF2-40B4-BE49-F238E27FC236}">
              <a16:creationId xmlns:a16="http://schemas.microsoft.com/office/drawing/2014/main" id="{00000000-0008-0000-0100-00002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86" name="Drop Down 1" hidden="1">
          <a:extLst>
            <a:ext uri="{FF2B5EF4-FFF2-40B4-BE49-F238E27FC236}">
              <a16:creationId xmlns:a16="http://schemas.microsoft.com/office/drawing/2014/main" id="{00000000-0008-0000-0100-00002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87" name="Drop Down 2" hidden="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88" name="Drop Down 1" hidden="1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89" name="Drop Down -1022" hidden="1">
          <a:extLst>
            <a:ext uri="{FF2B5EF4-FFF2-40B4-BE49-F238E27FC236}">
              <a16:creationId xmlns:a16="http://schemas.microsoft.com/office/drawing/2014/main" id="{00000000-0008-0000-0100-00002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90" name="Drop Down 1" hidden="1">
          <a:extLst>
            <a:ext uri="{FF2B5EF4-FFF2-40B4-BE49-F238E27FC236}">
              <a16:creationId xmlns:a16="http://schemas.microsoft.com/office/drawing/2014/main" id="{00000000-0008-0000-0100-00002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91" name="Drop Down 1" hidden="1">
          <a:extLst>
            <a:ext uri="{FF2B5EF4-FFF2-40B4-BE49-F238E27FC236}">
              <a16:creationId xmlns:a16="http://schemas.microsoft.com/office/drawing/2014/main" id="{00000000-0008-0000-0100-00002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92" name="Drop Down 1" hidden="1">
          <a:extLst>
            <a:ext uri="{FF2B5EF4-FFF2-40B4-BE49-F238E27FC236}">
              <a16:creationId xmlns:a16="http://schemas.microsoft.com/office/drawing/2014/main" id="{00000000-0008-0000-0100-00003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93" name="Drop Down 1" hidden="1">
          <a:extLst>
            <a:ext uri="{FF2B5EF4-FFF2-40B4-BE49-F238E27FC236}">
              <a16:creationId xmlns:a16="http://schemas.microsoft.com/office/drawing/2014/main" id="{00000000-0008-0000-0100-00003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94" name="Drop Down 2" hidden="1">
          <a:extLst>
            <a:ext uri="{FF2B5EF4-FFF2-40B4-BE49-F238E27FC236}">
              <a16:creationId xmlns:a16="http://schemas.microsoft.com/office/drawing/2014/main" id="{00000000-0008-0000-0100-00003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95" name="Drop Down 1" hidden="1">
          <a:extLst>
            <a:ext uri="{FF2B5EF4-FFF2-40B4-BE49-F238E27FC236}">
              <a16:creationId xmlns:a16="http://schemas.microsoft.com/office/drawing/2014/main" id="{00000000-0008-0000-0100-00003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196" name="Drop Down -1022" hidden="1">
          <a:extLst>
            <a:ext uri="{FF2B5EF4-FFF2-40B4-BE49-F238E27FC236}">
              <a16:creationId xmlns:a16="http://schemas.microsoft.com/office/drawing/2014/main" id="{00000000-0008-0000-0100-00003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97" name="Drop Down 1" hidden="1">
          <a:extLst>
            <a:ext uri="{FF2B5EF4-FFF2-40B4-BE49-F238E27FC236}">
              <a16:creationId xmlns:a16="http://schemas.microsoft.com/office/drawing/2014/main" id="{00000000-0008-0000-0100-00003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98" name="Drop Down 1" hidden="1">
          <a:extLst>
            <a:ext uri="{FF2B5EF4-FFF2-40B4-BE49-F238E27FC236}">
              <a16:creationId xmlns:a16="http://schemas.microsoft.com/office/drawing/2014/main" id="{00000000-0008-0000-0100-00003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199" name="Drop Down 1" hidden="1">
          <a:extLst>
            <a:ext uri="{FF2B5EF4-FFF2-40B4-BE49-F238E27FC236}">
              <a16:creationId xmlns:a16="http://schemas.microsoft.com/office/drawing/2014/main" id="{00000000-0008-0000-0100-00003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00" name="Drop Down 1" hidden="1">
          <a:extLst>
            <a:ext uri="{FF2B5EF4-FFF2-40B4-BE49-F238E27FC236}">
              <a16:creationId xmlns:a16="http://schemas.microsoft.com/office/drawing/2014/main" id="{00000000-0008-0000-0100-00003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01" name="Drop Down 2" hidden="1">
          <a:extLst>
            <a:ext uri="{FF2B5EF4-FFF2-40B4-BE49-F238E27FC236}">
              <a16:creationId xmlns:a16="http://schemas.microsoft.com/office/drawing/2014/main" id="{00000000-0008-0000-0100-00003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02" name="Drop Down 1" hidden="1">
          <a:extLst>
            <a:ext uri="{FF2B5EF4-FFF2-40B4-BE49-F238E27FC236}">
              <a16:creationId xmlns:a16="http://schemas.microsoft.com/office/drawing/2014/main" id="{00000000-0008-0000-0100-00003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03" name="Drop Down -1022" hidden="1">
          <a:extLst>
            <a:ext uri="{FF2B5EF4-FFF2-40B4-BE49-F238E27FC236}">
              <a16:creationId xmlns:a16="http://schemas.microsoft.com/office/drawing/2014/main" id="{00000000-0008-0000-0100-00003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04" name="Drop Down 1" hidden="1">
          <a:extLst>
            <a:ext uri="{FF2B5EF4-FFF2-40B4-BE49-F238E27FC236}">
              <a16:creationId xmlns:a16="http://schemas.microsoft.com/office/drawing/2014/main" id="{00000000-0008-0000-0100-00003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05" name="Drop Down 1" hidden="1">
          <a:extLst>
            <a:ext uri="{FF2B5EF4-FFF2-40B4-BE49-F238E27FC236}">
              <a16:creationId xmlns:a16="http://schemas.microsoft.com/office/drawing/2014/main" id="{00000000-0008-0000-0100-00003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06" name="Drop Down 1" hidden="1">
          <a:extLst>
            <a:ext uri="{FF2B5EF4-FFF2-40B4-BE49-F238E27FC236}">
              <a16:creationId xmlns:a16="http://schemas.microsoft.com/office/drawing/2014/main" id="{00000000-0008-0000-0100-00003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07" name="Drop Down 1" hidden="1">
          <a:extLst>
            <a:ext uri="{FF2B5EF4-FFF2-40B4-BE49-F238E27FC236}">
              <a16:creationId xmlns:a16="http://schemas.microsoft.com/office/drawing/2014/main" id="{00000000-0008-0000-0100-00003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08" name="Drop Down 2" hidden="1">
          <a:extLst>
            <a:ext uri="{FF2B5EF4-FFF2-40B4-BE49-F238E27FC236}">
              <a16:creationId xmlns:a16="http://schemas.microsoft.com/office/drawing/2014/main" id="{00000000-0008-0000-0100-00004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09" name="Drop Down 1" hidden="1">
          <a:extLst>
            <a:ext uri="{FF2B5EF4-FFF2-40B4-BE49-F238E27FC236}">
              <a16:creationId xmlns:a16="http://schemas.microsoft.com/office/drawing/2014/main" id="{00000000-0008-0000-0100-00004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10" name="Drop Down -1022" hidden="1">
          <a:extLst>
            <a:ext uri="{FF2B5EF4-FFF2-40B4-BE49-F238E27FC236}">
              <a16:creationId xmlns:a16="http://schemas.microsoft.com/office/drawing/2014/main" id="{00000000-0008-0000-0100-00004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11" name="Drop Down 1" hidden="1">
          <a:extLst>
            <a:ext uri="{FF2B5EF4-FFF2-40B4-BE49-F238E27FC236}">
              <a16:creationId xmlns:a16="http://schemas.microsoft.com/office/drawing/2014/main" id="{00000000-0008-0000-0100-00004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12" name="Drop Down 1" hidden="1">
          <a:extLst>
            <a:ext uri="{FF2B5EF4-FFF2-40B4-BE49-F238E27FC236}">
              <a16:creationId xmlns:a16="http://schemas.microsoft.com/office/drawing/2014/main" id="{00000000-0008-0000-0100-00004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13" name="Drop Down 1" hidden="1">
          <a:extLst>
            <a:ext uri="{FF2B5EF4-FFF2-40B4-BE49-F238E27FC236}">
              <a16:creationId xmlns:a16="http://schemas.microsoft.com/office/drawing/2014/main" id="{00000000-0008-0000-0100-00004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14" name="Drop Down 1" hidden="1">
          <a:extLst>
            <a:ext uri="{FF2B5EF4-FFF2-40B4-BE49-F238E27FC236}">
              <a16:creationId xmlns:a16="http://schemas.microsoft.com/office/drawing/2014/main" id="{00000000-0008-0000-0100-00004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15" name="Drop Down 2" hidden="1">
          <a:extLst>
            <a:ext uri="{FF2B5EF4-FFF2-40B4-BE49-F238E27FC236}">
              <a16:creationId xmlns:a16="http://schemas.microsoft.com/office/drawing/2014/main" id="{00000000-0008-0000-0100-00004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16" name="Drop Down 1" hidden="1">
          <a:extLst>
            <a:ext uri="{FF2B5EF4-FFF2-40B4-BE49-F238E27FC236}">
              <a16:creationId xmlns:a16="http://schemas.microsoft.com/office/drawing/2014/main" id="{00000000-0008-0000-0100-00004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17" name="Drop Down -1022" hidden="1">
          <a:extLst>
            <a:ext uri="{FF2B5EF4-FFF2-40B4-BE49-F238E27FC236}">
              <a16:creationId xmlns:a16="http://schemas.microsoft.com/office/drawing/2014/main" id="{00000000-0008-0000-0100-00004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18" name="Drop Down 1" hidden="1">
          <a:extLst>
            <a:ext uri="{FF2B5EF4-FFF2-40B4-BE49-F238E27FC236}">
              <a16:creationId xmlns:a16="http://schemas.microsoft.com/office/drawing/2014/main" id="{00000000-0008-0000-0100-00004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19" name="Drop Down 1" hidden="1">
          <a:extLst>
            <a:ext uri="{FF2B5EF4-FFF2-40B4-BE49-F238E27FC236}">
              <a16:creationId xmlns:a16="http://schemas.microsoft.com/office/drawing/2014/main" id="{00000000-0008-0000-0100-00004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20" name="Drop Down 1" hidden="1">
          <a:extLst>
            <a:ext uri="{FF2B5EF4-FFF2-40B4-BE49-F238E27FC236}">
              <a16:creationId xmlns:a16="http://schemas.microsoft.com/office/drawing/2014/main" id="{00000000-0008-0000-0100-00004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21" name="Drop Down 1" hidden="1">
          <a:extLst>
            <a:ext uri="{FF2B5EF4-FFF2-40B4-BE49-F238E27FC236}">
              <a16:creationId xmlns:a16="http://schemas.microsoft.com/office/drawing/2014/main" id="{00000000-0008-0000-0100-00004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22" name="Drop Down 2" hidden="1">
          <a:extLst>
            <a:ext uri="{FF2B5EF4-FFF2-40B4-BE49-F238E27FC236}">
              <a16:creationId xmlns:a16="http://schemas.microsoft.com/office/drawing/2014/main" id="{00000000-0008-0000-0100-00004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23" name="Drop Down 1" hidden="1">
          <a:extLst>
            <a:ext uri="{FF2B5EF4-FFF2-40B4-BE49-F238E27FC236}">
              <a16:creationId xmlns:a16="http://schemas.microsoft.com/office/drawing/2014/main" id="{00000000-0008-0000-0100-00004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24" name="Drop Down -1022" hidden="1">
          <a:extLst>
            <a:ext uri="{FF2B5EF4-FFF2-40B4-BE49-F238E27FC236}">
              <a16:creationId xmlns:a16="http://schemas.microsoft.com/office/drawing/2014/main" id="{00000000-0008-0000-0100-00005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25" name="Drop Down 1" hidden="1">
          <a:extLst>
            <a:ext uri="{FF2B5EF4-FFF2-40B4-BE49-F238E27FC236}">
              <a16:creationId xmlns:a16="http://schemas.microsoft.com/office/drawing/2014/main" id="{00000000-0008-0000-0100-00005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26" name="Drop Down 1" hidden="1">
          <a:extLst>
            <a:ext uri="{FF2B5EF4-FFF2-40B4-BE49-F238E27FC236}">
              <a16:creationId xmlns:a16="http://schemas.microsoft.com/office/drawing/2014/main" id="{00000000-0008-0000-0100-00005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27" name="Drop Down 1" hidden="1">
          <a:extLst>
            <a:ext uri="{FF2B5EF4-FFF2-40B4-BE49-F238E27FC236}">
              <a16:creationId xmlns:a16="http://schemas.microsoft.com/office/drawing/2014/main" id="{00000000-0008-0000-0100-00005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28" name="Drop Down 1" hidden="1">
          <a:extLst>
            <a:ext uri="{FF2B5EF4-FFF2-40B4-BE49-F238E27FC236}">
              <a16:creationId xmlns:a16="http://schemas.microsoft.com/office/drawing/2014/main" id="{00000000-0008-0000-0100-00005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29" name="Drop Down 2" hidden="1">
          <a:extLst>
            <a:ext uri="{FF2B5EF4-FFF2-40B4-BE49-F238E27FC236}">
              <a16:creationId xmlns:a16="http://schemas.microsoft.com/office/drawing/2014/main" id="{00000000-0008-0000-0100-00005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30" name="Drop Down 1" hidden="1">
          <a:extLst>
            <a:ext uri="{FF2B5EF4-FFF2-40B4-BE49-F238E27FC236}">
              <a16:creationId xmlns:a16="http://schemas.microsoft.com/office/drawing/2014/main" id="{00000000-0008-0000-0100-00005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31" name="Drop Down -1022" hidden="1">
          <a:extLst>
            <a:ext uri="{FF2B5EF4-FFF2-40B4-BE49-F238E27FC236}">
              <a16:creationId xmlns:a16="http://schemas.microsoft.com/office/drawing/2014/main" id="{00000000-0008-0000-0100-00005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32" name="Drop Down 1" hidden="1">
          <a:extLst>
            <a:ext uri="{FF2B5EF4-FFF2-40B4-BE49-F238E27FC236}">
              <a16:creationId xmlns:a16="http://schemas.microsoft.com/office/drawing/2014/main" id="{00000000-0008-0000-0100-000058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33" name="Drop Down 1" hidden="1">
          <a:extLst>
            <a:ext uri="{FF2B5EF4-FFF2-40B4-BE49-F238E27FC236}">
              <a16:creationId xmlns:a16="http://schemas.microsoft.com/office/drawing/2014/main" id="{00000000-0008-0000-0100-000059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34" name="Drop Down 1" hidden="1">
          <a:extLst>
            <a:ext uri="{FF2B5EF4-FFF2-40B4-BE49-F238E27FC236}">
              <a16:creationId xmlns:a16="http://schemas.microsoft.com/office/drawing/2014/main" id="{00000000-0008-0000-0100-00005A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35" name="Drop Down 1" hidden="1">
          <a:extLst>
            <a:ext uri="{FF2B5EF4-FFF2-40B4-BE49-F238E27FC236}">
              <a16:creationId xmlns:a16="http://schemas.microsoft.com/office/drawing/2014/main" id="{00000000-0008-0000-0100-00005B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36" name="Drop Down 2" hidden="1">
          <a:extLst>
            <a:ext uri="{FF2B5EF4-FFF2-40B4-BE49-F238E27FC236}">
              <a16:creationId xmlns:a16="http://schemas.microsoft.com/office/drawing/2014/main" id="{00000000-0008-0000-0100-00005C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37" name="Drop Down 1" hidden="1">
          <a:extLst>
            <a:ext uri="{FF2B5EF4-FFF2-40B4-BE49-F238E27FC236}">
              <a16:creationId xmlns:a16="http://schemas.microsoft.com/office/drawing/2014/main" id="{00000000-0008-0000-0100-00005D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38" name="Drop Down -1022" hidden="1">
          <a:extLst>
            <a:ext uri="{FF2B5EF4-FFF2-40B4-BE49-F238E27FC236}">
              <a16:creationId xmlns:a16="http://schemas.microsoft.com/office/drawing/2014/main" id="{00000000-0008-0000-0100-00005E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39" name="Drop Down 1" hidden="1">
          <a:extLst>
            <a:ext uri="{FF2B5EF4-FFF2-40B4-BE49-F238E27FC236}">
              <a16:creationId xmlns:a16="http://schemas.microsoft.com/office/drawing/2014/main" id="{00000000-0008-0000-0100-00005F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40" name="Drop Down 1" hidden="1">
          <a:extLst>
            <a:ext uri="{FF2B5EF4-FFF2-40B4-BE49-F238E27FC236}">
              <a16:creationId xmlns:a16="http://schemas.microsoft.com/office/drawing/2014/main" id="{00000000-0008-0000-0100-000060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41" name="Drop Down 1" hidden="1">
          <a:extLst>
            <a:ext uri="{FF2B5EF4-FFF2-40B4-BE49-F238E27FC236}">
              <a16:creationId xmlns:a16="http://schemas.microsoft.com/office/drawing/2014/main" id="{00000000-0008-0000-0100-000061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42" name="Drop Down 1" hidden="1">
          <a:extLst>
            <a:ext uri="{FF2B5EF4-FFF2-40B4-BE49-F238E27FC236}">
              <a16:creationId xmlns:a16="http://schemas.microsoft.com/office/drawing/2014/main" id="{00000000-0008-0000-0100-000062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43" name="Drop Down 2" hidden="1">
          <a:extLst>
            <a:ext uri="{FF2B5EF4-FFF2-40B4-BE49-F238E27FC236}">
              <a16:creationId xmlns:a16="http://schemas.microsoft.com/office/drawing/2014/main" id="{00000000-0008-0000-0100-000063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44" name="Drop Down 1" hidden="1">
          <a:extLst>
            <a:ext uri="{FF2B5EF4-FFF2-40B4-BE49-F238E27FC236}">
              <a16:creationId xmlns:a16="http://schemas.microsoft.com/office/drawing/2014/main" id="{00000000-0008-0000-0100-000064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45" name="Drop Down -1022" hidden="1">
          <a:extLst>
            <a:ext uri="{FF2B5EF4-FFF2-40B4-BE49-F238E27FC236}">
              <a16:creationId xmlns:a16="http://schemas.microsoft.com/office/drawing/2014/main" id="{00000000-0008-0000-0100-000065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46" name="Drop Down 1" hidden="1">
          <a:extLst>
            <a:ext uri="{FF2B5EF4-FFF2-40B4-BE49-F238E27FC236}">
              <a16:creationId xmlns:a16="http://schemas.microsoft.com/office/drawing/2014/main" id="{00000000-0008-0000-0100-000066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47" name="Drop Down 1" hidden="1">
          <a:extLst>
            <a:ext uri="{FF2B5EF4-FFF2-40B4-BE49-F238E27FC236}">
              <a16:creationId xmlns:a16="http://schemas.microsoft.com/office/drawing/2014/main" id="{00000000-0008-0000-0100-000067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48" name="Drop Down 1" hidden="1">
          <a:extLst>
            <a:ext uri="{FF2B5EF4-FFF2-40B4-BE49-F238E27FC236}">
              <a16:creationId xmlns:a16="http://schemas.microsoft.com/office/drawing/2014/main" id="{00000000-0008-0000-0100-000068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49" name="Drop Down 1" hidden="1">
          <a:extLst>
            <a:ext uri="{FF2B5EF4-FFF2-40B4-BE49-F238E27FC236}">
              <a16:creationId xmlns:a16="http://schemas.microsoft.com/office/drawing/2014/main" id="{00000000-0008-0000-0100-000069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50" name="Drop Down 2" hidden="1">
          <a:extLst>
            <a:ext uri="{FF2B5EF4-FFF2-40B4-BE49-F238E27FC236}">
              <a16:creationId xmlns:a16="http://schemas.microsoft.com/office/drawing/2014/main" id="{00000000-0008-0000-0100-00006A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51" name="Drop Down 1" hidden="1">
          <a:extLst>
            <a:ext uri="{FF2B5EF4-FFF2-40B4-BE49-F238E27FC236}">
              <a16:creationId xmlns:a16="http://schemas.microsoft.com/office/drawing/2014/main" id="{00000000-0008-0000-0100-00006B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52" name="Drop Down -1022" hidden="1">
          <a:extLst>
            <a:ext uri="{FF2B5EF4-FFF2-40B4-BE49-F238E27FC236}">
              <a16:creationId xmlns:a16="http://schemas.microsoft.com/office/drawing/2014/main" id="{00000000-0008-0000-0100-00006C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53" name="Drop Down 1" hidden="1">
          <a:extLst>
            <a:ext uri="{FF2B5EF4-FFF2-40B4-BE49-F238E27FC236}">
              <a16:creationId xmlns:a16="http://schemas.microsoft.com/office/drawing/2014/main" id="{00000000-0008-0000-0100-00006D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54" name="Drop Down 1" hidden="1">
          <a:extLst>
            <a:ext uri="{FF2B5EF4-FFF2-40B4-BE49-F238E27FC236}">
              <a16:creationId xmlns:a16="http://schemas.microsoft.com/office/drawing/2014/main" id="{00000000-0008-0000-0100-00006E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55" name="Drop Down 1" hidden="1">
          <a:extLst>
            <a:ext uri="{FF2B5EF4-FFF2-40B4-BE49-F238E27FC236}">
              <a16:creationId xmlns:a16="http://schemas.microsoft.com/office/drawing/2014/main" id="{00000000-0008-0000-0100-00006F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56" name="Drop Down 1" hidden="1">
          <a:extLst>
            <a:ext uri="{FF2B5EF4-FFF2-40B4-BE49-F238E27FC236}">
              <a16:creationId xmlns:a16="http://schemas.microsoft.com/office/drawing/2014/main" id="{00000000-0008-0000-0100-000070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57" name="Drop Down 2" hidden="1">
          <a:extLst>
            <a:ext uri="{FF2B5EF4-FFF2-40B4-BE49-F238E27FC236}">
              <a16:creationId xmlns:a16="http://schemas.microsoft.com/office/drawing/2014/main" id="{00000000-0008-0000-0100-000071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58" name="Drop Down 1" hidden="1">
          <a:extLst>
            <a:ext uri="{FF2B5EF4-FFF2-40B4-BE49-F238E27FC236}">
              <a16:creationId xmlns:a16="http://schemas.microsoft.com/office/drawing/2014/main" id="{00000000-0008-0000-0100-000072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59" name="Drop Down -1022" hidden="1">
          <a:extLst>
            <a:ext uri="{FF2B5EF4-FFF2-40B4-BE49-F238E27FC236}">
              <a16:creationId xmlns:a16="http://schemas.microsoft.com/office/drawing/2014/main" id="{00000000-0008-0000-0100-000073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60" name="Drop Down 1" hidden="1">
          <a:extLst>
            <a:ext uri="{FF2B5EF4-FFF2-40B4-BE49-F238E27FC236}">
              <a16:creationId xmlns:a16="http://schemas.microsoft.com/office/drawing/2014/main" id="{00000000-0008-0000-0100-00007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61" name="Drop Down 1" hidden="1">
          <a:extLst>
            <a:ext uri="{FF2B5EF4-FFF2-40B4-BE49-F238E27FC236}">
              <a16:creationId xmlns:a16="http://schemas.microsoft.com/office/drawing/2014/main" id="{00000000-0008-0000-0100-00007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62" name="Drop Down 1" hidden="1">
          <a:extLst>
            <a:ext uri="{FF2B5EF4-FFF2-40B4-BE49-F238E27FC236}">
              <a16:creationId xmlns:a16="http://schemas.microsoft.com/office/drawing/2014/main" id="{00000000-0008-0000-0100-00007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63" name="Drop Down 1" hidden="1">
          <a:extLst>
            <a:ext uri="{FF2B5EF4-FFF2-40B4-BE49-F238E27FC236}">
              <a16:creationId xmlns:a16="http://schemas.microsoft.com/office/drawing/2014/main" id="{00000000-0008-0000-0100-00007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64" name="Drop Down 2" hidden="1">
          <a:extLst>
            <a:ext uri="{FF2B5EF4-FFF2-40B4-BE49-F238E27FC236}">
              <a16:creationId xmlns:a16="http://schemas.microsoft.com/office/drawing/2014/main" id="{00000000-0008-0000-0100-00007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65" name="Drop Down 1" hidden="1">
          <a:extLst>
            <a:ext uri="{FF2B5EF4-FFF2-40B4-BE49-F238E27FC236}">
              <a16:creationId xmlns:a16="http://schemas.microsoft.com/office/drawing/2014/main" id="{00000000-0008-0000-0100-00007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66" name="Drop Down -1022" hidden="1">
          <a:extLst>
            <a:ext uri="{FF2B5EF4-FFF2-40B4-BE49-F238E27FC236}">
              <a16:creationId xmlns:a16="http://schemas.microsoft.com/office/drawing/2014/main" id="{00000000-0008-0000-0100-00007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67" name="Drop Down 1" hidden="1">
          <a:extLst>
            <a:ext uri="{FF2B5EF4-FFF2-40B4-BE49-F238E27FC236}">
              <a16:creationId xmlns:a16="http://schemas.microsoft.com/office/drawing/2014/main" id="{00000000-0008-0000-0100-00007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68" name="Drop Down 1" hidden="1">
          <a:extLst>
            <a:ext uri="{FF2B5EF4-FFF2-40B4-BE49-F238E27FC236}">
              <a16:creationId xmlns:a16="http://schemas.microsoft.com/office/drawing/2014/main" id="{00000000-0008-0000-0100-00007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69" name="Drop Down 1" hidden="1">
          <a:extLst>
            <a:ext uri="{FF2B5EF4-FFF2-40B4-BE49-F238E27FC236}">
              <a16:creationId xmlns:a16="http://schemas.microsoft.com/office/drawing/2014/main" id="{00000000-0008-0000-0100-00007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70" name="Drop Down 1" hidden="1">
          <a:extLst>
            <a:ext uri="{FF2B5EF4-FFF2-40B4-BE49-F238E27FC236}">
              <a16:creationId xmlns:a16="http://schemas.microsoft.com/office/drawing/2014/main" id="{00000000-0008-0000-0100-00007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71" name="Drop Down 2" hidden="1">
          <a:extLst>
            <a:ext uri="{FF2B5EF4-FFF2-40B4-BE49-F238E27FC236}">
              <a16:creationId xmlns:a16="http://schemas.microsoft.com/office/drawing/2014/main" id="{00000000-0008-0000-0100-00007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72" name="Drop Down 1" hidden="1">
          <a:extLst>
            <a:ext uri="{FF2B5EF4-FFF2-40B4-BE49-F238E27FC236}">
              <a16:creationId xmlns:a16="http://schemas.microsoft.com/office/drawing/2014/main" id="{00000000-0008-0000-0100-00008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73" name="Drop Down -1022" hidden="1">
          <a:extLst>
            <a:ext uri="{FF2B5EF4-FFF2-40B4-BE49-F238E27FC236}">
              <a16:creationId xmlns:a16="http://schemas.microsoft.com/office/drawing/2014/main" id="{00000000-0008-0000-0100-00008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74" name="Drop Down 1" hidden="1">
          <a:extLst>
            <a:ext uri="{FF2B5EF4-FFF2-40B4-BE49-F238E27FC236}">
              <a16:creationId xmlns:a16="http://schemas.microsoft.com/office/drawing/2014/main" id="{00000000-0008-0000-0100-00008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75" name="Drop Down 1" hidden="1">
          <a:extLst>
            <a:ext uri="{FF2B5EF4-FFF2-40B4-BE49-F238E27FC236}">
              <a16:creationId xmlns:a16="http://schemas.microsoft.com/office/drawing/2014/main" id="{00000000-0008-0000-0100-00008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76" name="Drop Down 1" hidden="1">
          <a:extLst>
            <a:ext uri="{FF2B5EF4-FFF2-40B4-BE49-F238E27FC236}">
              <a16:creationId xmlns:a16="http://schemas.microsoft.com/office/drawing/2014/main" id="{00000000-0008-0000-0100-00008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77" name="Drop Down 1" hidden="1">
          <a:extLst>
            <a:ext uri="{FF2B5EF4-FFF2-40B4-BE49-F238E27FC236}">
              <a16:creationId xmlns:a16="http://schemas.microsoft.com/office/drawing/2014/main" id="{00000000-0008-0000-0100-00008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78" name="Drop Down 2" hidden="1">
          <a:extLst>
            <a:ext uri="{FF2B5EF4-FFF2-40B4-BE49-F238E27FC236}">
              <a16:creationId xmlns:a16="http://schemas.microsoft.com/office/drawing/2014/main" id="{00000000-0008-0000-0100-00008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79" name="Drop Down 1" hidden="1">
          <a:extLst>
            <a:ext uri="{FF2B5EF4-FFF2-40B4-BE49-F238E27FC236}">
              <a16:creationId xmlns:a16="http://schemas.microsoft.com/office/drawing/2014/main" id="{00000000-0008-0000-0100-00008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280" name="Drop Down -1022" hidden="1">
          <a:extLst>
            <a:ext uri="{FF2B5EF4-FFF2-40B4-BE49-F238E27FC236}">
              <a16:creationId xmlns:a16="http://schemas.microsoft.com/office/drawing/2014/main" id="{00000000-0008-0000-0100-00008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81" name="Drop Down 1" hidden="1">
          <a:extLst>
            <a:ext uri="{FF2B5EF4-FFF2-40B4-BE49-F238E27FC236}">
              <a16:creationId xmlns:a16="http://schemas.microsoft.com/office/drawing/2014/main" id="{00000000-0008-0000-0100-00008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82" name="Drop Down 1" hidden="1">
          <a:extLst>
            <a:ext uri="{FF2B5EF4-FFF2-40B4-BE49-F238E27FC236}">
              <a16:creationId xmlns:a16="http://schemas.microsoft.com/office/drawing/2014/main" id="{00000000-0008-0000-0100-00008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83" name="Drop Down 1" hidden="1">
          <a:extLst>
            <a:ext uri="{FF2B5EF4-FFF2-40B4-BE49-F238E27FC236}">
              <a16:creationId xmlns:a16="http://schemas.microsoft.com/office/drawing/2014/main" id="{00000000-0008-0000-0100-00008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84" name="Drop Down 1" hidden="1">
          <a:extLst>
            <a:ext uri="{FF2B5EF4-FFF2-40B4-BE49-F238E27FC236}">
              <a16:creationId xmlns:a16="http://schemas.microsoft.com/office/drawing/2014/main" id="{00000000-0008-0000-0100-00008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85" name="Drop Down 2" hidden="1">
          <a:extLst>
            <a:ext uri="{FF2B5EF4-FFF2-40B4-BE49-F238E27FC236}">
              <a16:creationId xmlns:a16="http://schemas.microsoft.com/office/drawing/2014/main" id="{00000000-0008-0000-0100-00008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86" name="Drop Down 1" hidden="1">
          <a:extLst>
            <a:ext uri="{FF2B5EF4-FFF2-40B4-BE49-F238E27FC236}">
              <a16:creationId xmlns:a16="http://schemas.microsoft.com/office/drawing/2014/main" id="{00000000-0008-0000-0100-00008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287" name="Drop Down -1022" hidden="1">
          <a:extLst>
            <a:ext uri="{FF2B5EF4-FFF2-40B4-BE49-F238E27FC236}">
              <a16:creationId xmlns:a16="http://schemas.microsoft.com/office/drawing/2014/main" id="{00000000-0008-0000-0100-00008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88" name="Drop Down 1" hidden="1">
          <a:extLst>
            <a:ext uri="{FF2B5EF4-FFF2-40B4-BE49-F238E27FC236}">
              <a16:creationId xmlns:a16="http://schemas.microsoft.com/office/drawing/2014/main" id="{00000000-0008-0000-0100-000090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89" name="Drop Down 1" hidden="1">
          <a:extLst>
            <a:ext uri="{FF2B5EF4-FFF2-40B4-BE49-F238E27FC236}">
              <a16:creationId xmlns:a16="http://schemas.microsoft.com/office/drawing/2014/main" id="{00000000-0008-0000-0100-000091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90" name="Drop Down 1" hidden="1">
          <a:extLst>
            <a:ext uri="{FF2B5EF4-FFF2-40B4-BE49-F238E27FC236}">
              <a16:creationId xmlns:a16="http://schemas.microsoft.com/office/drawing/2014/main" id="{00000000-0008-0000-0100-000092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91" name="Drop Down 1" hidden="1">
          <a:extLst>
            <a:ext uri="{FF2B5EF4-FFF2-40B4-BE49-F238E27FC236}">
              <a16:creationId xmlns:a16="http://schemas.microsoft.com/office/drawing/2014/main" id="{00000000-0008-0000-0100-000093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92" name="Drop Down 2" hidden="1">
          <a:extLst>
            <a:ext uri="{FF2B5EF4-FFF2-40B4-BE49-F238E27FC236}">
              <a16:creationId xmlns:a16="http://schemas.microsoft.com/office/drawing/2014/main" id="{00000000-0008-0000-0100-000094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93" name="Drop Down 1" hidden="1">
          <a:extLst>
            <a:ext uri="{FF2B5EF4-FFF2-40B4-BE49-F238E27FC236}">
              <a16:creationId xmlns:a16="http://schemas.microsoft.com/office/drawing/2014/main" id="{00000000-0008-0000-0100-000095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294" name="Drop Down -1022" hidden="1">
          <a:extLst>
            <a:ext uri="{FF2B5EF4-FFF2-40B4-BE49-F238E27FC236}">
              <a16:creationId xmlns:a16="http://schemas.microsoft.com/office/drawing/2014/main" id="{00000000-0008-0000-0100-000096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95" name="Drop Down 1" hidden="1">
          <a:extLst>
            <a:ext uri="{FF2B5EF4-FFF2-40B4-BE49-F238E27FC236}">
              <a16:creationId xmlns:a16="http://schemas.microsoft.com/office/drawing/2014/main" id="{00000000-0008-0000-0100-000097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96" name="Drop Down 1" hidden="1">
          <a:extLst>
            <a:ext uri="{FF2B5EF4-FFF2-40B4-BE49-F238E27FC236}">
              <a16:creationId xmlns:a16="http://schemas.microsoft.com/office/drawing/2014/main" id="{00000000-0008-0000-0100-000098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97" name="Drop Down 1" hidden="1">
          <a:extLst>
            <a:ext uri="{FF2B5EF4-FFF2-40B4-BE49-F238E27FC236}">
              <a16:creationId xmlns:a16="http://schemas.microsoft.com/office/drawing/2014/main" id="{00000000-0008-0000-0100-000099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98" name="Drop Down 1" hidden="1">
          <a:extLst>
            <a:ext uri="{FF2B5EF4-FFF2-40B4-BE49-F238E27FC236}">
              <a16:creationId xmlns:a16="http://schemas.microsoft.com/office/drawing/2014/main" id="{00000000-0008-0000-0100-00009A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299" name="Drop Down 2" hidden="1">
          <a:extLst>
            <a:ext uri="{FF2B5EF4-FFF2-40B4-BE49-F238E27FC236}">
              <a16:creationId xmlns:a16="http://schemas.microsoft.com/office/drawing/2014/main" id="{00000000-0008-0000-0100-00009B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00" name="Drop Down 1" hidden="1">
          <a:extLst>
            <a:ext uri="{FF2B5EF4-FFF2-40B4-BE49-F238E27FC236}">
              <a16:creationId xmlns:a16="http://schemas.microsoft.com/office/drawing/2014/main" id="{00000000-0008-0000-0100-00009C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01" name="Drop Down -1022" hidden="1">
          <a:extLst>
            <a:ext uri="{FF2B5EF4-FFF2-40B4-BE49-F238E27FC236}">
              <a16:creationId xmlns:a16="http://schemas.microsoft.com/office/drawing/2014/main" id="{00000000-0008-0000-0100-00009D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02" name="Drop Down 1" hidden="1">
          <a:extLst>
            <a:ext uri="{FF2B5EF4-FFF2-40B4-BE49-F238E27FC236}">
              <a16:creationId xmlns:a16="http://schemas.microsoft.com/office/drawing/2014/main" id="{00000000-0008-0000-0100-00009E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03" name="Drop Down 1" hidden="1">
          <a:extLst>
            <a:ext uri="{FF2B5EF4-FFF2-40B4-BE49-F238E27FC236}">
              <a16:creationId xmlns:a16="http://schemas.microsoft.com/office/drawing/2014/main" id="{00000000-0008-0000-0100-00009F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04" name="Drop Down 1" hidden="1">
          <a:extLst>
            <a:ext uri="{FF2B5EF4-FFF2-40B4-BE49-F238E27FC236}">
              <a16:creationId xmlns:a16="http://schemas.microsoft.com/office/drawing/2014/main" id="{00000000-0008-0000-0100-0000A0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05" name="Drop Down 1" hidden="1">
          <a:extLst>
            <a:ext uri="{FF2B5EF4-FFF2-40B4-BE49-F238E27FC236}">
              <a16:creationId xmlns:a16="http://schemas.microsoft.com/office/drawing/2014/main" id="{00000000-0008-0000-0100-0000A1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06" name="Drop Down 2" hidden="1">
          <a:extLst>
            <a:ext uri="{FF2B5EF4-FFF2-40B4-BE49-F238E27FC236}">
              <a16:creationId xmlns:a16="http://schemas.microsoft.com/office/drawing/2014/main" id="{00000000-0008-0000-0100-0000A2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07" name="Drop Down 1" hidden="1">
          <a:extLst>
            <a:ext uri="{FF2B5EF4-FFF2-40B4-BE49-F238E27FC236}">
              <a16:creationId xmlns:a16="http://schemas.microsoft.com/office/drawing/2014/main" id="{00000000-0008-0000-0100-0000A3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6308" name="Drop Down -1022" hidden="1">
          <a:extLst>
            <a:ext uri="{FF2B5EF4-FFF2-40B4-BE49-F238E27FC236}">
              <a16:creationId xmlns:a16="http://schemas.microsoft.com/office/drawing/2014/main" id="{00000000-0008-0000-0100-0000A4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09" name="Drop Down 1" hidden="1">
          <a:extLst>
            <a:ext uri="{FF2B5EF4-FFF2-40B4-BE49-F238E27FC236}">
              <a16:creationId xmlns:a16="http://schemas.microsoft.com/office/drawing/2014/main" id="{00000000-0008-0000-0100-0000A5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10" name="Drop Down 1" hidden="1">
          <a:extLst>
            <a:ext uri="{FF2B5EF4-FFF2-40B4-BE49-F238E27FC236}">
              <a16:creationId xmlns:a16="http://schemas.microsoft.com/office/drawing/2014/main" id="{00000000-0008-0000-0100-0000A6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11" name="Drop Down 1" hidden="1">
          <a:extLst>
            <a:ext uri="{FF2B5EF4-FFF2-40B4-BE49-F238E27FC236}">
              <a16:creationId xmlns:a16="http://schemas.microsoft.com/office/drawing/2014/main" id="{00000000-0008-0000-0100-0000A7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12" name="Drop Down 1" hidden="1">
          <a:extLst>
            <a:ext uri="{FF2B5EF4-FFF2-40B4-BE49-F238E27FC236}">
              <a16:creationId xmlns:a16="http://schemas.microsoft.com/office/drawing/2014/main" id="{00000000-0008-0000-0100-0000A8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13" name="Drop Down 2" hidden="1">
          <a:extLst>
            <a:ext uri="{FF2B5EF4-FFF2-40B4-BE49-F238E27FC236}">
              <a16:creationId xmlns:a16="http://schemas.microsoft.com/office/drawing/2014/main" id="{00000000-0008-0000-0100-0000A9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14" name="Drop Down 1" hidden="1">
          <a:extLst>
            <a:ext uri="{FF2B5EF4-FFF2-40B4-BE49-F238E27FC236}">
              <a16:creationId xmlns:a16="http://schemas.microsoft.com/office/drawing/2014/main" id="{00000000-0008-0000-0100-0000AA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6315" name="Drop Down -1022" hidden="1">
          <a:extLst>
            <a:ext uri="{FF2B5EF4-FFF2-40B4-BE49-F238E27FC236}">
              <a16:creationId xmlns:a16="http://schemas.microsoft.com/office/drawing/2014/main" id="{00000000-0008-0000-0100-0000AB180000}"/>
            </a:ext>
          </a:extLst>
        </xdr:cNvPr>
        <xdr:cNvSpPr>
          <a:spLocks noChangeArrowheads="1"/>
        </xdr:cNvSpPr>
      </xdr:nvSpPr>
      <xdr:spPr bwMode="auto">
        <a:xfrm>
          <a:off x="3641481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316" name="Drop Down 1" hidden="1">
          <a:extLst>
            <a:ext uri="{FF2B5EF4-FFF2-40B4-BE49-F238E27FC236}">
              <a16:creationId xmlns:a16="http://schemas.microsoft.com/office/drawing/2014/main" id="{00000000-0008-0000-0100-0000A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317" name="Drop Down 1" hidden="1">
          <a:extLst>
            <a:ext uri="{FF2B5EF4-FFF2-40B4-BE49-F238E27FC236}">
              <a16:creationId xmlns:a16="http://schemas.microsoft.com/office/drawing/2014/main" id="{00000000-0008-0000-0100-0000A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318" name="Drop Down 1" hidden="1">
          <a:extLst>
            <a:ext uri="{FF2B5EF4-FFF2-40B4-BE49-F238E27FC236}">
              <a16:creationId xmlns:a16="http://schemas.microsoft.com/office/drawing/2014/main" id="{00000000-0008-0000-0100-0000A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319" name="Drop Down 1" hidden="1">
          <a:extLst>
            <a:ext uri="{FF2B5EF4-FFF2-40B4-BE49-F238E27FC236}">
              <a16:creationId xmlns:a16="http://schemas.microsoft.com/office/drawing/2014/main" id="{00000000-0008-0000-0100-0000A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320" name="Drop Down 2" hidden="1">
          <a:extLst>
            <a:ext uri="{FF2B5EF4-FFF2-40B4-BE49-F238E27FC236}">
              <a16:creationId xmlns:a16="http://schemas.microsoft.com/office/drawing/2014/main" id="{00000000-0008-0000-0100-0000B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321" name="Drop Down 1" hidden="1">
          <a:extLst>
            <a:ext uri="{FF2B5EF4-FFF2-40B4-BE49-F238E27FC236}">
              <a16:creationId xmlns:a16="http://schemas.microsoft.com/office/drawing/2014/main" id="{00000000-0008-0000-0100-0000B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322" name="Drop Down -1022" hidden="1">
          <a:extLst>
            <a:ext uri="{FF2B5EF4-FFF2-40B4-BE49-F238E27FC236}">
              <a16:creationId xmlns:a16="http://schemas.microsoft.com/office/drawing/2014/main" id="{00000000-0008-0000-0100-0000B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323" name="Drop Down 1" hidden="1">
          <a:extLst>
            <a:ext uri="{FF2B5EF4-FFF2-40B4-BE49-F238E27FC236}">
              <a16:creationId xmlns:a16="http://schemas.microsoft.com/office/drawing/2014/main" id="{00000000-0008-0000-0100-0000B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324" name="Drop Down 1" hidden="1">
          <a:extLst>
            <a:ext uri="{FF2B5EF4-FFF2-40B4-BE49-F238E27FC236}">
              <a16:creationId xmlns:a16="http://schemas.microsoft.com/office/drawing/2014/main" id="{00000000-0008-0000-0100-0000B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325" name="Drop Down 1" hidden="1">
          <a:extLst>
            <a:ext uri="{FF2B5EF4-FFF2-40B4-BE49-F238E27FC236}">
              <a16:creationId xmlns:a16="http://schemas.microsoft.com/office/drawing/2014/main" id="{00000000-0008-0000-0100-0000B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326" name="Drop Down 1" hidden="1">
          <a:extLst>
            <a:ext uri="{FF2B5EF4-FFF2-40B4-BE49-F238E27FC236}">
              <a16:creationId xmlns:a16="http://schemas.microsoft.com/office/drawing/2014/main" id="{00000000-0008-0000-0100-0000B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327" name="Drop Down 2" hidden="1">
          <a:extLst>
            <a:ext uri="{FF2B5EF4-FFF2-40B4-BE49-F238E27FC236}">
              <a16:creationId xmlns:a16="http://schemas.microsoft.com/office/drawing/2014/main" id="{00000000-0008-0000-0100-0000B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328" name="Drop Down 1" hidden="1">
          <a:extLst>
            <a:ext uri="{FF2B5EF4-FFF2-40B4-BE49-F238E27FC236}">
              <a16:creationId xmlns:a16="http://schemas.microsoft.com/office/drawing/2014/main" id="{00000000-0008-0000-0100-0000B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329" name="Drop Down -1022" hidden="1">
          <a:extLst>
            <a:ext uri="{FF2B5EF4-FFF2-40B4-BE49-F238E27FC236}">
              <a16:creationId xmlns:a16="http://schemas.microsoft.com/office/drawing/2014/main" id="{00000000-0008-0000-0100-0000B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30" name="Drop Down 1" hidden="1">
          <a:extLst>
            <a:ext uri="{FF2B5EF4-FFF2-40B4-BE49-F238E27FC236}">
              <a16:creationId xmlns:a16="http://schemas.microsoft.com/office/drawing/2014/main" id="{00000000-0008-0000-0100-0000B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31" name="Drop Down 1" hidden="1">
          <a:extLst>
            <a:ext uri="{FF2B5EF4-FFF2-40B4-BE49-F238E27FC236}">
              <a16:creationId xmlns:a16="http://schemas.microsoft.com/office/drawing/2014/main" id="{00000000-0008-0000-0100-0000B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32" name="Drop Down 1" hidden="1">
          <a:extLst>
            <a:ext uri="{FF2B5EF4-FFF2-40B4-BE49-F238E27FC236}">
              <a16:creationId xmlns:a16="http://schemas.microsoft.com/office/drawing/2014/main" id="{00000000-0008-0000-0100-0000B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33" name="Drop Down 1" hidden="1">
          <a:extLst>
            <a:ext uri="{FF2B5EF4-FFF2-40B4-BE49-F238E27FC236}">
              <a16:creationId xmlns:a16="http://schemas.microsoft.com/office/drawing/2014/main" id="{00000000-0008-0000-0100-0000B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34" name="Drop Down 2" hidden="1">
          <a:extLst>
            <a:ext uri="{FF2B5EF4-FFF2-40B4-BE49-F238E27FC236}">
              <a16:creationId xmlns:a16="http://schemas.microsoft.com/office/drawing/2014/main" id="{00000000-0008-0000-0100-0000B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35" name="Drop Down 1" hidden="1">
          <a:extLst>
            <a:ext uri="{FF2B5EF4-FFF2-40B4-BE49-F238E27FC236}">
              <a16:creationId xmlns:a16="http://schemas.microsoft.com/office/drawing/2014/main" id="{00000000-0008-0000-0100-0000B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36" name="Drop Down -1022" hidden="1">
          <a:extLst>
            <a:ext uri="{FF2B5EF4-FFF2-40B4-BE49-F238E27FC236}">
              <a16:creationId xmlns:a16="http://schemas.microsoft.com/office/drawing/2014/main" id="{00000000-0008-0000-0100-0000C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37" name="Drop Down 1" hidden="1">
          <a:extLst>
            <a:ext uri="{FF2B5EF4-FFF2-40B4-BE49-F238E27FC236}">
              <a16:creationId xmlns:a16="http://schemas.microsoft.com/office/drawing/2014/main" id="{00000000-0008-0000-0100-0000C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38" name="Drop Down 1" hidden="1">
          <a:extLst>
            <a:ext uri="{FF2B5EF4-FFF2-40B4-BE49-F238E27FC236}">
              <a16:creationId xmlns:a16="http://schemas.microsoft.com/office/drawing/2014/main" id="{00000000-0008-0000-0100-0000C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39" name="Drop Down 1" hidden="1">
          <a:extLst>
            <a:ext uri="{FF2B5EF4-FFF2-40B4-BE49-F238E27FC236}">
              <a16:creationId xmlns:a16="http://schemas.microsoft.com/office/drawing/2014/main" id="{00000000-0008-0000-0100-0000C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40" name="Drop Down 1" hidden="1">
          <a:extLst>
            <a:ext uri="{FF2B5EF4-FFF2-40B4-BE49-F238E27FC236}">
              <a16:creationId xmlns:a16="http://schemas.microsoft.com/office/drawing/2014/main" id="{00000000-0008-0000-0100-0000C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41" name="Drop Down 2" hidden="1">
          <a:extLst>
            <a:ext uri="{FF2B5EF4-FFF2-40B4-BE49-F238E27FC236}">
              <a16:creationId xmlns:a16="http://schemas.microsoft.com/office/drawing/2014/main" id="{00000000-0008-0000-0100-0000C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42" name="Drop Down 1" hidden="1">
          <a:extLst>
            <a:ext uri="{FF2B5EF4-FFF2-40B4-BE49-F238E27FC236}">
              <a16:creationId xmlns:a16="http://schemas.microsoft.com/office/drawing/2014/main" id="{00000000-0008-0000-0100-0000C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43" name="Drop Down -1022" hidden="1">
          <a:extLst>
            <a:ext uri="{FF2B5EF4-FFF2-40B4-BE49-F238E27FC236}">
              <a16:creationId xmlns:a16="http://schemas.microsoft.com/office/drawing/2014/main" id="{00000000-0008-0000-0100-0000C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44" name="Drop Down 1" hidden="1">
          <a:extLst>
            <a:ext uri="{FF2B5EF4-FFF2-40B4-BE49-F238E27FC236}">
              <a16:creationId xmlns:a16="http://schemas.microsoft.com/office/drawing/2014/main" id="{00000000-0008-0000-0100-0000C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45" name="Drop Down 1" hidden="1">
          <a:extLst>
            <a:ext uri="{FF2B5EF4-FFF2-40B4-BE49-F238E27FC236}">
              <a16:creationId xmlns:a16="http://schemas.microsoft.com/office/drawing/2014/main" id="{00000000-0008-0000-0100-0000C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46" name="Drop Down 1" hidden="1">
          <a:extLst>
            <a:ext uri="{FF2B5EF4-FFF2-40B4-BE49-F238E27FC236}">
              <a16:creationId xmlns:a16="http://schemas.microsoft.com/office/drawing/2014/main" id="{00000000-0008-0000-0100-0000C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47" name="Drop Down 1" hidden="1">
          <a:extLst>
            <a:ext uri="{FF2B5EF4-FFF2-40B4-BE49-F238E27FC236}">
              <a16:creationId xmlns:a16="http://schemas.microsoft.com/office/drawing/2014/main" id="{00000000-0008-0000-0100-0000C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48" name="Drop Down 2" hidden="1">
          <a:extLst>
            <a:ext uri="{FF2B5EF4-FFF2-40B4-BE49-F238E27FC236}">
              <a16:creationId xmlns:a16="http://schemas.microsoft.com/office/drawing/2014/main" id="{00000000-0008-0000-0100-0000C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49" name="Drop Down 1" hidden="1">
          <a:extLst>
            <a:ext uri="{FF2B5EF4-FFF2-40B4-BE49-F238E27FC236}">
              <a16:creationId xmlns:a16="http://schemas.microsoft.com/office/drawing/2014/main" id="{00000000-0008-0000-0100-0000C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50" name="Drop Down -1022" hidden="1">
          <a:extLst>
            <a:ext uri="{FF2B5EF4-FFF2-40B4-BE49-F238E27FC236}">
              <a16:creationId xmlns:a16="http://schemas.microsoft.com/office/drawing/2014/main" id="{00000000-0008-0000-0100-0000C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51" name="Drop Down 1" hidden="1">
          <a:extLst>
            <a:ext uri="{FF2B5EF4-FFF2-40B4-BE49-F238E27FC236}">
              <a16:creationId xmlns:a16="http://schemas.microsoft.com/office/drawing/2014/main" id="{00000000-0008-0000-0100-0000C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52" name="Drop Down 1" hidden="1">
          <a:extLst>
            <a:ext uri="{FF2B5EF4-FFF2-40B4-BE49-F238E27FC236}">
              <a16:creationId xmlns:a16="http://schemas.microsoft.com/office/drawing/2014/main" id="{00000000-0008-0000-0100-0000D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53" name="Drop Down 1" hidden="1">
          <a:extLst>
            <a:ext uri="{FF2B5EF4-FFF2-40B4-BE49-F238E27FC236}">
              <a16:creationId xmlns:a16="http://schemas.microsoft.com/office/drawing/2014/main" id="{00000000-0008-0000-0100-0000D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54" name="Drop Down 1" hidden="1">
          <a:extLst>
            <a:ext uri="{FF2B5EF4-FFF2-40B4-BE49-F238E27FC236}">
              <a16:creationId xmlns:a16="http://schemas.microsoft.com/office/drawing/2014/main" id="{00000000-0008-0000-0100-0000D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55" name="Drop Down 2" hidden="1">
          <a:extLst>
            <a:ext uri="{FF2B5EF4-FFF2-40B4-BE49-F238E27FC236}">
              <a16:creationId xmlns:a16="http://schemas.microsoft.com/office/drawing/2014/main" id="{00000000-0008-0000-0100-0000D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56" name="Drop Down 1" hidden="1">
          <a:extLst>
            <a:ext uri="{FF2B5EF4-FFF2-40B4-BE49-F238E27FC236}">
              <a16:creationId xmlns:a16="http://schemas.microsoft.com/office/drawing/2014/main" id="{00000000-0008-0000-0100-0000D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57" name="Drop Down -1022" hidden="1">
          <a:extLst>
            <a:ext uri="{FF2B5EF4-FFF2-40B4-BE49-F238E27FC236}">
              <a16:creationId xmlns:a16="http://schemas.microsoft.com/office/drawing/2014/main" id="{00000000-0008-0000-0100-0000D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58" name="Drop Down 1" hidden="1">
          <a:extLst>
            <a:ext uri="{FF2B5EF4-FFF2-40B4-BE49-F238E27FC236}">
              <a16:creationId xmlns:a16="http://schemas.microsoft.com/office/drawing/2014/main" id="{00000000-0008-0000-0100-0000D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59" name="Drop Down 1" hidden="1">
          <a:extLst>
            <a:ext uri="{FF2B5EF4-FFF2-40B4-BE49-F238E27FC236}">
              <a16:creationId xmlns:a16="http://schemas.microsoft.com/office/drawing/2014/main" id="{00000000-0008-0000-0100-0000D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60" name="Drop Down 1" hidden="1">
          <a:extLst>
            <a:ext uri="{FF2B5EF4-FFF2-40B4-BE49-F238E27FC236}">
              <a16:creationId xmlns:a16="http://schemas.microsoft.com/office/drawing/2014/main" id="{00000000-0008-0000-0100-0000D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61" name="Drop Down 1" hidden="1">
          <a:extLst>
            <a:ext uri="{FF2B5EF4-FFF2-40B4-BE49-F238E27FC236}">
              <a16:creationId xmlns:a16="http://schemas.microsoft.com/office/drawing/2014/main" id="{00000000-0008-0000-0100-0000D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62" name="Drop Down 2" hidden="1">
          <a:extLst>
            <a:ext uri="{FF2B5EF4-FFF2-40B4-BE49-F238E27FC236}">
              <a16:creationId xmlns:a16="http://schemas.microsoft.com/office/drawing/2014/main" id="{00000000-0008-0000-0100-0000D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63" name="Drop Down 1" hidden="1">
          <a:extLst>
            <a:ext uri="{FF2B5EF4-FFF2-40B4-BE49-F238E27FC236}">
              <a16:creationId xmlns:a16="http://schemas.microsoft.com/office/drawing/2014/main" id="{00000000-0008-0000-0100-0000D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64" name="Drop Down -1022" hidden="1">
          <a:extLst>
            <a:ext uri="{FF2B5EF4-FFF2-40B4-BE49-F238E27FC236}">
              <a16:creationId xmlns:a16="http://schemas.microsoft.com/office/drawing/2014/main" id="{00000000-0008-0000-0100-0000D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65" name="Drop Down 1" hidden="1">
          <a:extLst>
            <a:ext uri="{FF2B5EF4-FFF2-40B4-BE49-F238E27FC236}">
              <a16:creationId xmlns:a16="http://schemas.microsoft.com/office/drawing/2014/main" id="{00000000-0008-0000-0100-0000D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66" name="Drop Down 1" hidden="1">
          <a:extLst>
            <a:ext uri="{FF2B5EF4-FFF2-40B4-BE49-F238E27FC236}">
              <a16:creationId xmlns:a16="http://schemas.microsoft.com/office/drawing/2014/main" id="{00000000-0008-0000-0100-0000D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67" name="Drop Down 1" hidden="1">
          <a:extLst>
            <a:ext uri="{FF2B5EF4-FFF2-40B4-BE49-F238E27FC236}">
              <a16:creationId xmlns:a16="http://schemas.microsoft.com/office/drawing/2014/main" id="{00000000-0008-0000-0100-0000D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68" name="Drop Down 1" hidden="1">
          <a:extLst>
            <a:ext uri="{FF2B5EF4-FFF2-40B4-BE49-F238E27FC236}">
              <a16:creationId xmlns:a16="http://schemas.microsoft.com/office/drawing/2014/main" id="{00000000-0008-0000-0100-0000E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69" name="Drop Down 2" hidden="1">
          <a:extLst>
            <a:ext uri="{FF2B5EF4-FFF2-40B4-BE49-F238E27FC236}">
              <a16:creationId xmlns:a16="http://schemas.microsoft.com/office/drawing/2014/main" id="{00000000-0008-0000-0100-0000E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70" name="Drop Down 1" hidden="1">
          <a:extLst>
            <a:ext uri="{FF2B5EF4-FFF2-40B4-BE49-F238E27FC236}">
              <a16:creationId xmlns:a16="http://schemas.microsoft.com/office/drawing/2014/main" id="{00000000-0008-0000-0100-0000E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71" name="Drop Down -1022" hidden="1">
          <a:extLst>
            <a:ext uri="{FF2B5EF4-FFF2-40B4-BE49-F238E27FC236}">
              <a16:creationId xmlns:a16="http://schemas.microsoft.com/office/drawing/2014/main" id="{00000000-0008-0000-0100-0000E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72" name="Drop Down 1" hidden="1">
          <a:extLst>
            <a:ext uri="{FF2B5EF4-FFF2-40B4-BE49-F238E27FC236}">
              <a16:creationId xmlns:a16="http://schemas.microsoft.com/office/drawing/2014/main" id="{00000000-0008-0000-0100-0000E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73" name="Drop Down 1" hidden="1">
          <a:extLst>
            <a:ext uri="{FF2B5EF4-FFF2-40B4-BE49-F238E27FC236}">
              <a16:creationId xmlns:a16="http://schemas.microsoft.com/office/drawing/2014/main" id="{00000000-0008-0000-0100-0000E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74" name="Drop Down 1" hidden="1">
          <a:extLst>
            <a:ext uri="{FF2B5EF4-FFF2-40B4-BE49-F238E27FC236}">
              <a16:creationId xmlns:a16="http://schemas.microsoft.com/office/drawing/2014/main" id="{00000000-0008-0000-0100-0000E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75" name="Drop Down 1" hidden="1">
          <a:extLst>
            <a:ext uri="{FF2B5EF4-FFF2-40B4-BE49-F238E27FC236}">
              <a16:creationId xmlns:a16="http://schemas.microsoft.com/office/drawing/2014/main" id="{00000000-0008-0000-0100-0000E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76" name="Drop Down 2" hidden="1">
          <a:extLst>
            <a:ext uri="{FF2B5EF4-FFF2-40B4-BE49-F238E27FC236}">
              <a16:creationId xmlns:a16="http://schemas.microsoft.com/office/drawing/2014/main" id="{00000000-0008-0000-0100-0000E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77" name="Drop Down 1" hidden="1">
          <a:extLst>
            <a:ext uri="{FF2B5EF4-FFF2-40B4-BE49-F238E27FC236}">
              <a16:creationId xmlns:a16="http://schemas.microsoft.com/office/drawing/2014/main" id="{00000000-0008-0000-0100-0000E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78" name="Drop Down -1022" hidden="1">
          <a:extLst>
            <a:ext uri="{FF2B5EF4-FFF2-40B4-BE49-F238E27FC236}">
              <a16:creationId xmlns:a16="http://schemas.microsoft.com/office/drawing/2014/main" id="{00000000-0008-0000-0100-0000E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79" name="Drop Down 1" hidden="1">
          <a:extLst>
            <a:ext uri="{FF2B5EF4-FFF2-40B4-BE49-F238E27FC236}">
              <a16:creationId xmlns:a16="http://schemas.microsoft.com/office/drawing/2014/main" id="{00000000-0008-0000-0100-0000E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80" name="Drop Down 1" hidden="1">
          <a:extLst>
            <a:ext uri="{FF2B5EF4-FFF2-40B4-BE49-F238E27FC236}">
              <a16:creationId xmlns:a16="http://schemas.microsoft.com/office/drawing/2014/main" id="{00000000-0008-0000-0100-0000E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81" name="Drop Down 1" hidden="1">
          <a:extLst>
            <a:ext uri="{FF2B5EF4-FFF2-40B4-BE49-F238E27FC236}">
              <a16:creationId xmlns:a16="http://schemas.microsoft.com/office/drawing/2014/main" id="{00000000-0008-0000-0100-0000E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82" name="Drop Down 1" hidden="1">
          <a:extLst>
            <a:ext uri="{FF2B5EF4-FFF2-40B4-BE49-F238E27FC236}">
              <a16:creationId xmlns:a16="http://schemas.microsoft.com/office/drawing/2014/main" id="{00000000-0008-0000-0100-0000E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83" name="Drop Down 2" hidden="1">
          <a:extLst>
            <a:ext uri="{FF2B5EF4-FFF2-40B4-BE49-F238E27FC236}">
              <a16:creationId xmlns:a16="http://schemas.microsoft.com/office/drawing/2014/main" id="{00000000-0008-0000-0100-0000E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84" name="Drop Down 1" hidden="1">
          <a:extLst>
            <a:ext uri="{FF2B5EF4-FFF2-40B4-BE49-F238E27FC236}">
              <a16:creationId xmlns:a16="http://schemas.microsoft.com/office/drawing/2014/main" id="{00000000-0008-0000-0100-0000F0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85" name="Drop Down -1022" hidden="1">
          <a:extLst>
            <a:ext uri="{FF2B5EF4-FFF2-40B4-BE49-F238E27FC236}">
              <a16:creationId xmlns:a16="http://schemas.microsoft.com/office/drawing/2014/main" id="{00000000-0008-0000-0100-0000F1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86" name="Drop Down 1" hidden="1">
          <a:extLst>
            <a:ext uri="{FF2B5EF4-FFF2-40B4-BE49-F238E27FC236}">
              <a16:creationId xmlns:a16="http://schemas.microsoft.com/office/drawing/2014/main" id="{00000000-0008-0000-0100-0000F2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87" name="Drop Down 1" hidden="1">
          <a:extLst>
            <a:ext uri="{FF2B5EF4-FFF2-40B4-BE49-F238E27FC236}">
              <a16:creationId xmlns:a16="http://schemas.microsoft.com/office/drawing/2014/main" id="{00000000-0008-0000-0100-0000F3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88" name="Drop Down 1" hidden="1">
          <a:extLst>
            <a:ext uri="{FF2B5EF4-FFF2-40B4-BE49-F238E27FC236}">
              <a16:creationId xmlns:a16="http://schemas.microsoft.com/office/drawing/2014/main" id="{00000000-0008-0000-0100-0000F4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89" name="Drop Down 1" hidden="1">
          <a:extLst>
            <a:ext uri="{FF2B5EF4-FFF2-40B4-BE49-F238E27FC236}">
              <a16:creationId xmlns:a16="http://schemas.microsoft.com/office/drawing/2014/main" id="{00000000-0008-0000-0100-0000F5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90" name="Drop Down 2" hidden="1">
          <a:extLst>
            <a:ext uri="{FF2B5EF4-FFF2-40B4-BE49-F238E27FC236}">
              <a16:creationId xmlns:a16="http://schemas.microsoft.com/office/drawing/2014/main" id="{00000000-0008-0000-0100-0000F6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91" name="Drop Down 1" hidden="1">
          <a:extLst>
            <a:ext uri="{FF2B5EF4-FFF2-40B4-BE49-F238E27FC236}">
              <a16:creationId xmlns:a16="http://schemas.microsoft.com/office/drawing/2014/main" id="{00000000-0008-0000-0100-0000F7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392" name="Drop Down -1022" hidden="1">
          <a:extLst>
            <a:ext uri="{FF2B5EF4-FFF2-40B4-BE49-F238E27FC236}">
              <a16:creationId xmlns:a16="http://schemas.microsoft.com/office/drawing/2014/main" id="{00000000-0008-0000-0100-0000F8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93" name="Drop Down 1" hidden="1">
          <a:extLst>
            <a:ext uri="{FF2B5EF4-FFF2-40B4-BE49-F238E27FC236}">
              <a16:creationId xmlns:a16="http://schemas.microsoft.com/office/drawing/2014/main" id="{00000000-0008-0000-0100-0000F9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94" name="Drop Down 1" hidden="1">
          <a:extLst>
            <a:ext uri="{FF2B5EF4-FFF2-40B4-BE49-F238E27FC236}">
              <a16:creationId xmlns:a16="http://schemas.microsoft.com/office/drawing/2014/main" id="{00000000-0008-0000-0100-0000FA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95" name="Drop Down 1" hidden="1">
          <a:extLst>
            <a:ext uri="{FF2B5EF4-FFF2-40B4-BE49-F238E27FC236}">
              <a16:creationId xmlns:a16="http://schemas.microsoft.com/office/drawing/2014/main" id="{00000000-0008-0000-0100-0000FB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96" name="Drop Down 1" hidden="1">
          <a:extLst>
            <a:ext uri="{FF2B5EF4-FFF2-40B4-BE49-F238E27FC236}">
              <a16:creationId xmlns:a16="http://schemas.microsoft.com/office/drawing/2014/main" id="{00000000-0008-0000-0100-0000FC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97" name="Drop Down 2" hidden="1">
          <a:extLst>
            <a:ext uri="{FF2B5EF4-FFF2-40B4-BE49-F238E27FC236}">
              <a16:creationId xmlns:a16="http://schemas.microsoft.com/office/drawing/2014/main" id="{00000000-0008-0000-0100-0000FD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98" name="Drop Down 1" hidden="1">
          <a:extLst>
            <a:ext uri="{FF2B5EF4-FFF2-40B4-BE49-F238E27FC236}">
              <a16:creationId xmlns:a16="http://schemas.microsoft.com/office/drawing/2014/main" id="{00000000-0008-0000-0100-0000FE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399" name="Drop Down -1022" hidden="1">
          <a:extLst>
            <a:ext uri="{FF2B5EF4-FFF2-40B4-BE49-F238E27FC236}">
              <a16:creationId xmlns:a16="http://schemas.microsoft.com/office/drawing/2014/main" id="{00000000-0008-0000-0100-0000FF18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00" name="Drop Down 1" hidden="1">
          <a:extLst>
            <a:ext uri="{FF2B5EF4-FFF2-40B4-BE49-F238E27FC236}">
              <a16:creationId xmlns:a16="http://schemas.microsoft.com/office/drawing/2014/main" id="{00000000-0008-0000-0100-00000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01" name="Drop Down 1" hidden="1">
          <a:extLst>
            <a:ext uri="{FF2B5EF4-FFF2-40B4-BE49-F238E27FC236}">
              <a16:creationId xmlns:a16="http://schemas.microsoft.com/office/drawing/2014/main" id="{00000000-0008-0000-0100-00000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02" name="Drop Down 1" hidden="1">
          <a:extLst>
            <a:ext uri="{FF2B5EF4-FFF2-40B4-BE49-F238E27FC236}">
              <a16:creationId xmlns:a16="http://schemas.microsoft.com/office/drawing/2014/main" id="{00000000-0008-0000-0100-00000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03" name="Drop Down 1" hidden="1">
          <a:extLst>
            <a:ext uri="{FF2B5EF4-FFF2-40B4-BE49-F238E27FC236}">
              <a16:creationId xmlns:a16="http://schemas.microsoft.com/office/drawing/2014/main" id="{00000000-0008-0000-0100-00000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04" name="Drop Down 2" hidden="1">
          <a:extLst>
            <a:ext uri="{FF2B5EF4-FFF2-40B4-BE49-F238E27FC236}">
              <a16:creationId xmlns:a16="http://schemas.microsoft.com/office/drawing/2014/main" id="{00000000-0008-0000-0100-00000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05" name="Drop Down 1" hidden="1">
          <a:extLst>
            <a:ext uri="{FF2B5EF4-FFF2-40B4-BE49-F238E27FC236}">
              <a16:creationId xmlns:a16="http://schemas.microsoft.com/office/drawing/2014/main" id="{00000000-0008-0000-0100-00000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06" name="Drop Down -1022" hidden="1">
          <a:extLst>
            <a:ext uri="{FF2B5EF4-FFF2-40B4-BE49-F238E27FC236}">
              <a16:creationId xmlns:a16="http://schemas.microsoft.com/office/drawing/2014/main" id="{00000000-0008-0000-0100-00000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07" name="Drop Down 1" hidden="1">
          <a:extLst>
            <a:ext uri="{FF2B5EF4-FFF2-40B4-BE49-F238E27FC236}">
              <a16:creationId xmlns:a16="http://schemas.microsoft.com/office/drawing/2014/main" id="{00000000-0008-0000-0100-00000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08" name="Drop Down 1" hidden="1">
          <a:extLst>
            <a:ext uri="{FF2B5EF4-FFF2-40B4-BE49-F238E27FC236}">
              <a16:creationId xmlns:a16="http://schemas.microsoft.com/office/drawing/2014/main" id="{00000000-0008-0000-0100-00000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09" name="Drop Down 1" hidden="1">
          <a:extLst>
            <a:ext uri="{FF2B5EF4-FFF2-40B4-BE49-F238E27FC236}">
              <a16:creationId xmlns:a16="http://schemas.microsoft.com/office/drawing/2014/main" id="{00000000-0008-0000-0100-00000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10" name="Drop Down 1" hidden="1">
          <a:extLst>
            <a:ext uri="{FF2B5EF4-FFF2-40B4-BE49-F238E27FC236}">
              <a16:creationId xmlns:a16="http://schemas.microsoft.com/office/drawing/2014/main" id="{00000000-0008-0000-0100-00000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11" name="Drop Down 2" hidden="1">
          <a:extLst>
            <a:ext uri="{FF2B5EF4-FFF2-40B4-BE49-F238E27FC236}">
              <a16:creationId xmlns:a16="http://schemas.microsoft.com/office/drawing/2014/main" id="{00000000-0008-0000-0100-00000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12" name="Drop Down 1" hidden="1">
          <a:extLst>
            <a:ext uri="{FF2B5EF4-FFF2-40B4-BE49-F238E27FC236}">
              <a16:creationId xmlns:a16="http://schemas.microsoft.com/office/drawing/2014/main" id="{00000000-0008-0000-0100-00000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13" name="Drop Down -1022" hidden="1">
          <a:extLst>
            <a:ext uri="{FF2B5EF4-FFF2-40B4-BE49-F238E27FC236}">
              <a16:creationId xmlns:a16="http://schemas.microsoft.com/office/drawing/2014/main" id="{00000000-0008-0000-0100-00000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14" name="Drop Down 1" hidden="1">
          <a:extLst>
            <a:ext uri="{FF2B5EF4-FFF2-40B4-BE49-F238E27FC236}">
              <a16:creationId xmlns:a16="http://schemas.microsoft.com/office/drawing/2014/main" id="{00000000-0008-0000-0100-00000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15" name="Drop Down 1" hidden="1">
          <a:extLst>
            <a:ext uri="{FF2B5EF4-FFF2-40B4-BE49-F238E27FC236}">
              <a16:creationId xmlns:a16="http://schemas.microsoft.com/office/drawing/2014/main" id="{00000000-0008-0000-0100-00000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16" name="Drop Down 1" hidden="1">
          <a:extLst>
            <a:ext uri="{FF2B5EF4-FFF2-40B4-BE49-F238E27FC236}">
              <a16:creationId xmlns:a16="http://schemas.microsoft.com/office/drawing/2014/main" id="{00000000-0008-0000-0100-00001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17" name="Drop Down 1" hidden="1">
          <a:extLst>
            <a:ext uri="{FF2B5EF4-FFF2-40B4-BE49-F238E27FC236}">
              <a16:creationId xmlns:a16="http://schemas.microsoft.com/office/drawing/2014/main" id="{00000000-0008-0000-0100-00001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18" name="Drop Down 2" hidden="1">
          <a:extLst>
            <a:ext uri="{FF2B5EF4-FFF2-40B4-BE49-F238E27FC236}">
              <a16:creationId xmlns:a16="http://schemas.microsoft.com/office/drawing/2014/main" id="{00000000-0008-0000-0100-00001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19" name="Drop Down 1" hidden="1">
          <a:extLst>
            <a:ext uri="{FF2B5EF4-FFF2-40B4-BE49-F238E27FC236}">
              <a16:creationId xmlns:a16="http://schemas.microsoft.com/office/drawing/2014/main" id="{00000000-0008-0000-0100-00001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20" name="Drop Down -1022" hidden="1">
          <a:extLst>
            <a:ext uri="{FF2B5EF4-FFF2-40B4-BE49-F238E27FC236}">
              <a16:creationId xmlns:a16="http://schemas.microsoft.com/office/drawing/2014/main" id="{00000000-0008-0000-0100-00001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21" name="Drop Down 1" hidden="1">
          <a:extLst>
            <a:ext uri="{FF2B5EF4-FFF2-40B4-BE49-F238E27FC236}">
              <a16:creationId xmlns:a16="http://schemas.microsoft.com/office/drawing/2014/main" id="{00000000-0008-0000-0100-00001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22" name="Drop Down 1" hidden="1">
          <a:extLst>
            <a:ext uri="{FF2B5EF4-FFF2-40B4-BE49-F238E27FC236}">
              <a16:creationId xmlns:a16="http://schemas.microsoft.com/office/drawing/2014/main" id="{00000000-0008-0000-0100-00001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23" name="Drop Down 1" hidden="1">
          <a:extLst>
            <a:ext uri="{FF2B5EF4-FFF2-40B4-BE49-F238E27FC236}">
              <a16:creationId xmlns:a16="http://schemas.microsoft.com/office/drawing/2014/main" id="{00000000-0008-0000-0100-00001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24" name="Drop Down 1" hidden="1">
          <a:extLst>
            <a:ext uri="{FF2B5EF4-FFF2-40B4-BE49-F238E27FC236}">
              <a16:creationId xmlns:a16="http://schemas.microsoft.com/office/drawing/2014/main" id="{00000000-0008-0000-0100-00001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25" name="Drop Down 2" hidden="1">
          <a:extLst>
            <a:ext uri="{FF2B5EF4-FFF2-40B4-BE49-F238E27FC236}">
              <a16:creationId xmlns:a16="http://schemas.microsoft.com/office/drawing/2014/main" id="{00000000-0008-0000-0100-00001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26" name="Drop Down 1" hidden="1">
          <a:extLst>
            <a:ext uri="{FF2B5EF4-FFF2-40B4-BE49-F238E27FC236}">
              <a16:creationId xmlns:a16="http://schemas.microsoft.com/office/drawing/2014/main" id="{00000000-0008-0000-0100-00001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27" name="Drop Down -1022" hidden="1">
          <a:extLst>
            <a:ext uri="{FF2B5EF4-FFF2-40B4-BE49-F238E27FC236}">
              <a16:creationId xmlns:a16="http://schemas.microsoft.com/office/drawing/2014/main" id="{00000000-0008-0000-0100-00001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28" name="Drop Down 1" hidden="1">
          <a:extLst>
            <a:ext uri="{FF2B5EF4-FFF2-40B4-BE49-F238E27FC236}">
              <a16:creationId xmlns:a16="http://schemas.microsoft.com/office/drawing/2014/main" id="{00000000-0008-0000-0100-00001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29" name="Drop Down 1" hidden="1">
          <a:extLst>
            <a:ext uri="{FF2B5EF4-FFF2-40B4-BE49-F238E27FC236}">
              <a16:creationId xmlns:a16="http://schemas.microsoft.com/office/drawing/2014/main" id="{00000000-0008-0000-0100-00001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30" name="Drop Down 1" hidden="1">
          <a:extLst>
            <a:ext uri="{FF2B5EF4-FFF2-40B4-BE49-F238E27FC236}">
              <a16:creationId xmlns:a16="http://schemas.microsoft.com/office/drawing/2014/main" id="{00000000-0008-0000-0100-00001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31" name="Drop Down 1" hidden="1">
          <a:extLst>
            <a:ext uri="{FF2B5EF4-FFF2-40B4-BE49-F238E27FC236}">
              <a16:creationId xmlns:a16="http://schemas.microsoft.com/office/drawing/2014/main" id="{00000000-0008-0000-0100-00001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32" name="Drop Down 2" hidden="1">
          <a:extLst>
            <a:ext uri="{FF2B5EF4-FFF2-40B4-BE49-F238E27FC236}">
              <a16:creationId xmlns:a16="http://schemas.microsoft.com/office/drawing/2014/main" id="{00000000-0008-0000-0100-00002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33" name="Drop Down 1" hidden="1">
          <a:extLst>
            <a:ext uri="{FF2B5EF4-FFF2-40B4-BE49-F238E27FC236}">
              <a16:creationId xmlns:a16="http://schemas.microsoft.com/office/drawing/2014/main" id="{00000000-0008-0000-0100-00002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34" name="Drop Down -1022" hidden="1">
          <a:extLst>
            <a:ext uri="{FF2B5EF4-FFF2-40B4-BE49-F238E27FC236}">
              <a16:creationId xmlns:a16="http://schemas.microsoft.com/office/drawing/2014/main" id="{00000000-0008-0000-0100-00002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35" name="Drop Down 1" hidden="1">
          <a:extLst>
            <a:ext uri="{FF2B5EF4-FFF2-40B4-BE49-F238E27FC236}">
              <a16:creationId xmlns:a16="http://schemas.microsoft.com/office/drawing/2014/main" id="{00000000-0008-0000-0100-00002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36" name="Drop Down 1" hidden="1">
          <a:extLst>
            <a:ext uri="{FF2B5EF4-FFF2-40B4-BE49-F238E27FC236}">
              <a16:creationId xmlns:a16="http://schemas.microsoft.com/office/drawing/2014/main" id="{00000000-0008-0000-0100-00002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37" name="Drop Down 1" hidden="1">
          <a:extLst>
            <a:ext uri="{FF2B5EF4-FFF2-40B4-BE49-F238E27FC236}">
              <a16:creationId xmlns:a16="http://schemas.microsoft.com/office/drawing/2014/main" id="{00000000-0008-0000-0100-00002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38" name="Drop Down 1" hidden="1">
          <a:extLst>
            <a:ext uri="{FF2B5EF4-FFF2-40B4-BE49-F238E27FC236}">
              <a16:creationId xmlns:a16="http://schemas.microsoft.com/office/drawing/2014/main" id="{00000000-0008-0000-0100-00002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39" name="Drop Down 2" hidden="1">
          <a:extLst>
            <a:ext uri="{FF2B5EF4-FFF2-40B4-BE49-F238E27FC236}">
              <a16:creationId xmlns:a16="http://schemas.microsoft.com/office/drawing/2014/main" id="{00000000-0008-0000-0100-00002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40" name="Drop Down 1" hidden="1">
          <a:extLst>
            <a:ext uri="{FF2B5EF4-FFF2-40B4-BE49-F238E27FC236}">
              <a16:creationId xmlns:a16="http://schemas.microsoft.com/office/drawing/2014/main" id="{00000000-0008-0000-0100-00002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41" name="Drop Down -1022" hidden="1">
          <a:extLst>
            <a:ext uri="{FF2B5EF4-FFF2-40B4-BE49-F238E27FC236}">
              <a16:creationId xmlns:a16="http://schemas.microsoft.com/office/drawing/2014/main" id="{00000000-0008-0000-0100-00002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42" name="Drop Down 1" hidden="1">
          <a:extLst>
            <a:ext uri="{FF2B5EF4-FFF2-40B4-BE49-F238E27FC236}">
              <a16:creationId xmlns:a16="http://schemas.microsoft.com/office/drawing/2014/main" id="{00000000-0008-0000-0100-00002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43" name="Drop Down 1" hidden="1">
          <a:extLst>
            <a:ext uri="{FF2B5EF4-FFF2-40B4-BE49-F238E27FC236}">
              <a16:creationId xmlns:a16="http://schemas.microsoft.com/office/drawing/2014/main" id="{00000000-0008-0000-0100-00002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44" name="Drop Down 1" hidden="1">
          <a:extLst>
            <a:ext uri="{FF2B5EF4-FFF2-40B4-BE49-F238E27FC236}">
              <a16:creationId xmlns:a16="http://schemas.microsoft.com/office/drawing/2014/main" id="{00000000-0008-0000-0100-00002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45" name="Drop Down 1" hidden="1">
          <a:extLst>
            <a:ext uri="{FF2B5EF4-FFF2-40B4-BE49-F238E27FC236}">
              <a16:creationId xmlns:a16="http://schemas.microsoft.com/office/drawing/2014/main" id="{00000000-0008-0000-0100-00002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46" name="Drop Down 2" hidden="1">
          <a:extLst>
            <a:ext uri="{FF2B5EF4-FFF2-40B4-BE49-F238E27FC236}">
              <a16:creationId xmlns:a16="http://schemas.microsoft.com/office/drawing/2014/main" id="{00000000-0008-0000-0100-00002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47" name="Drop Down 1" hidden="1">
          <a:extLst>
            <a:ext uri="{FF2B5EF4-FFF2-40B4-BE49-F238E27FC236}">
              <a16:creationId xmlns:a16="http://schemas.microsoft.com/office/drawing/2014/main" id="{00000000-0008-0000-0100-00002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48" name="Drop Down -1022" hidden="1">
          <a:extLst>
            <a:ext uri="{FF2B5EF4-FFF2-40B4-BE49-F238E27FC236}">
              <a16:creationId xmlns:a16="http://schemas.microsoft.com/office/drawing/2014/main" id="{00000000-0008-0000-0100-00003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49" name="Drop Down 1" hidden="1">
          <a:extLst>
            <a:ext uri="{FF2B5EF4-FFF2-40B4-BE49-F238E27FC236}">
              <a16:creationId xmlns:a16="http://schemas.microsoft.com/office/drawing/2014/main" id="{00000000-0008-0000-0100-00003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50" name="Drop Down 1" hidden="1">
          <a:extLst>
            <a:ext uri="{FF2B5EF4-FFF2-40B4-BE49-F238E27FC236}">
              <a16:creationId xmlns:a16="http://schemas.microsoft.com/office/drawing/2014/main" id="{00000000-0008-0000-0100-00003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51" name="Drop Down 1" hidden="1">
          <a:extLst>
            <a:ext uri="{FF2B5EF4-FFF2-40B4-BE49-F238E27FC236}">
              <a16:creationId xmlns:a16="http://schemas.microsoft.com/office/drawing/2014/main" id="{00000000-0008-0000-0100-00003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52" name="Drop Down 1" hidden="1">
          <a:extLst>
            <a:ext uri="{FF2B5EF4-FFF2-40B4-BE49-F238E27FC236}">
              <a16:creationId xmlns:a16="http://schemas.microsoft.com/office/drawing/2014/main" id="{00000000-0008-0000-0100-00003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53" name="Drop Down 2" hidden="1">
          <a:extLst>
            <a:ext uri="{FF2B5EF4-FFF2-40B4-BE49-F238E27FC236}">
              <a16:creationId xmlns:a16="http://schemas.microsoft.com/office/drawing/2014/main" id="{00000000-0008-0000-0100-00003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54" name="Drop Down 1" hidden="1">
          <a:extLst>
            <a:ext uri="{FF2B5EF4-FFF2-40B4-BE49-F238E27FC236}">
              <a16:creationId xmlns:a16="http://schemas.microsoft.com/office/drawing/2014/main" id="{00000000-0008-0000-0100-00003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55" name="Drop Down -1022" hidden="1">
          <a:extLst>
            <a:ext uri="{FF2B5EF4-FFF2-40B4-BE49-F238E27FC236}">
              <a16:creationId xmlns:a16="http://schemas.microsoft.com/office/drawing/2014/main" id="{00000000-0008-0000-0100-00003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56" name="Drop Down 1" hidden="1">
          <a:extLst>
            <a:ext uri="{FF2B5EF4-FFF2-40B4-BE49-F238E27FC236}">
              <a16:creationId xmlns:a16="http://schemas.microsoft.com/office/drawing/2014/main" id="{00000000-0008-0000-0100-00003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57" name="Drop Down 1" hidden="1">
          <a:extLst>
            <a:ext uri="{FF2B5EF4-FFF2-40B4-BE49-F238E27FC236}">
              <a16:creationId xmlns:a16="http://schemas.microsoft.com/office/drawing/2014/main" id="{00000000-0008-0000-0100-00003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58" name="Drop Down 1" hidden="1">
          <a:extLst>
            <a:ext uri="{FF2B5EF4-FFF2-40B4-BE49-F238E27FC236}">
              <a16:creationId xmlns:a16="http://schemas.microsoft.com/office/drawing/2014/main" id="{00000000-0008-0000-0100-00003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59" name="Drop Down 1" hidden="1">
          <a:extLst>
            <a:ext uri="{FF2B5EF4-FFF2-40B4-BE49-F238E27FC236}">
              <a16:creationId xmlns:a16="http://schemas.microsoft.com/office/drawing/2014/main" id="{00000000-0008-0000-0100-00003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60" name="Drop Down 2" hidden="1">
          <a:extLst>
            <a:ext uri="{FF2B5EF4-FFF2-40B4-BE49-F238E27FC236}">
              <a16:creationId xmlns:a16="http://schemas.microsoft.com/office/drawing/2014/main" id="{00000000-0008-0000-0100-00003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61" name="Drop Down 1" hidden="1">
          <a:extLst>
            <a:ext uri="{FF2B5EF4-FFF2-40B4-BE49-F238E27FC236}">
              <a16:creationId xmlns:a16="http://schemas.microsoft.com/office/drawing/2014/main" id="{00000000-0008-0000-0100-00003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62" name="Drop Down -1022" hidden="1">
          <a:extLst>
            <a:ext uri="{FF2B5EF4-FFF2-40B4-BE49-F238E27FC236}">
              <a16:creationId xmlns:a16="http://schemas.microsoft.com/office/drawing/2014/main" id="{00000000-0008-0000-0100-00003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63" name="Drop Down 1" hidden="1">
          <a:extLst>
            <a:ext uri="{FF2B5EF4-FFF2-40B4-BE49-F238E27FC236}">
              <a16:creationId xmlns:a16="http://schemas.microsoft.com/office/drawing/2014/main" id="{00000000-0008-0000-0100-00003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64" name="Drop Down 1" hidden="1">
          <a:extLst>
            <a:ext uri="{FF2B5EF4-FFF2-40B4-BE49-F238E27FC236}">
              <a16:creationId xmlns:a16="http://schemas.microsoft.com/office/drawing/2014/main" id="{00000000-0008-0000-0100-00004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65" name="Drop Down 1" hidden="1">
          <a:extLst>
            <a:ext uri="{FF2B5EF4-FFF2-40B4-BE49-F238E27FC236}">
              <a16:creationId xmlns:a16="http://schemas.microsoft.com/office/drawing/2014/main" id="{00000000-0008-0000-0100-00004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66" name="Drop Down 1" hidden="1">
          <a:extLst>
            <a:ext uri="{FF2B5EF4-FFF2-40B4-BE49-F238E27FC236}">
              <a16:creationId xmlns:a16="http://schemas.microsoft.com/office/drawing/2014/main" id="{00000000-0008-0000-0100-00004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67" name="Drop Down 2" hidden="1">
          <a:extLst>
            <a:ext uri="{FF2B5EF4-FFF2-40B4-BE49-F238E27FC236}">
              <a16:creationId xmlns:a16="http://schemas.microsoft.com/office/drawing/2014/main" id="{00000000-0008-0000-0100-00004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68" name="Drop Down 1" hidden="1">
          <a:extLst>
            <a:ext uri="{FF2B5EF4-FFF2-40B4-BE49-F238E27FC236}">
              <a16:creationId xmlns:a16="http://schemas.microsoft.com/office/drawing/2014/main" id="{00000000-0008-0000-0100-00004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69" name="Drop Down -1022" hidden="1">
          <a:extLst>
            <a:ext uri="{FF2B5EF4-FFF2-40B4-BE49-F238E27FC236}">
              <a16:creationId xmlns:a16="http://schemas.microsoft.com/office/drawing/2014/main" id="{00000000-0008-0000-0100-00004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70" name="Drop Down 1" hidden="1">
          <a:extLst>
            <a:ext uri="{FF2B5EF4-FFF2-40B4-BE49-F238E27FC236}">
              <a16:creationId xmlns:a16="http://schemas.microsoft.com/office/drawing/2014/main" id="{00000000-0008-0000-0100-00004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71" name="Drop Down 1" hidden="1">
          <a:extLst>
            <a:ext uri="{FF2B5EF4-FFF2-40B4-BE49-F238E27FC236}">
              <a16:creationId xmlns:a16="http://schemas.microsoft.com/office/drawing/2014/main" id="{00000000-0008-0000-0100-00004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72" name="Drop Down 1" hidden="1">
          <a:extLst>
            <a:ext uri="{FF2B5EF4-FFF2-40B4-BE49-F238E27FC236}">
              <a16:creationId xmlns:a16="http://schemas.microsoft.com/office/drawing/2014/main" id="{00000000-0008-0000-0100-00004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73" name="Drop Down 1" hidden="1">
          <a:extLst>
            <a:ext uri="{FF2B5EF4-FFF2-40B4-BE49-F238E27FC236}">
              <a16:creationId xmlns:a16="http://schemas.microsoft.com/office/drawing/2014/main" id="{00000000-0008-0000-0100-00004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74" name="Drop Down 2" hidden="1">
          <a:extLst>
            <a:ext uri="{FF2B5EF4-FFF2-40B4-BE49-F238E27FC236}">
              <a16:creationId xmlns:a16="http://schemas.microsoft.com/office/drawing/2014/main" id="{00000000-0008-0000-0100-00004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75" name="Drop Down 1" hidden="1">
          <a:extLst>
            <a:ext uri="{FF2B5EF4-FFF2-40B4-BE49-F238E27FC236}">
              <a16:creationId xmlns:a16="http://schemas.microsoft.com/office/drawing/2014/main" id="{00000000-0008-0000-0100-00004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76" name="Drop Down -1022" hidden="1">
          <a:extLst>
            <a:ext uri="{FF2B5EF4-FFF2-40B4-BE49-F238E27FC236}">
              <a16:creationId xmlns:a16="http://schemas.microsoft.com/office/drawing/2014/main" id="{00000000-0008-0000-0100-00004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77" name="Drop Down 1" hidden="1">
          <a:extLst>
            <a:ext uri="{FF2B5EF4-FFF2-40B4-BE49-F238E27FC236}">
              <a16:creationId xmlns:a16="http://schemas.microsoft.com/office/drawing/2014/main" id="{00000000-0008-0000-0100-00004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78" name="Drop Down 1" hidden="1">
          <a:extLst>
            <a:ext uri="{FF2B5EF4-FFF2-40B4-BE49-F238E27FC236}">
              <a16:creationId xmlns:a16="http://schemas.microsoft.com/office/drawing/2014/main" id="{00000000-0008-0000-0100-00004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79" name="Drop Down 1" hidden="1">
          <a:extLst>
            <a:ext uri="{FF2B5EF4-FFF2-40B4-BE49-F238E27FC236}">
              <a16:creationId xmlns:a16="http://schemas.microsoft.com/office/drawing/2014/main" id="{00000000-0008-0000-0100-00004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80" name="Drop Down 1" hidden="1">
          <a:extLst>
            <a:ext uri="{FF2B5EF4-FFF2-40B4-BE49-F238E27FC236}">
              <a16:creationId xmlns:a16="http://schemas.microsoft.com/office/drawing/2014/main" id="{00000000-0008-0000-0100-00005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81" name="Drop Down 2" hidden="1">
          <a:extLst>
            <a:ext uri="{FF2B5EF4-FFF2-40B4-BE49-F238E27FC236}">
              <a16:creationId xmlns:a16="http://schemas.microsoft.com/office/drawing/2014/main" id="{00000000-0008-0000-0100-00005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82" name="Drop Down 1" hidden="1">
          <a:extLst>
            <a:ext uri="{FF2B5EF4-FFF2-40B4-BE49-F238E27FC236}">
              <a16:creationId xmlns:a16="http://schemas.microsoft.com/office/drawing/2014/main" id="{00000000-0008-0000-0100-00005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483" name="Drop Down -1022" hidden="1">
          <a:extLst>
            <a:ext uri="{FF2B5EF4-FFF2-40B4-BE49-F238E27FC236}">
              <a16:creationId xmlns:a16="http://schemas.microsoft.com/office/drawing/2014/main" id="{00000000-0008-0000-0100-00005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84" name="Drop Down 1" hidden="1">
          <a:extLst>
            <a:ext uri="{FF2B5EF4-FFF2-40B4-BE49-F238E27FC236}">
              <a16:creationId xmlns:a16="http://schemas.microsoft.com/office/drawing/2014/main" id="{00000000-0008-0000-0100-00005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85" name="Drop Down 1" hidden="1">
          <a:extLst>
            <a:ext uri="{FF2B5EF4-FFF2-40B4-BE49-F238E27FC236}">
              <a16:creationId xmlns:a16="http://schemas.microsoft.com/office/drawing/2014/main" id="{00000000-0008-0000-0100-00005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86" name="Drop Down 1" hidden="1">
          <a:extLst>
            <a:ext uri="{FF2B5EF4-FFF2-40B4-BE49-F238E27FC236}">
              <a16:creationId xmlns:a16="http://schemas.microsoft.com/office/drawing/2014/main" id="{00000000-0008-0000-0100-00005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87" name="Drop Down 1" hidden="1">
          <a:extLst>
            <a:ext uri="{FF2B5EF4-FFF2-40B4-BE49-F238E27FC236}">
              <a16:creationId xmlns:a16="http://schemas.microsoft.com/office/drawing/2014/main" id="{00000000-0008-0000-0100-00005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88" name="Drop Down 2" hidden="1">
          <a:extLst>
            <a:ext uri="{FF2B5EF4-FFF2-40B4-BE49-F238E27FC236}">
              <a16:creationId xmlns:a16="http://schemas.microsoft.com/office/drawing/2014/main" id="{00000000-0008-0000-0100-00005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89" name="Drop Down 1" hidden="1">
          <a:extLst>
            <a:ext uri="{FF2B5EF4-FFF2-40B4-BE49-F238E27FC236}">
              <a16:creationId xmlns:a16="http://schemas.microsoft.com/office/drawing/2014/main" id="{00000000-0008-0000-0100-00005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490" name="Drop Down -1022" hidden="1">
          <a:extLst>
            <a:ext uri="{FF2B5EF4-FFF2-40B4-BE49-F238E27FC236}">
              <a16:creationId xmlns:a16="http://schemas.microsoft.com/office/drawing/2014/main" id="{00000000-0008-0000-0100-00005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91" name="Drop Down 1" hidden="1">
          <a:extLst>
            <a:ext uri="{FF2B5EF4-FFF2-40B4-BE49-F238E27FC236}">
              <a16:creationId xmlns:a16="http://schemas.microsoft.com/office/drawing/2014/main" id="{00000000-0008-0000-0100-00005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92" name="Drop Down 1" hidden="1">
          <a:extLst>
            <a:ext uri="{FF2B5EF4-FFF2-40B4-BE49-F238E27FC236}">
              <a16:creationId xmlns:a16="http://schemas.microsoft.com/office/drawing/2014/main" id="{00000000-0008-0000-0100-00005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93" name="Drop Down 1" hidden="1">
          <a:extLst>
            <a:ext uri="{FF2B5EF4-FFF2-40B4-BE49-F238E27FC236}">
              <a16:creationId xmlns:a16="http://schemas.microsoft.com/office/drawing/2014/main" id="{00000000-0008-0000-0100-00005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94" name="Drop Down 1" hidden="1">
          <a:extLst>
            <a:ext uri="{FF2B5EF4-FFF2-40B4-BE49-F238E27FC236}">
              <a16:creationId xmlns:a16="http://schemas.microsoft.com/office/drawing/2014/main" id="{00000000-0008-0000-0100-00005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95" name="Drop Down 2" hidden="1">
          <a:extLst>
            <a:ext uri="{FF2B5EF4-FFF2-40B4-BE49-F238E27FC236}">
              <a16:creationId xmlns:a16="http://schemas.microsoft.com/office/drawing/2014/main" id="{00000000-0008-0000-0100-00005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96" name="Drop Down 1" hidden="1">
          <a:extLst>
            <a:ext uri="{FF2B5EF4-FFF2-40B4-BE49-F238E27FC236}">
              <a16:creationId xmlns:a16="http://schemas.microsoft.com/office/drawing/2014/main" id="{00000000-0008-0000-0100-00006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497" name="Drop Down -1022" hidden="1">
          <a:extLst>
            <a:ext uri="{FF2B5EF4-FFF2-40B4-BE49-F238E27FC236}">
              <a16:creationId xmlns:a16="http://schemas.microsoft.com/office/drawing/2014/main" id="{00000000-0008-0000-0100-00006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98" name="Drop Down 1" hidden="1">
          <a:extLst>
            <a:ext uri="{FF2B5EF4-FFF2-40B4-BE49-F238E27FC236}">
              <a16:creationId xmlns:a16="http://schemas.microsoft.com/office/drawing/2014/main" id="{00000000-0008-0000-0100-00006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499" name="Drop Down 1" hidden="1">
          <a:extLst>
            <a:ext uri="{FF2B5EF4-FFF2-40B4-BE49-F238E27FC236}">
              <a16:creationId xmlns:a16="http://schemas.microsoft.com/office/drawing/2014/main" id="{00000000-0008-0000-0100-00006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00" name="Drop Down 1" hidden="1">
          <a:extLst>
            <a:ext uri="{FF2B5EF4-FFF2-40B4-BE49-F238E27FC236}">
              <a16:creationId xmlns:a16="http://schemas.microsoft.com/office/drawing/2014/main" id="{00000000-0008-0000-0100-00006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01" name="Drop Down 1" hidden="1">
          <a:extLst>
            <a:ext uri="{FF2B5EF4-FFF2-40B4-BE49-F238E27FC236}">
              <a16:creationId xmlns:a16="http://schemas.microsoft.com/office/drawing/2014/main" id="{00000000-0008-0000-0100-00006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02" name="Drop Down 2" hidden="1">
          <a:extLst>
            <a:ext uri="{FF2B5EF4-FFF2-40B4-BE49-F238E27FC236}">
              <a16:creationId xmlns:a16="http://schemas.microsoft.com/office/drawing/2014/main" id="{00000000-0008-0000-0100-00006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03" name="Drop Down 1" hidden="1">
          <a:extLst>
            <a:ext uri="{FF2B5EF4-FFF2-40B4-BE49-F238E27FC236}">
              <a16:creationId xmlns:a16="http://schemas.microsoft.com/office/drawing/2014/main" id="{00000000-0008-0000-0100-00006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04" name="Drop Down -1022" hidden="1">
          <a:extLst>
            <a:ext uri="{FF2B5EF4-FFF2-40B4-BE49-F238E27FC236}">
              <a16:creationId xmlns:a16="http://schemas.microsoft.com/office/drawing/2014/main" id="{00000000-0008-0000-0100-00006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05" name="Drop Down 1" hidden="1">
          <a:extLst>
            <a:ext uri="{FF2B5EF4-FFF2-40B4-BE49-F238E27FC236}">
              <a16:creationId xmlns:a16="http://schemas.microsoft.com/office/drawing/2014/main" id="{00000000-0008-0000-0100-00006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06" name="Drop Down 1" hidden="1">
          <a:extLst>
            <a:ext uri="{FF2B5EF4-FFF2-40B4-BE49-F238E27FC236}">
              <a16:creationId xmlns:a16="http://schemas.microsoft.com/office/drawing/2014/main" id="{00000000-0008-0000-0100-00006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07" name="Drop Down 1" hidden="1">
          <a:extLst>
            <a:ext uri="{FF2B5EF4-FFF2-40B4-BE49-F238E27FC236}">
              <a16:creationId xmlns:a16="http://schemas.microsoft.com/office/drawing/2014/main" id="{00000000-0008-0000-0100-00006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08" name="Drop Down 1" hidden="1">
          <a:extLst>
            <a:ext uri="{FF2B5EF4-FFF2-40B4-BE49-F238E27FC236}">
              <a16:creationId xmlns:a16="http://schemas.microsoft.com/office/drawing/2014/main" id="{00000000-0008-0000-0100-00006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09" name="Drop Down 2" hidden="1">
          <a:extLst>
            <a:ext uri="{FF2B5EF4-FFF2-40B4-BE49-F238E27FC236}">
              <a16:creationId xmlns:a16="http://schemas.microsoft.com/office/drawing/2014/main" id="{00000000-0008-0000-0100-00006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10" name="Drop Down 1" hidden="1">
          <a:extLst>
            <a:ext uri="{FF2B5EF4-FFF2-40B4-BE49-F238E27FC236}">
              <a16:creationId xmlns:a16="http://schemas.microsoft.com/office/drawing/2014/main" id="{00000000-0008-0000-0100-00006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11" name="Drop Down -1022" hidden="1">
          <a:extLst>
            <a:ext uri="{FF2B5EF4-FFF2-40B4-BE49-F238E27FC236}">
              <a16:creationId xmlns:a16="http://schemas.microsoft.com/office/drawing/2014/main" id="{00000000-0008-0000-0100-00006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12" name="Drop Down 1" hidden="1">
          <a:extLst>
            <a:ext uri="{FF2B5EF4-FFF2-40B4-BE49-F238E27FC236}">
              <a16:creationId xmlns:a16="http://schemas.microsoft.com/office/drawing/2014/main" id="{00000000-0008-0000-0100-00007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13" name="Drop Down 1" hidden="1">
          <a:extLst>
            <a:ext uri="{FF2B5EF4-FFF2-40B4-BE49-F238E27FC236}">
              <a16:creationId xmlns:a16="http://schemas.microsoft.com/office/drawing/2014/main" id="{00000000-0008-0000-0100-00007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14" name="Drop Down 1" hidden="1">
          <a:extLst>
            <a:ext uri="{FF2B5EF4-FFF2-40B4-BE49-F238E27FC236}">
              <a16:creationId xmlns:a16="http://schemas.microsoft.com/office/drawing/2014/main" id="{00000000-0008-0000-0100-00007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15" name="Drop Down 1" hidden="1">
          <a:extLst>
            <a:ext uri="{FF2B5EF4-FFF2-40B4-BE49-F238E27FC236}">
              <a16:creationId xmlns:a16="http://schemas.microsoft.com/office/drawing/2014/main" id="{00000000-0008-0000-0100-00007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16" name="Drop Down 2" hidden="1">
          <a:extLst>
            <a:ext uri="{FF2B5EF4-FFF2-40B4-BE49-F238E27FC236}">
              <a16:creationId xmlns:a16="http://schemas.microsoft.com/office/drawing/2014/main" id="{00000000-0008-0000-0100-00007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17" name="Drop Down 1" hidden="1">
          <a:extLst>
            <a:ext uri="{FF2B5EF4-FFF2-40B4-BE49-F238E27FC236}">
              <a16:creationId xmlns:a16="http://schemas.microsoft.com/office/drawing/2014/main" id="{00000000-0008-0000-0100-00007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18" name="Drop Down -1022" hidden="1">
          <a:extLst>
            <a:ext uri="{FF2B5EF4-FFF2-40B4-BE49-F238E27FC236}">
              <a16:creationId xmlns:a16="http://schemas.microsoft.com/office/drawing/2014/main" id="{00000000-0008-0000-0100-00007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19" name="Drop Down 1" hidden="1">
          <a:extLst>
            <a:ext uri="{FF2B5EF4-FFF2-40B4-BE49-F238E27FC236}">
              <a16:creationId xmlns:a16="http://schemas.microsoft.com/office/drawing/2014/main" id="{00000000-0008-0000-0100-00007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20" name="Drop Down 1" hidden="1">
          <a:extLst>
            <a:ext uri="{FF2B5EF4-FFF2-40B4-BE49-F238E27FC236}">
              <a16:creationId xmlns:a16="http://schemas.microsoft.com/office/drawing/2014/main" id="{00000000-0008-0000-0100-00007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21" name="Drop Down 1" hidden="1">
          <a:extLst>
            <a:ext uri="{FF2B5EF4-FFF2-40B4-BE49-F238E27FC236}">
              <a16:creationId xmlns:a16="http://schemas.microsoft.com/office/drawing/2014/main" id="{00000000-0008-0000-0100-00007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22" name="Drop Down 1" hidden="1">
          <a:extLst>
            <a:ext uri="{FF2B5EF4-FFF2-40B4-BE49-F238E27FC236}">
              <a16:creationId xmlns:a16="http://schemas.microsoft.com/office/drawing/2014/main" id="{00000000-0008-0000-0100-00007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23" name="Drop Down 2" hidden="1">
          <a:extLst>
            <a:ext uri="{FF2B5EF4-FFF2-40B4-BE49-F238E27FC236}">
              <a16:creationId xmlns:a16="http://schemas.microsoft.com/office/drawing/2014/main" id="{00000000-0008-0000-0100-00007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24" name="Drop Down 1" hidden="1">
          <a:extLst>
            <a:ext uri="{FF2B5EF4-FFF2-40B4-BE49-F238E27FC236}">
              <a16:creationId xmlns:a16="http://schemas.microsoft.com/office/drawing/2014/main" id="{00000000-0008-0000-0100-00007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25" name="Drop Down -1022" hidden="1">
          <a:extLst>
            <a:ext uri="{FF2B5EF4-FFF2-40B4-BE49-F238E27FC236}">
              <a16:creationId xmlns:a16="http://schemas.microsoft.com/office/drawing/2014/main" id="{00000000-0008-0000-0100-00007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26" name="Drop Down 1" hidden="1">
          <a:extLst>
            <a:ext uri="{FF2B5EF4-FFF2-40B4-BE49-F238E27FC236}">
              <a16:creationId xmlns:a16="http://schemas.microsoft.com/office/drawing/2014/main" id="{00000000-0008-0000-0100-00007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27" name="Drop Down 1" hidden="1">
          <a:extLst>
            <a:ext uri="{FF2B5EF4-FFF2-40B4-BE49-F238E27FC236}">
              <a16:creationId xmlns:a16="http://schemas.microsoft.com/office/drawing/2014/main" id="{00000000-0008-0000-0100-00007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28" name="Drop Down 1" hidden="1">
          <a:extLst>
            <a:ext uri="{FF2B5EF4-FFF2-40B4-BE49-F238E27FC236}">
              <a16:creationId xmlns:a16="http://schemas.microsoft.com/office/drawing/2014/main" id="{00000000-0008-0000-0100-00008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29" name="Drop Down 1" hidden="1">
          <a:extLst>
            <a:ext uri="{FF2B5EF4-FFF2-40B4-BE49-F238E27FC236}">
              <a16:creationId xmlns:a16="http://schemas.microsoft.com/office/drawing/2014/main" id="{00000000-0008-0000-0100-00008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30" name="Drop Down 2" hidden="1">
          <a:extLst>
            <a:ext uri="{FF2B5EF4-FFF2-40B4-BE49-F238E27FC236}">
              <a16:creationId xmlns:a16="http://schemas.microsoft.com/office/drawing/2014/main" id="{00000000-0008-0000-0100-00008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31" name="Drop Down 1" hidden="1">
          <a:extLst>
            <a:ext uri="{FF2B5EF4-FFF2-40B4-BE49-F238E27FC236}">
              <a16:creationId xmlns:a16="http://schemas.microsoft.com/office/drawing/2014/main" id="{00000000-0008-0000-0100-00008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32" name="Drop Down -1022" hidden="1">
          <a:extLst>
            <a:ext uri="{FF2B5EF4-FFF2-40B4-BE49-F238E27FC236}">
              <a16:creationId xmlns:a16="http://schemas.microsoft.com/office/drawing/2014/main" id="{00000000-0008-0000-0100-00008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33" name="Drop Down 1" hidden="1">
          <a:extLst>
            <a:ext uri="{FF2B5EF4-FFF2-40B4-BE49-F238E27FC236}">
              <a16:creationId xmlns:a16="http://schemas.microsoft.com/office/drawing/2014/main" id="{00000000-0008-0000-0100-00008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34" name="Drop Down 1" hidden="1">
          <a:extLst>
            <a:ext uri="{FF2B5EF4-FFF2-40B4-BE49-F238E27FC236}">
              <a16:creationId xmlns:a16="http://schemas.microsoft.com/office/drawing/2014/main" id="{00000000-0008-0000-0100-00008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35" name="Drop Down 1" hidden="1">
          <a:extLst>
            <a:ext uri="{FF2B5EF4-FFF2-40B4-BE49-F238E27FC236}">
              <a16:creationId xmlns:a16="http://schemas.microsoft.com/office/drawing/2014/main" id="{00000000-0008-0000-0100-00008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36" name="Drop Down 1" hidden="1">
          <a:extLst>
            <a:ext uri="{FF2B5EF4-FFF2-40B4-BE49-F238E27FC236}">
              <a16:creationId xmlns:a16="http://schemas.microsoft.com/office/drawing/2014/main" id="{00000000-0008-0000-0100-00008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37" name="Drop Down 2" hidden="1">
          <a:extLst>
            <a:ext uri="{FF2B5EF4-FFF2-40B4-BE49-F238E27FC236}">
              <a16:creationId xmlns:a16="http://schemas.microsoft.com/office/drawing/2014/main" id="{00000000-0008-0000-0100-00008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38" name="Drop Down 1" hidden="1">
          <a:extLst>
            <a:ext uri="{FF2B5EF4-FFF2-40B4-BE49-F238E27FC236}">
              <a16:creationId xmlns:a16="http://schemas.microsoft.com/office/drawing/2014/main" id="{00000000-0008-0000-0100-00008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39" name="Drop Down -1022" hidden="1">
          <a:extLst>
            <a:ext uri="{FF2B5EF4-FFF2-40B4-BE49-F238E27FC236}">
              <a16:creationId xmlns:a16="http://schemas.microsoft.com/office/drawing/2014/main" id="{00000000-0008-0000-0100-00008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40" name="Drop Down 1" hidden="1">
          <a:extLst>
            <a:ext uri="{FF2B5EF4-FFF2-40B4-BE49-F238E27FC236}">
              <a16:creationId xmlns:a16="http://schemas.microsoft.com/office/drawing/2014/main" id="{00000000-0008-0000-0100-00008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41" name="Drop Down 1" hidden="1">
          <a:extLst>
            <a:ext uri="{FF2B5EF4-FFF2-40B4-BE49-F238E27FC236}">
              <a16:creationId xmlns:a16="http://schemas.microsoft.com/office/drawing/2014/main" id="{00000000-0008-0000-0100-00008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42" name="Drop Down 1" hidden="1">
          <a:extLst>
            <a:ext uri="{FF2B5EF4-FFF2-40B4-BE49-F238E27FC236}">
              <a16:creationId xmlns:a16="http://schemas.microsoft.com/office/drawing/2014/main" id="{00000000-0008-0000-0100-00008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43" name="Drop Down 1" hidden="1">
          <a:extLst>
            <a:ext uri="{FF2B5EF4-FFF2-40B4-BE49-F238E27FC236}">
              <a16:creationId xmlns:a16="http://schemas.microsoft.com/office/drawing/2014/main" id="{00000000-0008-0000-0100-00008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44" name="Drop Down 2" hidden="1">
          <a:extLst>
            <a:ext uri="{FF2B5EF4-FFF2-40B4-BE49-F238E27FC236}">
              <a16:creationId xmlns:a16="http://schemas.microsoft.com/office/drawing/2014/main" id="{00000000-0008-0000-0100-00009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45" name="Drop Down 1" hidden="1">
          <a:extLst>
            <a:ext uri="{FF2B5EF4-FFF2-40B4-BE49-F238E27FC236}">
              <a16:creationId xmlns:a16="http://schemas.microsoft.com/office/drawing/2014/main" id="{00000000-0008-0000-0100-00009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46" name="Drop Down -1022" hidden="1">
          <a:extLst>
            <a:ext uri="{FF2B5EF4-FFF2-40B4-BE49-F238E27FC236}">
              <a16:creationId xmlns:a16="http://schemas.microsoft.com/office/drawing/2014/main" id="{00000000-0008-0000-0100-00009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47" name="Drop Down 1" hidden="1">
          <a:extLst>
            <a:ext uri="{FF2B5EF4-FFF2-40B4-BE49-F238E27FC236}">
              <a16:creationId xmlns:a16="http://schemas.microsoft.com/office/drawing/2014/main" id="{00000000-0008-0000-0100-00009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48" name="Drop Down 1" hidden="1">
          <a:extLst>
            <a:ext uri="{FF2B5EF4-FFF2-40B4-BE49-F238E27FC236}">
              <a16:creationId xmlns:a16="http://schemas.microsoft.com/office/drawing/2014/main" id="{00000000-0008-0000-0100-00009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49" name="Drop Down 1" hidden="1">
          <a:extLst>
            <a:ext uri="{FF2B5EF4-FFF2-40B4-BE49-F238E27FC236}">
              <a16:creationId xmlns:a16="http://schemas.microsoft.com/office/drawing/2014/main" id="{00000000-0008-0000-0100-00009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50" name="Drop Down 1" hidden="1">
          <a:extLst>
            <a:ext uri="{FF2B5EF4-FFF2-40B4-BE49-F238E27FC236}">
              <a16:creationId xmlns:a16="http://schemas.microsoft.com/office/drawing/2014/main" id="{00000000-0008-0000-0100-00009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51" name="Drop Down 2" hidden="1">
          <a:extLst>
            <a:ext uri="{FF2B5EF4-FFF2-40B4-BE49-F238E27FC236}">
              <a16:creationId xmlns:a16="http://schemas.microsoft.com/office/drawing/2014/main" id="{00000000-0008-0000-0100-00009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52" name="Drop Down 1" hidden="1">
          <a:extLst>
            <a:ext uri="{FF2B5EF4-FFF2-40B4-BE49-F238E27FC236}">
              <a16:creationId xmlns:a16="http://schemas.microsoft.com/office/drawing/2014/main" id="{00000000-0008-0000-0100-00009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53" name="Drop Down -1022" hidden="1">
          <a:extLst>
            <a:ext uri="{FF2B5EF4-FFF2-40B4-BE49-F238E27FC236}">
              <a16:creationId xmlns:a16="http://schemas.microsoft.com/office/drawing/2014/main" id="{00000000-0008-0000-0100-00009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54" name="Drop Down 1" hidden="1">
          <a:extLst>
            <a:ext uri="{FF2B5EF4-FFF2-40B4-BE49-F238E27FC236}">
              <a16:creationId xmlns:a16="http://schemas.microsoft.com/office/drawing/2014/main" id="{00000000-0008-0000-0100-00009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55" name="Drop Down 1" hidden="1">
          <a:extLst>
            <a:ext uri="{FF2B5EF4-FFF2-40B4-BE49-F238E27FC236}">
              <a16:creationId xmlns:a16="http://schemas.microsoft.com/office/drawing/2014/main" id="{00000000-0008-0000-0100-00009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56" name="Drop Down 1" hidden="1">
          <a:extLst>
            <a:ext uri="{FF2B5EF4-FFF2-40B4-BE49-F238E27FC236}">
              <a16:creationId xmlns:a16="http://schemas.microsoft.com/office/drawing/2014/main" id="{00000000-0008-0000-0100-00009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57" name="Drop Down 1" hidden="1">
          <a:extLst>
            <a:ext uri="{FF2B5EF4-FFF2-40B4-BE49-F238E27FC236}">
              <a16:creationId xmlns:a16="http://schemas.microsoft.com/office/drawing/2014/main" id="{00000000-0008-0000-0100-00009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58" name="Drop Down 2" hidden="1">
          <a:extLst>
            <a:ext uri="{FF2B5EF4-FFF2-40B4-BE49-F238E27FC236}">
              <a16:creationId xmlns:a16="http://schemas.microsoft.com/office/drawing/2014/main" id="{00000000-0008-0000-0100-00009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59" name="Drop Down 1" hidden="1">
          <a:extLst>
            <a:ext uri="{FF2B5EF4-FFF2-40B4-BE49-F238E27FC236}">
              <a16:creationId xmlns:a16="http://schemas.microsoft.com/office/drawing/2014/main" id="{00000000-0008-0000-0100-00009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60" name="Drop Down -1022" hidden="1">
          <a:extLst>
            <a:ext uri="{FF2B5EF4-FFF2-40B4-BE49-F238E27FC236}">
              <a16:creationId xmlns:a16="http://schemas.microsoft.com/office/drawing/2014/main" id="{00000000-0008-0000-0100-0000A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61" name="Drop Down 1" hidden="1">
          <a:extLst>
            <a:ext uri="{FF2B5EF4-FFF2-40B4-BE49-F238E27FC236}">
              <a16:creationId xmlns:a16="http://schemas.microsoft.com/office/drawing/2014/main" id="{00000000-0008-0000-0100-0000A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62" name="Drop Down 1" hidden="1">
          <a:extLst>
            <a:ext uri="{FF2B5EF4-FFF2-40B4-BE49-F238E27FC236}">
              <a16:creationId xmlns:a16="http://schemas.microsoft.com/office/drawing/2014/main" id="{00000000-0008-0000-0100-0000A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63" name="Drop Down 1" hidden="1">
          <a:extLst>
            <a:ext uri="{FF2B5EF4-FFF2-40B4-BE49-F238E27FC236}">
              <a16:creationId xmlns:a16="http://schemas.microsoft.com/office/drawing/2014/main" id="{00000000-0008-0000-0100-0000A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64" name="Drop Down 1" hidden="1">
          <a:extLst>
            <a:ext uri="{FF2B5EF4-FFF2-40B4-BE49-F238E27FC236}">
              <a16:creationId xmlns:a16="http://schemas.microsoft.com/office/drawing/2014/main" id="{00000000-0008-0000-0100-0000A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65" name="Drop Down 2" hidden="1">
          <a:extLst>
            <a:ext uri="{FF2B5EF4-FFF2-40B4-BE49-F238E27FC236}">
              <a16:creationId xmlns:a16="http://schemas.microsoft.com/office/drawing/2014/main" id="{00000000-0008-0000-0100-0000A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66" name="Drop Down 1" hidden="1">
          <a:extLst>
            <a:ext uri="{FF2B5EF4-FFF2-40B4-BE49-F238E27FC236}">
              <a16:creationId xmlns:a16="http://schemas.microsoft.com/office/drawing/2014/main" id="{00000000-0008-0000-0100-0000A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67" name="Drop Down -1022" hidden="1">
          <a:extLst>
            <a:ext uri="{FF2B5EF4-FFF2-40B4-BE49-F238E27FC236}">
              <a16:creationId xmlns:a16="http://schemas.microsoft.com/office/drawing/2014/main" id="{00000000-0008-0000-0100-0000A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568" name="Drop Down 1" hidden="1">
          <a:extLst>
            <a:ext uri="{FF2B5EF4-FFF2-40B4-BE49-F238E27FC236}">
              <a16:creationId xmlns:a16="http://schemas.microsoft.com/office/drawing/2014/main" id="{00000000-0008-0000-0100-0000A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569" name="Drop Down 1" hidden="1">
          <a:extLst>
            <a:ext uri="{FF2B5EF4-FFF2-40B4-BE49-F238E27FC236}">
              <a16:creationId xmlns:a16="http://schemas.microsoft.com/office/drawing/2014/main" id="{00000000-0008-0000-0100-0000A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570" name="Drop Down 1" hidden="1">
          <a:extLst>
            <a:ext uri="{FF2B5EF4-FFF2-40B4-BE49-F238E27FC236}">
              <a16:creationId xmlns:a16="http://schemas.microsoft.com/office/drawing/2014/main" id="{00000000-0008-0000-0100-0000A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571" name="Drop Down 1" hidden="1">
          <a:extLst>
            <a:ext uri="{FF2B5EF4-FFF2-40B4-BE49-F238E27FC236}">
              <a16:creationId xmlns:a16="http://schemas.microsoft.com/office/drawing/2014/main" id="{00000000-0008-0000-0100-0000A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572" name="Drop Down 2" hidden="1">
          <a:extLst>
            <a:ext uri="{FF2B5EF4-FFF2-40B4-BE49-F238E27FC236}">
              <a16:creationId xmlns:a16="http://schemas.microsoft.com/office/drawing/2014/main" id="{00000000-0008-0000-0100-0000A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573" name="Drop Down 1" hidden="1">
          <a:extLst>
            <a:ext uri="{FF2B5EF4-FFF2-40B4-BE49-F238E27FC236}">
              <a16:creationId xmlns:a16="http://schemas.microsoft.com/office/drawing/2014/main" id="{00000000-0008-0000-0100-0000A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574" name="Drop Down -1022" hidden="1">
          <a:extLst>
            <a:ext uri="{FF2B5EF4-FFF2-40B4-BE49-F238E27FC236}">
              <a16:creationId xmlns:a16="http://schemas.microsoft.com/office/drawing/2014/main" id="{00000000-0008-0000-0100-0000A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575" name="Drop Down 1" hidden="1">
          <a:extLst>
            <a:ext uri="{FF2B5EF4-FFF2-40B4-BE49-F238E27FC236}">
              <a16:creationId xmlns:a16="http://schemas.microsoft.com/office/drawing/2014/main" id="{00000000-0008-0000-0100-0000A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576" name="Drop Down 1" hidden="1">
          <a:extLst>
            <a:ext uri="{FF2B5EF4-FFF2-40B4-BE49-F238E27FC236}">
              <a16:creationId xmlns:a16="http://schemas.microsoft.com/office/drawing/2014/main" id="{00000000-0008-0000-0100-0000B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577" name="Drop Down 1" hidden="1">
          <a:extLst>
            <a:ext uri="{FF2B5EF4-FFF2-40B4-BE49-F238E27FC236}">
              <a16:creationId xmlns:a16="http://schemas.microsoft.com/office/drawing/2014/main" id="{00000000-0008-0000-0100-0000B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578" name="Drop Down 1" hidden="1">
          <a:extLst>
            <a:ext uri="{FF2B5EF4-FFF2-40B4-BE49-F238E27FC236}">
              <a16:creationId xmlns:a16="http://schemas.microsoft.com/office/drawing/2014/main" id="{00000000-0008-0000-0100-0000B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579" name="Drop Down 2" hidden="1">
          <a:extLst>
            <a:ext uri="{FF2B5EF4-FFF2-40B4-BE49-F238E27FC236}">
              <a16:creationId xmlns:a16="http://schemas.microsoft.com/office/drawing/2014/main" id="{00000000-0008-0000-0100-0000B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580" name="Drop Down 1" hidden="1">
          <a:extLst>
            <a:ext uri="{FF2B5EF4-FFF2-40B4-BE49-F238E27FC236}">
              <a16:creationId xmlns:a16="http://schemas.microsoft.com/office/drawing/2014/main" id="{00000000-0008-0000-0100-0000B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581" name="Drop Down -1022" hidden="1">
          <a:extLst>
            <a:ext uri="{FF2B5EF4-FFF2-40B4-BE49-F238E27FC236}">
              <a16:creationId xmlns:a16="http://schemas.microsoft.com/office/drawing/2014/main" id="{00000000-0008-0000-0100-0000B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82" name="Drop Down 1" hidden="1">
          <a:extLst>
            <a:ext uri="{FF2B5EF4-FFF2-40B4-BE49-F238E27FC236}">
              <a16:creationId xmlns:a16="http://schemas.microsoft.com/office/drawing/2014/main" id="{00000000-0008-0000-0100-0000B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83" name="Drop Down 1" hidden="1">
          <a:extLst>
            <a:ext uri="{FF2B5EF4-FFF2-40B4-BE49-F238E27FC236}">
              <a16:creationId xmlns:a16="http://schemas.microsoft.com/office/drawing/2014/main" id="{00000000-0008-0000-0100-0000B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84" name="Drop Down 1" hidden="1">
          <a:extLst>
            <a:ext uri="{FF2B5EF4-FFF2-40B4-BE49-F238E27FC236}">
              <a16:creationId xmlns:a16="http://schemas.microsoft.com/office/drawing/2014/main" id="{00000000-0008-0000-0100-0000B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85" name="Drop Down 1" hidden="1">
          <a:extLst>
            <a:ext uri="{FF2B5EF4-FFF2-40B4-BE49-F238E27FC236}">
              <a16:creationId xmlns:a16="http://schemas.microsoft.com/office/drawing/2014/main" id="{00000000-0008-0000-0100-0000B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86" name="Drop Down 2" hidden="1">
          <a:extLst>
            <a:ext uri="{FF2B5EF4-FFF2-40B4-BE49-F238E27FC236}">
              <a16:creationId xmlns:a16="http://schemas.microsoft.com/office/drawing/2014/main" id="{00000000-0008-0000-0100-0000B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87" name="Drop Down 1" hidden="1">
          <a:extLst>
            <a:ext uri="{FF2B5EF4-FFF2-40B4-BE49-F238E27FC236}">
              <a16:creationId xmlns:a16="http://schemas.microsoft.com/office/drawing/2014/main" id="{00000000-0008-0000-0100-0000B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88" name="Drop Down -1022" hidden="1">
          <a:extLst>
            <a:ext uri="{FF2B5EF4-FFF2-40B4-BE49-F238E27FC236}">
              <a16:creationId xmlns:a16="http://schemas.microsoft.com/office/drawing/2014/main" id="{00000000-0008-0000-0100-0000B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89" name="Drop Down 1" hidden="1">
          <a:extLst>
            <a:ext uri="{FF2B5EF4-FFF2-40B4-BE49-F238E27FC236}">
              <a16:creationId xmlns:a16="http://schemas.microsoft.com/office/drawing/2014/main" id="{00000000-0008-0000-0100-0000B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90" name="Drop Down 1" hidden="1">
          <a:extLst>
            <a:ext uri="{FF2B5EF4-FFF2-40B4-BE49-F238E27FC236}">
              <a16:creationId xmlns:a16="http://schemas.microsoft.com/office/drawing/2014/main" id="{00000000-0008-0000-0100-0000B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91" name="Drop Down 1" hidden="1">
          <a:extLst>
            <a:ext uri="{FF2B5EF4-FFF2-40B4-BE49-F238E27FC236}">
              <a16:creationId xmlns:a16="http://schemas.microsoft.com/office/drawing/2014/main" id="{00000000-0008-0000-0100-0000B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92" name="Drop Down 1" hidden="1">
          <a:extLst>
            <a:ext uri="{FF2B5EF4-FFF2-40B4-BE49-F238E27FC236}">
              <a16:creationId xmlns:a16="http://schemas.microsoft.com/office/drawing/2014/main" id="{00000000-0008-0000-0100-0000C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93" name="Drop Down 2" hidden="1">
          <a:extLst>
            <a:ext uri="{FF2B5EF4-FFF2-40B4-BE49-F238E27FC236}">
              <a16:creationId xmlns:a16="http://schemas.microsoft.com/office/drawing/2014/main" id="{00000000-0008-0000-0100-0000C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94" name="Drop Down 1" hidden="1">
          <a:extLst>
            <a:ext uri="{FF2B5EF4-FFF2-40B4-BE49-F238E27FC236}">
              <a16:creationId xmlns:a16="http://schemas.microsoft.com/office/drawing/2014/main" id="{00000000-0008-0000-0100-0000C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595" name="Drop Down -1022" hidden="1">
          <a:extLst>
            <a:ext uri="{FF2B5EF4-FFF2-40B4-BE49-F238E27FC236}">
              <a16:creationId xmlns:a16="http://schemas.microsoft.com/office/drawing/2014/main" id="{00000000-0008-0000-0100-0000C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96" name="Drop Down 1" hidden="1">
          <a:extLst>
            <a:ext uri="{FF2B5EF4-FFF2-40B4-BE49-F238E27FC236}">
              <a16:creationId xmlns:a16="http://schemas.microsoft.com/office/drawing/2014/main" id="{00000000-0008-0000-0100-0000C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97" name="Drop Down 1" hidden="1">
          <a:extLst>
            <a:ext uri="{FF2B5EF4-FFF2-40B4-BE49-F238E27FC236}">
              <a16:creationId xmlns:a16="http://schemas.microsoft.com/office/drawing/2014/main" id="{00000000-0008-0000-0100-0000C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98" name="Drop Down 1" hidden="1">
          <a:extLst>
            <a:ext uri="{FF2B5EF4-FFF2-40B4-BE49-F238E27FC236}">
              <a16:creationId xmlns:a16="http://schemas.microsoft.com/office/drawing/2014/main" id="{00000000-0008-0000-0100-0000C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599" name="Drop Down 1" hidden="1">
          <a:extLst>
            <a:ext uri="{FF2B5EF4-FFF2-40B4-BE49-F238E27FC236}">
              <a16:creationId xmlns:a16="http://schemas.microsoft.com/office/drawing/2014/main" id="{00000000-0008-0000-0100-0000C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00" name="Drop Down 2" hidden="1">
          <a:extLst>
            <a:ext uri="{FF2B5EF4-FFF2-40B4-BE49-F238E27FC236}">
              <a16:creationId xmlns:a16="http://schemas.microsoft.com/office/drawing/2014/main" id="{00000000-0008-0000-0100-0000C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01" name="Drop Down 1" hidden="1">
          <a:extLst>
            <a:ext uri="{FF2B5EF4-FFF2-40B4-BE49-F238E27FC236}">
              <a16:creationId xmlns:a16="http://schemas.microsoft.com/office/drawing/2014/main" id="{00000000-0008-0000-0100-0000C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02" name="Drop Down -1022" hidden="1">
          <a:extLst>
            <a:ext uri="{FF2B5EF4-FFF2-40B4-BE49-F238E27FC236}">
              <a16:creationId xmlns:a16="http://schemas.microsoft.com/office/drawing/2014/main" id="{00000000-0008-0000-0100-0000C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03" name="Drop Down 1" hidden="1">
          <a:extLst>
            <a:ext uri="{FF2B5EF4-FFF2-40B4-BE49-F238E27FC236}">
              <a16:creationId xmlns:a16="http://schemas.microsoft.com/office/drawing/2014/main" id="{00000000-0008-0000-0100-0000C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04" name="Drop Down 1" hidden="1">
          <a:extLst>
            <a:ext uri="{FF2B5EF4-FFF2-40B4-BE49-F238E27FC236}">
              <a16:creationId xmlns:a16="http://schemas.microsoft.com/office/drawing/2014/main" id="{00000000-0008-0000-0100-0000C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05" name="Drop Down 1" hidden="1">
          <a:extLst>
            <a:ext uri="{FF2B5EF4-FFF2-40B4-BE49-F238E27FC236}">
              <a16:creationId xmlns:a16="http://schemas.microsoft.com/office/drawing/2014/main" id="{00000000-0008-0000-0100-0000C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06" name="Drop Down 1" hidden="1">
          <a:extLst>
            <a:ext uri="{FF2B5EF4-FFF2-40B4-BE49-F238E27FC236}">
              <a16:creationId xmlns:a16="http://schemas.microsoft.com/office/drawing/2014/main" id="{00000000-0008-0000-0100-0000C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07" name="Drop Down 2" hidden="1">
          <a:extLst>
            <a:ext uri="{FF2B5EF4-FFF2-40B4-BE49-F238E27FC236}">
              <a16:creationId xmlns:a16="http://schemas.microsoft.com/office/drawing/2014/main" id="{00000000-0008-0000-0100-0000C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08" name="Drop Down 1" hidden="1">
          <a:extLst>
            <a:ext uri="{FF2B5EF4-FFF2-40B4-BE49-F238E27FC236}">
              <a16:creationId xmlns:a16="http://schemas.microsoft.com/office/drawing/2014/main" id="{00000000-0008-0000-0100-0000D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09" name="Drop Down -1022" hidden="1">
          <a:extLst>
            <a:ext uri="{FF2B5EF4-FFF2-40B4-BE49-F238E27FC236}">
              <a16:creationId xmlns:a16="http://schemas.microsoft.com/office/drawing/2014/main" id="{00000000-0008-0000-0100-0000D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10" name="Drop Down 1" hidden="1">
          <a:extLst>
            <a:ext uri="{FF2B5EF4-FFF2-40B4-BE49-F238E27FC236}">
              <a16:creationId xmlns:a16="http://schemas.microsoft.com/office/drawing/2014/main" id="{00000000-0008-0000-0100-0000D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11" name="Drop Down 1" hidden="1">
          <a:extLst>
            <a:ext uri="{FF2B5EF4-FFF2-40B4-BE49-F238E27FC236}">
              <a16:creationId xmlns:a16="http://schemas.microsoft.com/office/drawing/2014/main" id="{00000000-0008-0000-0100-0000D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12" name="Drop Down 1" hidden="1">
          <a:extLst>
            <a:ext uri="{FF2B5EF4-FFF2-40B4-BE49-F238E27FC236}">
              <a16:creationId xmlns:a16="http://schemas.microsoft.com/office/drawing/2014/main" id="{00000000-0008-0000-0100-0000D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13" name="Drop Down 1" hidden="1">
          <a:extLst>
            <a:ext uri="{FF2B5EF4-FFF2-40B4-BE49-F238E27FC236}">
              <a16:creationId xmlns:a16="http://schemas.microsoft.com/office/drawing/2014/main" id="{00000000-0008-0000-0100-0000D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14" name="Drop Down 2" hidden="1">
          <a:extLst>
            <a:ext uri="{FF2B5EF4-FFF2-40B4-BE49-F238E27FC236}">
              <a16:creationId xmlns:a16="http://schemas.microsoft.com/office/drawing/2014/main" id="{00000000-0008-0000-0100-0000D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15" name="Drop Down 1" hidden="1">
          <a:extLst>
            <a:ext uri="{FF2B5EF4-FFF2-40B4-BE49-F238E27FC236}">
              <a16:creationId xmlns:a16="http://schemas.microsoft.com/office/drawing/2014/main" id="{00000000-0008-0000-0100-0000D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16" name="Drop Down -1022" hidden="1">
          <a:extLst>
            <a:ext uri="{FF2B5EF4-FFF2-40B4-BE49-F238E27FC236}">
              <a16:creationId xmlns:a16="http://schemas.microsoft.com/office/drawing/2014/main" id="{00000000-0008-0000-0100-0000D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17" name="Drop Down 1" hidden="1">
          <a:extLst>
            <a:ext uri="{FF2B5EF4-FFF2-40B4-BE49-F238E27FC236}">
              <a16:creationId xmlns:a16="http://schemas.microsoft.com/office/drawing/2014/main" id="{00000000-0008-0000-0100-0000D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18" name="Drop Down 1" hidden="1">
          <a:extLst>
            <a:ext uri="{FF2B5EF4-FFF2-40B4-BE49-F238E27FC236}">
              <a16:creationId xmlns:a16="http://schemas.microsoft.com/office/drawing/2014/main" id="{00000000-0008-0000-0100-0000D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19" name="Drop Down 1" hidden="1">
          <a:extLst>
            <a:ext uri="{FF2B5EF4-FFF2-40B4-BE49-F238E27FC236}">
              <a16:creationId xmlns:a16="http://schemas.microsoft.com/office/drawing/2014/main" id="{00000000-0008-0000-0100-0000D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20" name="Drop Down 1" hidden="1">
          <a:extLst>
            <a:ext uri="{FF2B5EF4-FFF2-40B4-BE49-F238E27FC236}">
              <a16:creationId xmlns:a16="http://schemas.microsoft.com/office/drawing/2014/main" id="{00000000-0008-0000-0100-0000D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21" name="Drop Down 2" hidden="1">
          <a:extLst>
            <a:ext uri="{FF2B5EF4-FFF2-40B4-BE49-F238E27FC236}">
              <a16:creationId xmlns:a16="http://schemas.microsoft.com/office/drawing/2014/main" id="{00000000-0008-0000-0100-0000D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22" name="Drop Down 1" hidden="1">
          <a:extLst>
            <a:ext uri="{FF2B5EF4-FFF2-40B4-BE49-F238E27FC236}">
              <a16:creationId xmlns:a16="http://schemas.microsoft.com/office/drawing/2014/main" id="{00000000-0008-0000-0100-0000D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23" name="Drop Down -1022" hidden="1">
          <a:extLst>
            <a:ext uri="{FF2B5EF4-FFF2-40B4-BE49-F238E27FC236}">
              <a16:creationId xmlns:a16="http://schemas.microsoft.com/office/drawing/2014/main" id="{00000000-0008-0000-0100-0000D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24" name="Drop Down 1" hidden="1">
          <a:extLst>
            <a:ext uri="{FF2B5EF4-FFF2-40B4-BE49-F238E27FC236}">
              <a16:creationId xmlns:a16="http://schemas.microsoft.com/office/drawing/2014/main" id="{00000000-0008-0000-0100-0000E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25" name="Drop Down 1" hidden="1">
          <a:extLst>
            <a:ext uri="{FF2B5EF4-FFF2-40B4-BE49-F238E27FC236}">
              <a16:creationId xmlns:a16="http://schemas.microsoft.com/office/drawing/2014/main" id="{00000000-0008-0000-0100-0000E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26" name="Drop Down 1" hidden="1">
          <a:extLst>
            <a:ext uri="{FF2B5EF4-FFF2-40B4-BE49-F238E27FC236}">
              <a16:creationId xmlns:a16="http://schemas.microsoft.com/office/drawing/2014/main" id="{00000000-0008-0000-0100-0000E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27" name="Drop Down 1" hidden="1">
          <a:extLst>
            <a:ext uri="{FF2B5EF4-FFF2-40B4-BE49-F238E27FC236}">
              <a16:creationId xmlns:a16="http://schemas.microsoft.com/office/drawing/2014/main" id="{00000000-0008-0000-0100-0000E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28" name="Drop Down 2" hidden="1">
          <a:extLst>
            <a:ext uri="{FF2B5EF4-FFF2-40B4-BE49-F238E27FC236}">
              <a16:creationId xmlns:a16="http://schemas.microsoft.com/office/drawing/2014/main" id="{00000000-0008-0000-0100-0000E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29" name="Drop Down 1" hidden="1">
          <a:extLst>
            <a:ext uri="{FF2B5EF4-FFF2-40B4-BE49-F238E27FC236}">
              <a16:creationId xmlns:a16="http://schemas.microsoft.com/office/drawing/2014/main" id="{00000000-0008-0000-0100-0000E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30" name="Drop Down -1022" hidden="1">
          <a:extLst>
            <a:ext uri="{FF2B5EF4-FFF2-40B4-BE49-F238E27FC236}">
              <a16:creationId xmlns:a16="http://schemas.microsoft.com/office/drawing/2014/main" id="{00000000-0008-0000-0100-0000E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31" name="Drop Down 1" hidden="1">
          <a:extLst>
            <a:ext uri="{FF2B5EF4-FFF2-40B4-BE49-F238E27FC236}">
              <a16:creationId xmlns:a16="http://schemas.microsoft.com/office/drawing/2014/main" id="{00000000-0008-0000-0100-0000E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32" name="Drop Down 1" hidden="1">
          <a:extLst>
            <a:ext uri="{FF2B5EF4-FFF2-40B4-BE49-F238E27FC236}">
              <a16:creationId xmlns:a16="http://schemas.microsoft.com/office/drawing/2014/main" id="{00000000-0008-0000-0100-0000E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33" name="Drop Down 1" hidden="1">
          <a:extLst>
            <a:ext uri="{FF2B5EF4-FFF2-40B4-BE49-F238E27FC236}">
              <a16:creationId xmlns:a16="http://schemas.microsoft.com/office/drawing/2014/main" id="{00000000-0008-0000-0100-0000E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34" name="Drop Down 1" hidden="1">
          <a:extLst>
            <a:ext uri="{FF2B5EF4-FFF2-40B4-BE49-F238E27FC236}">
              <a16:creationId xmlns:a16="http://schemas.microsoft.com/office/drawing/2014/main" id="{00000000-0008-0000-0100-0000E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35" name="Drop Down 2" hidden="1">
          <a:extLst>
            <a:ext uri="{FF2B5EF4-FFF2-40B4-BE49-F238E27FC236}">
              <a16:creationId xmlns:a16="http://schemas.microsoft.com/office/drawing/2014/main" id="{00000000-0008-0000-0100-0000E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36" name="Drop Down 1" hidden="1">
          <a:extLst>
            <a:ext uri="{FF2B5EF4-FFF2-40B4-BE49-F238E27FC236}">
              <a16:creationId xmlns:a16="http://schemas.microsoft.com/office/drawing/2014/main" id="{00000000-0008-0000-0100-0000E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37" name="Drop Down -1022" hidden="1">
          <a:extLst>
            <a:ext uri="{FF2B5EF4-FFF2-40B4-BE49-F238E27FC236}">
              <a16:creationId xmlns:a16="http://schemas.microsoft.com/office/drawing/2014/main" id="{00000000-0008-0000-0100-0000E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38" name="Drop Down 1" hidden="1">
          <a:extLst>
            <a:ext uri="{FF2B5EF4-FFF2-40B4-BE49-F238E27FC236}">
              <a16:creationId xmlns:a16="http://schemas.microsoft.com/office/drawing/2014/main" id="{00000000-0008-0000-0100-0000E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39" name="Drop Down 1" hidden="1">
          <a:extLst>
            <a:ext uri="{FF2B5EF4-FFF2-40B4-BE49-F238E27FC236}">
              <a16:creationId xmlns:a16="http://schemas.microsoft.com/office/drawing/2014/main" id="{00000000-0008-0000-0100-0000E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40" name="Drop Down 1" hidden="1">
          <a:extLst>
            <a:ext uri="{FF2B5EF4-FFF2-40B4-BE49-F238E27FC236}">
              <a16:creationId xmlns:a16="http://schemas.microsoft.com/office/drawing/2014/main" id="{00000000-0008-0000-0100-0000F0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41" name="Drop Down 1" hidden="1">
          <a:extLst>
            <a:ext uri="{FF2B5EF4-FFF2-40B4-BE49-F238E27FC236}">
              <a16:creationId xmlns:a16="http://schemas.microsoft.com/office/drawing/2014/main" id="{00000000-0008-0000-0100-0000F1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42" name="Drop Down 2" hidden="1">
          <a:extLst>
            <a:ext uri="{FF2B5EF4-FFF2-40B4-BE49-F238E27FC236}">
              <a16:creationId xmlns:a16="http://schemas.microsoft.com/office/drawing/2014/main" id="{00000000-0008-0000-0100-0000F2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43" name="Drop Down 1" hidden="1">
          <a:extLst>
            <a:ext uri="{FF2B5EF4-FFF2-40B4-BE49-F238E27FC236}">
              <a16:creationId xmlns:a16="http://schemas.microsoft.com/office/drawing/2014/main" id="{00000000-0008-0000-0100-0000F3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44" name="Drop Down -1022" hidden="1">
          <a:extLst>
            <a:ext uri="{FF2B5EF4-FFF2-40B4-BE49-F238E27FC236}">
              <a16:creationId xmlns:a16="http://schemas.microsoft.com/office/drawing/2014/main" id="{00000000-0008-0000-0100-0000F4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45" name="Drop Down 1" hidden="1">
          <a:extLst>
            <a:ext uri="{FF2B5EF4-FFF2-40B4-BE49-F238E27FC236}">
              <a16:creationId xmlns:a16="http://schemas.microsoft.com/office/drawing/2014/main" id="{00000000-0008-0000-0100-0000F5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46" name="Drop Down 1" hidden="1">
          <a:extLst>
            <a:ext uri="{FF2B5EF4-FFF2-40B4-BE49-F238E27FC236}">
              <a16:creationId xmlns:a16="http://schemas.microsoft.com/office/drawing/2014/main" id="{00000000-0008-0000-0100-0000F6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47" name="Drop Down 1" hidden="1">
          <a:extLst>
            <a:ext uri="{FF2B5EF4-FFF2-40B4-BE49-F238E27FC236}">
              <a16:creationId xmlns:a16="http://schemas.microsoft.com/office/drawing/2014/main" id="{00000000-0008-0000-0100-0000F7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48" name="Drop Down 1" hidden="1">
          <a:extLst>
            <a:ext uri="{FF2B5EF4-FFF2-40B4-BE49-F238E27FC236}">
              <a16:creationId xmlns:a16="http://schemas.microsoft.com/office/drawing/2014/main" id="{00000000-0008-0000-0100-0000F8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49" name="Drop Down 2" hidden="1">
          <a:extLst>
            <a:ext uri="{FF2B5EF4-FFF2-40B4-BE49-F238E27FC236}">
              <a16:creationId xmlns:a16="http://schemas.microsoft.com/office/drawing/2014/main" id="{00000000-0008-0000-0100-0000F9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50" name="Drop Down 1" hidden="1">
          <a:extLst>
            <a:ext uri="{FF2B5EF4-FFF2-40B4-BE49-F238E27FC236}">
              <a16:creationId xmlns:a16="http://schemas.microsoft.com/office/drawing/2014/main" id="{00000000-0008-0000-0100-0000FA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51" name="Drop Down -1022" hidden="1">
          <a:extLst>
            <a:ext uri="{FF2B5EF4-FFF2-40B4-BE49-F238E27FC236}">
              <a16:creationId xmlns:a16="http://schemas.microsoft.com/office/drawing/2014/main" id="{00000000-0008-0000-0100-0000FB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652" name="Drop Down 1" hidden="1">
          <a:extLst>
            <a:ext uri="{FF2B5EF4-FFF2-40B4-BE49-F238E27FC236}">
              <a16:creationId xmlns:a16="http://schemas.microsoft.com/office/drawing/2014/main" id="{00000000-0008-0000-0100-0000FC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653" name="Drop Down 1" hidden="1">
          <a:extLst>
            <a:ext uri="{FF2B5EF4-FFF2-40B4-BE49-F238E27FC236}">
              <a16:creationId xmlns:a16="http://schemas.microsoft.com/office/drawing/2014/main" id="{00000000-0008-0000-0100-0000FD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654" name="Drop Down 1" hidden="1">
          <a:extLst>
            <a:ext uri="{FF2B5EF4-FFF2-40B4-BE49-F238E27FC236}">
              <a16:creationId xmlns:a16="http://schemas.microsoft.com/office/drawing/2014/main" id="{00000000-0008-0000-0100-0000FE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655" name="Drop Down 1" hidden="1">
          <a:extLst>
            <a:ext uri="{FF2B5EF4-FFF2-40B4-BE49-F238E27FC236}">
              <a16:creationId xmlns:a16="http://schemas.microsoft.com/office/drawing/2014/main" id="{00000000-0008-0000-0100-0000FF19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656" name="Drop Down 2" hidden="1">
          <a:extLst>
            <a:ext uri="{FF2B5EF4-FFF2-40B4-BE49-F238E27FC236}">
              <a16:creationId xmlns:a16="http://schemas.microsoft.com/office/drawing/2014/main" id="{00000000-0008-0000-0100-00000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657" name="Drop Down 1" hidden="1">
          <a:extLst>
            <a:ext uri="{FF2B5EF4-FFF2-40B4-BE49-F238E27FC236}">
              <a16:creationId xmlns:a16="http://schemas.microsoft.com/office/drawing/2014/main" id="{00000000-0008-0000-0100-00000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658" name="Drop Down -1022" hidden="1">
          <a:extLst>
            <a:ext uri="{FF2B5EF4-FFF2-40B4-BE49-F238E27FC236}">
              <a16:creationId xmlns:a16="http://schemas.microsoft.com/office/drawing/2014/main" id="{00000000-0008-0000-0100-00000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659" name="Drop Down 1" hidden="1">
          <a:extLst>
            <a:ext uri="{FF2B5EF4-FFF2-40B4-BE49-F238E27FC236}">
              <a16:creationId xmlns:a16="http://schemas.microsoft.com/office/drawing/2014/main" id="{00000000-0008-0000-0100-00000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660" name="Drop Down 1" hidden="1">
          <a:extLst>
            <a:ext uri="{FF2B5EF4-FFF2-40B4-BE49-F238E27FC236}">
              <a16:creationId xmlns:a16="http://schemas.microsoft.com/office/drawing/2014/main" id="{00000000-0008-0000-0100-00000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661" name="Drop Down 1" hidden="1">
          <a:extLst>
            <a:ext uri="{FF2B5EF4-FFF2-40B4-BE49-F238E27FC236}">
              <a16:creationId xmlns:a16="http://schemas.microsoft.com/office/drawing/2014/main" id="{00000000-0008-0000-0100-00000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662" name="Drop Down 1" hidden="1">
          <a:extLst>
            <a:ext uri="{FF2B5EF4-FFF2-40B4-BE49-F238E27FC236}">
              <a16:creationId xmlns:a16="http://schemas.microsoft.com/office/drawing/2014/main" id="{00000000-0008-0000-0100-00000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663" name="Drop Down 2" hidden="1">
          <a:extLst>
            <a:ext uri="{FF2B5EF4-FFF2-40B4-BE49-F238E27FC236}">
              <a16:creationId xmlns:a16="http://schemas.microsoft.com/office/drawing/2014/main" id="{00000000-0008-0000-0100-00000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664" name="Drop Down 1" hidden="1">
          <a:extLst>
            <a:ext uri="{FF2B5EF4-FFF2-40B4-BE49-F238E27FC236}">
              <a16:creationId xmlns:a16="http://schemas.microsoft.com/office/drawing/2014/main" id="{00000000-0008-0000-0100-00000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665" name="Drop Down -1022" hidden="1">
          <a:extLst>
            <a:ext uri="{FF2B5EF4-FFF2-40B4-BE49-F238E27FC236}">
              <a16:creationId xmlns:a16="http://schemas.microsoft.com/office/drawing/2014/main" id="{00000000-0008-0000-0100-00000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66" name="Drop Down 1" hidden="1">
          <a:extLst>
            <a:ext uri="{FF2B5EF4-FFF2-40B4-BE49-F238E27FC236}">
              <a16:creationId xmlns:a16="http://schemas.microsoft.com/office/drawing/2014/main" id="{00000000-0008-0000-0100-00000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67" name="Drop Down 1" hidden="1">
          <a:extLst>
            <a:ext uri="{FF2B5EF4-FFF2-40B4-BE49-F238E27FC236}">
              <a16:creationId xmlns:a16="http://schemas.microsoft.com/office/drawing/2014/main" id="{00000000-0008-0000-0100-00000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68" name="Drop Down 1" hidden="1">
          <a:extLst>
            <a:ext uri="{FF2B5EF4-FFF2-40B4-BE49-F238E27FC236}">
              <a16:creationId xmlns:a16="http://schemas.microsoft.com/office/drawing/2014/main" id="{00000000-0008-0000-0100-00000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69" name="Drop Down 1" hidden="1">
          <a:extLst>
            <a:ext uri="{FF2B5EF4-FFF2-40B4-BE49-F238E27FC236}">
              <a16:creationId xmlns:a16="http://schemas.microsoft.com/office/drawing/2014/main" id="{00000000-0008-0000-0100-00000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70" name="Drop Down 2" hidden="1">
          <a:extLst>
            <a:ext uri="{FF2B5EF4-FFF2-40B4-BE49-F238E27FC236}">
              <a16:creationId xmlns:a16="http://schemas.microsoft.com/office/drawing/2014/main" id="{00000000-0008-0000-0100-00000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71" name="Drop Down 1" hidden="1">
          <a:extLst>
            <a:ext uri="{FF2B5EF4-FFF2-40B4-BE49-F238E27FC236}">
              <a16:creationId xmlns:a16="http://schemas.microsoft.com/office/drawing/2014/main" id="{00000000-0008-0000-0100-00000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72" name="Drop Down -1022" hidden="1">
          <a:extLst>
            <a:ext uri="{FF2B5EF4-FFF2-40B4-BE49-F238E27FC236}">
              <a16:creationId xmlns:a16="http://schemas.microsoft.com/office/drawing/2014/main" id="{00000000-0008-0000-0100-00001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73" name="Drop Down 1" hidden="1">
          <a:extLst>
            <a:ext uri="{FF2B5EF4-FFF2-40B4-BE49-F238E27FC236}">
              <a16:creationId xmlns:a16="http://schemas.microsoft.com/office/drawing/2014/main" id="{00000000-0008-0000-0100-00001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74" name="Drop Down 1" hidden="1">
          <a:extLst>
            <a:ext uri="{FF2B5EF4-FFF2-40B4-BE49-F238E27FC236}">
              <a16:creationId xmlns:a16="http://schemas.microsoft.com/office/drawing/2014/main" id="{00000000-0008-0000-0100-00001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75" name="Drop Down 1" hidden="1">
          <a:extLst>
            <a:ext uri="{FF2B5EF4-FFF2-40B4-BE49-F238E27FC236}">
              <a16:creationId xmlns:a16="http://schemas.microsoft.com/office/drawing/2014/main" id="{00000000-0008-0000-0100-00001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76" name="Drop Down 1" hidden="1">
          <a:extLst>
            <a:ext uri="{FF2B5EF4-FFF2-40B4-BE49-F238E27FC236}">
              <a16:creationId xmlns:a16="http://schemas.microsoft.com/office/drawing/2014/main" id="{00000000-0008-0000-0100-00001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77" name="Drop Down 2" hidden="1">
          <a:extLst>
            <a:ext uri="{FF2B5EF4-FFF2-40B4-BE49-F238E27FC236}">
              <a16:creationId xmlns:a16="http://schemas.microsoft.com/office/drawing/2014/main" id="{00000000-0008-0000-0100-00001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78" name="Drop Down 1" hidden="1">
          <a:extLst>
            <a:ext uri="{FF2B5EF4-FFF2-40B4-BE49-F238E27FC236}">
              <a16:creationId xmlns:a16="http://schemas.microsoft.com/office/drawing/2014/main" id="{00000000-0008-0000-0100-00001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79" name="Drop Down -1022" hidden="1">
          <a:extLst>
            <a:ext uri="{FF2B5EF4-FFF2-40B4-BE49-F238E27FC236}">
              <a16:creationId xmlns:a16="http://schemas.microsoft.com/office/drawing/2014/main" id="{00000000-0008-0000-0100-00001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80" name="Drop Down 1" hidden="1">
          <a:extLst>
            <a:ext uri="{FF2B5EF4-FFF2-40B4-BE49-F238E27FC236}">
              <a16:creationId xmlns:a16="http://schemas.microsoft.com/office/drawing/2014/main" id="{00000000-0008-0000-0100-00001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81" name="Drop Down 1" hidden="1">
          <a:extLst>
            <a:ext uri="{FF2B5EF4-FFF2-40B4-BE49-F238E27FC236}">
              <a16:creationId xmlns:a16="http://schemas.microsoft.com/office/drawing/2014/main" id="{00000000-0008-0000-0100-00001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82" name="Drop Down 1" hidden="1">
          <a:extLst>
            <a:ext uri="{FF2B5EF4-FFF2-40B4-BE49-F238E27FC236}">
              <a16:creationId xmlns:a16="http://schemas.microsoft.com/office/drawing/2014/main" id="{00000000-0008-0000-0100-00001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83" name="Drop Down 1" hidden="1">
          <a:extLst>
            <a:ext uri="{FF2B5EF4-FFF2-40B4-BE49-F238E27FC236}">
              <a16:creationId xmlns:a16="http://schemas.microsoft.com/office/drawing/2014/main" id="{00000000-0008-0000-0100-00001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84" name="Drop Down 2" hidden="1">
          <a:extLst>
            <a:ext uri="{FF2B5EF4-FFF2-40B4-BE49-F238E27FC236}">
              <a16:creationId xmlns:a16="http://schemas.microsoft.com/office/drawing/2014/main" id="{00000000-0008-0000-0100-00001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85" name="Drop Down 1" hidden="1">
          <a:extLst>
            <a:ext uri="{FF2B5EF4-FFF2-40B4-BE49-F238E27FC236}">
              <a16:creationId xmlns:a16="http://schemas.microsoft.com/office/drawing/2014/main" id="{00000000-0008-0000-0100-00001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86" name="Drop Down -1022" hidden="1">
          <a:extLst>
            <a:ext uri="{FF2B5EF4-FFF2-40B4-BE49-F238E27FC236}">
              <a16:creationId xmlns:a16="http://schemas.microsoft.com/office/drawing/2014/main" id="{00000000-0008-0000-0100-00001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87" name="Drop Down 1" hidden="1">
          <a:extLst>
            <a:ext uri="{FF2B5EF4-FFF2-40B4-BE49-F238E27FC236}">
              <a16:creationId xmlns:a16="http://schemas.microsoft.com/office/drawing/2014/main" id="{00000000-0008-0000-0100-00001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88" name="Drop Down 1" hidden="1">
          <a:extLst>
            <a:ext uri="{FF2B5EF4-FFF2-40B4-BE49-F238E27FC236}">
              <a16:creationId xmlns:a16="http://schemas.microsoft.com/office/drawing/2014/main" id="{00000000-0008-0000-0100-00002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89" name="Drop Down 1" hidden="1">
          <a:extLst>
            <a:ext uri="{FF2B5EF4-FFF2-40B4-BE49-F238E27FC236}">
              <a16:creationId xmlns:a16="http://schemas.microsoft.com/office/drawing/2014/main" id="{00000000-0008-0000-0100-00002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90" name="Drop Down 1" hidden="1">
          <a:extLst>
            <a:ext uri="{FF2B5EF4-FFF2-40B4-BE49-F238E27FC236}">
              <a16:creationId xmlns:a16="http://schemas.microsoft.com/office/drawing/2014/main" id="{00000000-0008-0000-0100-00002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91" name="Drop Down 2" hidden="1">
          <a:extLst>
            <a:ext uri="{FF2B5EF4-FFF2-40B4-BE49-F238E27FC236}">
              <a16:creationId xmlns:a16="http://schemas.microsoft.com/office/drawing/2014/main" id="{00000000-0008-0000-0100-00002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92" name="Drop Down 1" hidden="1">
          <a:extLst>
            <a:ext uri="{FF2B5EF4-FFF2-40B4-BE49-F238E27FC236}">
              <a16:creationId xmlns:a16="http://schemas.microsoft.com/office/drawing/2014/main" id="{00000000-0008-0000-0100-00002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693" name="Drop Down -1022" hidden="1">
          <a:extLst>
            <a:ext uri="{FF2B5EF4-FFF2-40B4-BE49-F238E27FC236}">
              <a16:creationId xmlns:a16="http://schemas.microsoft.com/office/drawing/2014/main" id="{00000000-0008-0000-0100-00002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94" name="Drop Down 1" hidden="1">
          <a:extLst>
            <a:ext uri="{FF2B5EF4-FFF2-40B4-BE49-F238E27FC236}">
              <a16:creationId xmlns:a16="http://schemas.microsoft.com/office/drawing/2014/main" id="{00000000-0008-0000-0100-00002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95" name="Drop Down 1" hidden="1">
          <a:extLst>
            <a:ext uri="{FF2B5EF4-FFF2-40B4-BE49-F238E27FC236}">
              <a16:creationId xmlns:a16="http://schemas.microsoft.com/office/drawing/2014/main" id="{00000000-0008-0000-0100-00002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96" name="Drop Down 1" hidden="1">
          <a:extLst>
            <a:ext uri="{FF2B5EF4-FFF2-40B4-BE49-F238E27FC236}">
              <a16:creationId xmlns:a16="http://schemas.microsoft.com/office/drawing/2014/main" id="{00000000-0008-0000-0100-00002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97" name="Drop Down 1" hidden="1">
          <a:extLst>
            <a:ext uri="{FF2B5EF4-FFF2-40B4-BE49-F238E27FC236}">
              <a16:creationId xmlns:a16="http://schemas.microsoft.com/office/drawing/2014/main" id="{00000000-0008-0000-0100-00002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98" name="Drop Down 2" hidden="1">
          <a:extLst>
            <a:ext uri="{FF2B5EF4-FFF2-40B4-BE49-F238E27FC236}">
              <a16:creationId xmlns:a16="http://schemas.microsoft.com/office/drawing/2014/main" id="{00000000-0008-0000-0100-00002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699" name="Drop Down 1" hidden="1">
          <a:extLst>
            <a:ext uri="{FF2B5EF4-FFF2-40B4-BE49-F238E27FC236}">
              <a16:creationId xmlns:a16="http://schemas.microsoft.com/office/drawing/2014/main" id="{00000000-0008-0000-0100-00002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00" name="Drop Down -1022" hidden="1">
          <a:extLst>
            <a:ext uri="{FF2B5EF4-FFF2-40B4-BE49-F238E27FC236}">
              <a16:creationId xmlns:a16="http://schemas.microsoft.com/office/drawing/2014/main" id="{00000000-0008-0000-0100-00002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01" name="Drop Down 1" hidden="1">
          <a:extLst>
            <a:ext uri="{FF2B5EF4-FFF2-40B4-BE49-F238E27FC236}">
              <a16:creationId xmlns:a16="http://schemas.microsoft.com/office/drawing/2014/main" id="{00000000-0008-0000-0100-00002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02" name="Drop Down 1" hidden="1">
          <a:extLst>
            <a:ext uri="{FF2B5EF4-FFF2-40B4-BE49-F238E27FC236}">
              <a16:creationId xmlns:a16="http://schemas.microsoft.com/office/drawing/2014/main" id="{00000000-0008-0000-0100-00002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03" name="Drop Down 1" hidden="1">
          <a:extLst>
            <a:ext uri="{FF2B5EF4-FFF2-40B4-BE49-F238E27FC236}">
              <a16:creationId xmlns:a16="http://schemas.microsoft.com/office/drawing/2014/main" id="{00000000-0008-0000-0100-00002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04" name="Drop Down 1" hidden="1">
          <a:extLst>
            <a:ext uri="{FF2B5EF4-FFF2-40B4-BE49-F238E27FC236}">
              <a16:creationId xmlns:a16="http://schemas.microsoft.com/office/drawing/2014/main" id="{00000000-0008-0000-0100-00003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05" name="Drop Down 2" hidden="1">
          <a:extLst>
            <a:ext uri="{FF2B5EF4-FFF2-40B4-BE49-F238E27FC236}">
              <a16:creationId xmlns:a16="http://schemas.microsoft.com/office/drawing/2014/main" id="{00000000-0008-0000-0100-00003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06" name="Drop Down 1" hidden="1">
          <a:extLst>
            <a:ext uri="{FF2B5EF4-FFF2-40B4-BE49-F238E27FC236}">
              <a16:creationId xmlns:a16="http://schemas.microsoft.com/office/drawing/2014/main" id="{00000000-0008-0000-0100-00003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07" name="Drop Down -1022" hidden="1">
          <a:extLst>
            <a:ext uri="{FF2B5EF4-FFF2-40B4-BE49-F238E27FC236}">
              <a16:creationId xmlns:a16="http://schemas.microsoft.com/office/drawing/2014/main" id="{00000000-0008-0000-0100-00003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08" name="Drop Down 1" hidden="1">
          <a:extLst>
            <a:ext uri="{FF2B5EF4-FFF2-40B4-BE49-F238E27FC236}">
              <a16:creationId xmlns:a16="http://schemas.microsoft.com/office/drawing/2014/main" id="{00000000-0008-0000-0100-00003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09" name="Drop Down 1" hidden="1">
          <a:extLst>
            <a:ext uri="{FF2B5EF4-FFF2-40B4-BE49-F238E27FC236}">
              <a16:creationId xmlns:a16="http://schemas.microsoft.com/office/drawing/2014/main" id="{00000000-0008-0000-0100-00003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10" name="Drop Down 1" hidden="1">
          <a:extLst>
            <a:ext uri="{FF2B5EF4-FFF2-40B4-BE49-F238E27FC236}">
              <a16:creationId xmlns:a16="http://schemas.microsoft.com/office/drawing/2014/main" id="{00000000-0008-0000-0100-00003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11" name="Drop Down 1" hidden="1">
          <a:extLst>
            <a:ext uri="{FF2B5EF4-FFF2-40B4-BE49-F238E27FC236}">
              <a16:creationId xmlns:a16="http://schemas.microsoft.com/office/drawing/2014/main" id="{00000000-0008-0000-0100-00003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12" name="Drop Down 2" hidden="1">
          <a:extLst>
            <a:ext uri="{FF2B5EF4-FFF2-40B4-BE49-F238E27FC236}">
              <a16:creationId xmlns:a16="http://schemas.microsoft.com/office/drawing/2014/main" id="{00000000-0008-0000-0100-00003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13" name="Drop Down 1" hidden="1">
          <a:extLst>
            <a:ext uri="{FF2B5EF4-FFF2-40B4-BE49-F238E27FC236}">
              <a16:creationId xmlns:a16="http://schemas.microsoft.com/office/drawing/2014/main" id="{00000000-0008-0000-0100-00003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14" name="Drop Down -1022" hidden="1">
          <a:extLst>
            <a:ext uri="{FF2B5EF4-FFF2-40B4-BE49-F238E27FC236}">
              <a16:creationId xmlns:a16="http://schemas.microsoft.com/office/drawing/2014/main" id="{00000000-0008-0000-0100-00003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15" name="Drop Down 1" hidden="1">
          <a:extLst>
            <a:ext uri="{FF2B5EF4-FFF2-40B4-BE49-F238E27FC236}">
              <a16:creationId xmlns:a16="http://schemas.microsoft.com/office/drawing/2014/main" id="{00000000-0008-0000-0100-00003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16" name="Drop Down 1" hidden="1">
          <a:extLst>
            <a:ext uri="{FF2B5EF4-FFF2-40B4-BE49-F238E27FC236}">
              <a16:creationId xmlns:a16="http://schemas.microsoft.com/office/drawing/2014/main" id="{00000000-0008-0000-0100-00003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17" name="Drop Down 1" hidden="1">
          <a:extLst>
            <a:ext uri="{FF2B5EF4-FFF2-40B4-BE49-F238E27FC236}">
              <a16:creationId xmlns:a16="http://schemas.microsoft.com/office/drawing/2014/main" id="{00000000-0008-0000-0100-00003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18" name="Drop Down 1" hidden="1">
          <a:extLst>
            <a:ext uri="{FF2B5EF4-FFF2-40B4-BE49-F238E27FC236}">
              <a16:creationId xmlns:a16="http://schemas.microsoft.com/office/drawing/2014/main" id="{00000000-0008-0000-0100-00003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19" name="Drop Down 2" hidden="1">
          <a:extLst>
            <a:ext uri="{FF2B5EF4-FFF2-40B4-BE49-F238E27FC236}">
              <a16:creationId xmlns:a16="http://schemas.microsoft.com/office/drawing/2014/main" id="{00000000-0008-0000-0100-00003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20" name="Drop Down 1" hidden="1">
          <a:extLst>
            <a:ext uri="{FF2B5EF4-FFF2-40B4-BE49-F238E27FC236}">
              <a16:creationId xmlns:a16="http://schemas.microsoft.com/office/drawing/2014/main" id="{00000000-0008-0000-0100-00004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21" name="Drop Down -1022" hidden="1">
          <a:extLst>
            <a:ext uri="{FF2B5EF4-FFF2-40B4-BE49-F238E27FC236}">
              <a16:creationId xmlns:a16="http://schemas.microsoft.com/office/drawing/2014/main" id="{00000000-0008-0000-0100-00004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22" name="Drop Down 1" hidden="1">
          <a:extLst>
            <a:ext uri="{FF2B5EF4-FFF2-40B4-BE49-F238E27FC236}">
              <a16:creationId xmlns:a16="http://schemas.microsoft.com/office/drawing/2014/main" id="{00000000-0008-0000-0100-00004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23" name="Drop Down 1" hidden="1">
          <a:extLst>
            <a:ext uri="{FF2B5EF4-FFF2-40B4-BE49-F238E27FC236}">
              <a16:creationId xmlns:a16="http://schemas.microsoft.com/office/drawing/2014/main" id="{00000000-0008-0000-0100-00004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24" name="Drop Down 1" hidden="1">
          <a:extLst>
            <a:ext uri="{FF2B5EF4-FFF2-40B4-BE49-F238E27FC236}">
              <a16:creationId xmlns:a16="http://schemas.microsoft.com/office/drawing/2014/main" id="{00000000-0008-0000-0100-00004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25" name="Drop Down 1" hidden="1">
          <a:extLst>
            <a:ext uri="{FF2B5EF4-FFF2-40B4-BE49-F238E27FC236}">
              <a16:creationId xmlns:a16="http://schemas.microsoft.com/office/drawing/2014/main" id="{00000000-0008-0000-0100-00004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26" name="Drop Down 2" hidden="1">
          <a:extLst>
            <a:ext uri="{FF2B5EF4-FFF2-40B4-BE49-F238E27FC236}">
              <a16:creationId xmlns:a16="http://schemas.microsoft.com/office/drawing/2014/main" id="{00000000-0008-0000-0100-00004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27" name="Drop Down 1" hidden="1">
          <a:extLst>
            <a:ext uri="{FF2B5EF4-FFF2-40B4-BE49-F238E27FC236}">
              <a16:creationId xmlns:a16="http://schemas.microsoft.com/office/drawing/2014/main" id="{00000000-0008-0000-0100-00004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28" name="Drop Down -1022" hidden="1">
          <a:extLst>
            <a:ext uri="{FF2B5EF4-FFF2-40B4-BE49-F238E27FC236}">
              <a16:creationId xmlns:a16="http://schemas.microsoft.com/office/drawing/2014/main" id="{00000000-0008-0000-0100-00004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29" name="Drop Down 1" hidden="1">
          <a:extLst>
            <a:ext uri="{FF2B5EF4-FFF2-40B4-BE49-F238E27FC236}">
              <a16:creationId xmlns:a16="http://schemas.microsoft.com/office/drawing/2014/main" id="{00000000-0008-0000-0100-00004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30" name="Drop Down 1" hidden="1">
          <a:extLst>
            <a:ext uri="{FF2B5EF4-FFF2-40B4-BE49-F238E27FC236}">
              <a16:creationId xmlns:a16="http://schemas.microsoft.com/office/drawing/2014/main" id="{00000000-0008-0000-0100-00004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31" name="Drop Down 1" hidden="1">
          <a:extLst>
            <a:ext uri="{FF2B5EF4-FFF2-40B4-BE49-F238E27FC236}">
              <a16:creationId xmlns:a16="http://schemas.microsoft.com/office/drawing/2014/main" id="{00000000-0008-0000-0100-00004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32" name="Drop Down 1" hidden="1">
          <a:extLst>
            <a:ext uri="{FF2B5EF4-FFF2-40B4-BE49-F238E27FC236}">
              <a16:creationId xmlns:a16="http://schemas.microsoft.com/office/drawing/2014/main" id="{00000000-0008-0000-0100-00004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33" name="Drop Down 2" hidden="1">
          <a:extLst>
            <a:ext uri="{FF2B5EF4-FFF2-40B4-BE49-F238E27FC236}">
              <a16:creationId xmlns:a16="http://schemas.microsoft.com/office/drawing/2014/main" id="{00000000-0008-0000-0100-00004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34" name="Drop Down 1" hidden="1">
          <a:extLst>
            <a:ext uri="{FF2B5EF4-FFF2-40B4-BE49-F238E27FC236}">
              <a16:creationId xmlns:a16="http://schemas.microsoft.com/office/drawing/2014/main" id="{00000000-0008-0000-0100-00004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35" name="Drop Down -1022" hidden="1">
          <a:extLst>
            <a:ext uri="{FF2B5EF4-FFF2-40B4-BE49-F238E27FC236}">
              <a16:creationId xmlns:a16="http://schemas.microsoft.com/office/drawing/2014/main" id="{00000000-0008-0000-0100-00004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736" name="Drop Down 1" hidden="1">
          <a:extLst>
            <a:ext uri="{FF2B5EF4-FFF2-40B4-BE49-F238E27FC236}">
              <a16:creationId xmlns:a16="http://schemas.microsoft.com/office/drawing/2014/main" id="{00000000-0008-0000-0100-00005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737" name="Drop Down 1" hidden="1">
          <a:extLst>
            <a:ext uri="{FF2B5EF4-FFF2-40B4-BE49-F238E27FC236}">
              <a16:creationId xmlns:a16="http://schemas.microsoft.com/office/drawing/2014/main" id="{00000000-0008-0000-0100-00005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738" name="Drop Down 1" hidden="1">
          <a:extLst>
            <a:ext uri="{FF2B5EF4-FFF2-40B4-BE49-F238E27FC236}">
              <a16:creationId xmlns:a16="http://schemas.microsoft.com/office/drawing/2014/main" id="{00000000-0008-0000-0100-00005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739" name="Drop Down 1" hidden="1">
          <a:extLst>
            <a:ext uri="{FF2B5EF4-FFF2-40B4-BE49-F238E27FC236}">
              <a16:creationId xmlns:a16="http://schemas.microsoft.com/office/drawing/2014/main" id="{00000000-0008-0000-0100-00005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740" name="Drop Down 2" hidden="1">
          <a:extLst>
            <a:ext uri="{FF2B5EF4-FFF2-40B4-BE49-F238E27FC236}">
              <a16:creationId xmlns:a16="http://schemas.microsoft.com/office/drawing/2014/main" id="{00000000-0008-0000-0100-00005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741" name="Drop Down 1" hidden="1">
          <a:extLst>
            <a:ext uri="{FF2B5EF4-FFF2-40B4-BE49-F238E27FC236}">
              <a16:creationId xmlns:a16="http://schemas.microsoft.com/office/drawing/2014/main" id="{00000000-0008-0000-0100-00005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742" name="Drop Down -1022" hidden="1">
          <a:extLst>
            <a:ext uri="{FF2B5EF4-FFF2-40B4-BE49-F238E27FC236}">
              <a16:creationId xmlns:a16="http://schemas.microsoft.com/office/drawing/2014/main" id="{00000000-0008-0000-0100-00005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743" name="Drop Down 1" hidden="1">
          <a:extLst>
            <a:ext uri="{FF2B5EF4-FFF2-40B4-BE49-F238E27FC236}">
              <a16:creationId xmlns:a16="http://schemas.microsoft.com/office/drawing/2014/main" id="{00000000-0008-0000-0100-00005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744" name="Drop Down 1" hidden="1">
          <a:extLst>
            <a:ext uri="{FF2B5EF4-FFF2-40B4-BE49-F238E27FC236}">
              <a16:creationId xmlns:a16="http://schemas.microsoft.com/office/drawing/2014/main" id="{00000000-0008-0000-0100-00005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745" name="Drop Down 1" hidden="1">
          <a:extLst>
            <a:ext uri="{FF2B5EF4-FFF2-40B4-BE49-F238E27FC236}">
              <a16:creationId xmlns:a16="http://schemas.microsoft.com/office/drawing/2014/main" id="{00000000-0008-0000-0100-00005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746" name="Drop Down 1" hidden="1">
          <a:extLst>
            <a:ext uri="{FF2B5EF4-FFF2-40B4-BE49-F238E27FC236}">
              <a16:creationId xmlns:a16="http://schemas.microsoft.com/office/drawing/2014/main" id="{00000000-0008-0000-0100-00005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747" name="Drop Down 2" hidden="1">
          <a:extLst>
            <a:ext uri="{FF2B5EF4-FFF2-40B4-BE49-F238E27FC236}">
              <a16:creationId xmlns:a16="http://schemas.microsoft.com/office/drawing/2014/main" id="{00000000-0008-0000-0100-00005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748" name="Drop Down 1" hidden="1">
          <a:extLst>
            <a:ext uri="{FF2B5EF4-FFF2-40B4-BE49-F238E27FC236}">
              <a16:creationId xmlns:a16="http://schemas.microsoft.com/office/drawing/2014/main" id="{00000000-0008-0000-0100-00005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749" name="Drop Down -1022" hidden="1">
          <a:extLst>
            <a:ext uri="{FF2B5EF4-FFF2-40B4-BE49-F238E27FC236}">
              <a16:creationId xmlns:a16="http://schemas.microsoft.com/office/drawing/2014/main" id="{00000000-0008-0000-0100-00005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50" name="Drop Down 1" hidden="1">
          <a:extLst>
            <a:ext uri="{FF2B5EF4-FFF2-40B4-BE49-F238E27FC236}">
              <a16:creationId xmlns:a16="http://schemas.microsoft.com/office/drawing/2014/main" id="{00000000-0008-0000-0100-00005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51" name="Drop Down 1" hidden="1">
          <a:extLst>
            <a:ext uri="{FF2B5EF4-FFF2-40B4-BE49-F238E27FC236}">
              <a16:creationId xmlns:a16="http://schemas.microsoft.com/office/drawing/2014/main" id="{00000000-0008-0000-0100-00005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52" name="Drop Down 1" hidden="1">
          <a:extLst>
            <a:ext uri="{FF2B5EF4-FFF2-40B4-BE49-F238E27FC236}">
              <a16:creationId xmlns:a16="http://schemas.microsoft.com/office/drawing/2014/main" id="{00000000-0008-0000-0100-00006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53" name="Drop Down 1" hidden="1">
          <a:extLst>
            <a:ext uri="{FF2B5EF4-FFF2-40B4-BE49-F238E27FC236}">
              <a16:creationId xmlns:a16="http://schemas.microsoft.com/office/drawing/2014/main" id="{00000000-0008-0000-0100-00006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54" name="Drop Down 2" hidden="1">
          <a:extLst>
            <a:ext uri="{FF2B5EF4-FFF2-40B4-BE49-F238E27FC236}">
              <a16:creationId xmlns:a16="http://schemas.microsoft.com/office/drawing/2014/main" id="{00000000-0008-0000-0100-00006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55" name="Drop Down 1" hidden="1">
          <a:extLst>
            <a:ext uri="{FF2B5EF4-FFF2-40B4-BE49-F238E27FC236}">
              <a16:creationId xmlns:a16="http://schemas.microsoft.com/office/drawing/2014/main" id="{00000000-0008-0000-0100-00006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56" name="Drop Down -1022" hidden="1">
          <a:extLst>
            <a:ext uri="{FF2B5EF4-FFF2-40B4-BE49-F238E27FC236}">
              <a16:creationId xmlns:a16="http://schemas.microsoft.com/office/drawing/2014/main" id="{00000000-0008-0000-0100-00006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57" name="Drop Down 1" hidden="1">
          <a:extLst>
            <a:ext uri="{FF2B5EF4-FFF2-40B4-BE49-F238E27FC236}">
              <a16:creationId xmlns:a16="http://schemas.microsoft.com/office/drawing/2014/main" id="{00000000-0008-0000-0100-00006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58" name="Drop Down 1" hidden="1">
          <a:extLst>
            <a:ext uri="{FF2B5EF4-FFF2-40B4-BE49-F238E27FC236}">
              <a16:creationId xmlns:a16="http://schemas.microsoft.com/office/drawing/2014/main" id="{00000000-0008-0000-0100-00006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59" name="Drop Down 1" hidden="1">
          <a:extLst>
            <a:ext uri="{FF2B5EF4-FFF2-40B4-BE49-F238E27FC236}">
              <a16:creationId xmlns:a16="http://schemas.microsoft.com/office/drawing/2014/main" id="{00000000-0008-0000-0100-00006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60" name="Drop Down 1" hidden="1">
          <a:extLst>
            <a:ext uri="{FF2B5EF4-FFF2-40B4-BE49-F238E27FC236}">
              <a16:creationId xmlns:a16="http://schemas.microsoft.com/office/drawing/2014/main" id="{00000000-0008-0000-0100-00006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61" name="Drop Down 2" hidden="1">
          <a:extLst>
            <a:ext uri="{FF2B5EF4-FFF2-40B4-BE49-F238E27FC236}">
              <a16:creationId xmlns:a16="http://schemas.microsoft.com/office/drawing/2014/main" id="{00000000-0008-0000-0100-00006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62" name="Drop Down 1" hidden="1">
          <a:extLst>
            <a:ext uri="{FF2B5EF4-FFF2-40B4-BE49-F238E27FC236}">
              <a16:creationId xmlns:a16="http://schemas.microsoft.com/office/drawing/2014/main" id="{00000000-0008-0000-0100-00006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63" name="Drop Down -1022" hidden="1">
          <a:extLst>
            <a:ext uri="{FF2B5EF4-FFF2-40B4-BE49-F238E27FC236}">
              <a16:creationId xmlns:a16="http://schemas.microsoft.com/office/drawing/2014/main" id="{00000000-0008-0000-0100-00006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64" name="Drop Down 1" hidden="1">
          <a:extLst>
            <a:ext uri="{FF2B5EF4-FFF2-40B4-BE49-F238E27FC236}">
              <a16:creationId xmlns:a16="http://schemas.microsoft.com/office/drawing/2014/main" id="{00000000-0008-0000-0100-00006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65" name="Drop Down 1" hidden="1">
          <a:extLst>
            <a:ext uri="{FF2B5EF4-FFF2-40B4-BE49-F238E27FC236}">
              <a16:creationId xmlns:a16="http://schemas.microsoft.com/office/drawing/2014/main" id="{00000000-0008-0000-0100-00006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66" name="Drop Down 1" hidden="1">
          <a:extLst>
            <a:ext uri="{FF2B5EF4-FFF2-40B4-BE49-F238E27FC236}">
              <a16:creationId xmlns:a16="http://schemas.microsoft.com/office/drawing/2014/main" id="{00000000-0008-0000-0100-00006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67" name="Drop Down 1" hidden="1">
          <a:extLst>
            <a:ext uri="{FF2B5EF4-FFF2-40B4-BE49-F238E27FC236}">
              <a16:creationId xmlns:a16="http://schemas.microsoft.com/office/drawing/2014/main" id="{00000000-0008-0000-0100-00006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68" name="Drop Down 2" hidden="1">
          <a:extLst>
            <a:ext uri="{FF2B5EF4-FFF2-40B4-BE49-F238E27FC236}">
              <a16:creationId xmlns:a16="http://schemas.microsoft.com/office/drawing/2014/main" id="{00000000-0008-0000-0100-00007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69" name="Drop Down 1" hidden="1">
          <a:extLst>
            <a:ext uri="{FF2B5EF4-FFF2-40B4-BE49-F238E27FC236}">
              <a16:creationId xmlns:a16="http://schemas.microsoft.com/office/drawing/2014/main" id="{00000000-0008-0000-0100-00007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70" name="Drop Down -1022" hidden="1">
          <a:extLst>
            <a:ext uri="{FF2B5EF4-FFF2-40B4-BE49-F238E27FC236}">
              <a16:creationId xmlns:a16="http://schemas.microsoft.com/office/drawing/2014/main" id="{00000000-0008-0000-0100-00007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71" name="Drop Down 1" hidden="1">
          <a:extLst>
            <a:ext uri="{FF2B5EF4-FFF2-40B4-BE49-F238E27FC236}">
              <a16:creationId xmlns:a16="http://schemas.microsoft.com/office/drawing/2014/main" id="{00000000-0008-0000-0100-00007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72" name="Drop Down 1" hidden="1">
          <a:extLst>
            <a:ext uri="{FF2B5EF4-FFF2-40B4-BE49-F238E27FC236}">
              <a16:creationId xmlns:a16="http://schemas.microsoft.com/office/drawing/2014/main" id="{00000000-0008-0000-0100-00007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73" name="Drop Down 1" hidden="1">
          <a:extLst>
            <a:ext uri="{FF2B5EF4-FFF2-40B4-BE49-F238E27FC236}">
              <a16:creationId xmlns:a16="http://schemas.microsoft.com/office/drawing/2014/main" id="{00000000-0008-0000-0100-00007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74" name="Drop Down 1" hidden="1">
          <a:extLst>
            <a:ext uri="{FF2B5EF4-FFF2-40B4-BE49-F238E27FC236}">
              <a16:creationId xmlns:a16="http://schemas.microsoft.com/office/drawing/2014/main" id="{00000000-0008-0000-0100-00007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75" name="Drop Down 2" hidden="1">
          <a:extLst>
            <a:ext uri="{FF2B5EF4-FFF2-40B4-BE49-F238E27FC236}">
              <a16:creationId xmlns:a16="http://schemas.microsoft.com/office/drawing/2014/main" id="{00000000-0008-0000-0100-00007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76" name="Drop Down 1" hidden="1">
          <a:extLst>
            <a:ext uri="{FF2B5EF4-FFF2-40B4-BE49-F238E27FC236}">
              <a16:creationId xmlns:a16="http://schemas.microsoft.com/office/drawing/2014/main" id="{00000000-0008-0000-0100-00007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77" name="Drop Down -1022" hidden="1">
          <a:extLst>
            <a:ext uri="{FF2B5EF4-FFF2-40B4-BE49-F238E27FC236}">
              <a16:creationId xmlns:a16="http://schemas.microsoft.com/office/drawing/2014/main" id="{00000000-0008-0000-0100-00007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78" name="Drop Down 1" hidden="1">
          <a:extLst>
            <a:ext uri="{FF2B5EF4-FFF2-40B4-BE49-F238E27FC236}">
              <a16:creationId xmlns:a16="http://schemas.microsoft.com/office/drawing/2014/main" id="{00000000-0008-0000-0100-00007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79" name="Drop Down 1" hidden="1">
          <a:extLst>
            <a:ext uri="{FF2B5EF4-FFF2-40B4-BE49-F238E27FC236}">
              <a16:creationId xmlns:a16="http://schemas.microsoft.com/office/drawing/2014/main" id="{00000000-0008-0000-0100-00007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80" name="Drop Down 1" hidden="1">
          <a:extLst>
            <a:ext uri="{FF2B5EF4-FFF2-40B4-BE49-F238E27FC236}">
              <a16:creationId xmlns:a16="http://schemas.microsoft.com/office/drawing/2014/main" id="{00000000-0008-0000-0100-00007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81" name="Drop Down 1" hidden="1">
          <a:extLst>
            <a:ext uri="{FF2B5EF4-FFF2-40B4-BE49-F238E27FC236}">
              <a16:creationId xmlns:a16="http://schemas.microsoft.com/office/drawing/2014/main" id="{00000000-0008-0000-0100-00007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82" name="Drop Down 2" hidden="1">
          <a:extLst>
            <a:ext uri="{FF2B5EF4-FFF2-40B4-BE49-F238E27FC236}">
              <a16:creationId xmlns:a16="http://schemas.microsoft.com/office/drawing/2014/main" id="{00000000-0008-0000-0100-00007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83" name="Drop Down 1" hidden="1">
          <a:extLst>
            <a:ext uri="{FF2B5EF4-FFF2-40B4-BE49-F238E27FC236}">
              <a16:creationId xmlns:a16="http://schemas.microsoft.com/office/drawing/2014/main" id="{00000000-0008-0000-0100-00007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84" name="Drop Down -1022" hidden="1">
          <a:extLst>
            <a:ext uri="{FF2B5EF4-FFF2-40B4-BE49-F238E27FC236}">
              <a16:creationId xmlns:a16="http://schemas.microsoft.com/office/drawing/2014/main" id="{00000000-0008-0000-0100-00008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85" name="Drop Down 1" hidden="1">
          <a:extLst>
            <a:ext uri="{FF2B5EF4-FFF2-40B4-BE49-F238E27FC236}">
              <a16:creationId xmlns:a16="http://schemas.microsoft.com/office/drawing/2014/main" id="{00000000-0008-0000-0100-00008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86" name="Drop Down 1" hidden="1">
          <a:extLst>
            <a:ext uri="{FF2B5EF4-FFF2-40B4-BE49-F238E27FC236}">
              <a16:creationId xmlns:a16="http://schemas.microsoft.com/office/drawing/2014/main" id="{00000000-0008-0000-0100-00008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87" name="Drop Down 1" hidden="1">
          <a:extLst>
            <a:ext uri="{FF2B5EF4-FFF2-40B4-BE49-F238E27FC236}">
              <a16:creationId xmlns:a16="http://schemas.microsoft.com/office/drawing/2014/main" id="{00000000-0008-0000-0100-00008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88" name="Drop Down 1" hidden="1">
          <a:extLst>
            <a:ext uri="{FF2B5EF4-FFF2-40B4-BE49-F238E27FC236}">
              <a16:creationId xmlns:a16="http://schemas.microsoft.com/office/drawing/2014/main" id="{00000000-0008-0000-0100-00008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89" name="Drop Down 2" hidden="1">
          <a:extLst>
            <a:ext uri="{FF2B5EF4-FFF2-40B4-BE49-F238E27FC236}">
              <a16:creationId xmlns:a16="http://schemas.microsoft.com/office/drawing/2014/main" id="{00000000-0008-0000-0100-00008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90" name="Drop Down 1" hidden="1">
          <a:extLst>
            <a:ext uri="{FF2B5EF4-FFF2-40B4-BE49-F238E27FC236}">
              <a16:creationId xmlns:a16="http://schemas.microsoft.com/office/drawing/2014/main" id="{00000000-0008-0000-0100-00008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91" name="Drop Down -1022" hidden="1">
          <a:extLst>
            <a:ext uri="{FF2B5EF4-FFF2-40B4-BE49-F238E27FC236}">
              <a16:creationId xmlns:a16="http://schemas.microsoft.com/office/drawing/2014/main" id="{00000000-0008-0000-0100-00008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92" name="Drop Down 1" hidden="1">
          <a:extLst>
            <a:ext uri="{FF2B5EF4-FFF2-40B4-BE49-F238E27FC236}">
              <a16:creationId xmlns:a16="http://schemas.microsoft.com/office/drawing/2014/main" id="{00000000-0008-0000-0100-00008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93" name="Drop Down 1" hidden="1">
          <a:extLst>
            <a:ext uri="{FF2B5EF4-FFF2-40B4-BE49-F238E27FC236}">
              <a16:creationId xmlns:a16="http://schemas.microsoft.com/office/drawing/2014/main" id="{00000000-0008-0000-0100-00008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94" name="Drop Down 1" hidden="1">
          <a:extLst>
            <a:ext uri="{FF2B5EF4-FFF2-40B4-BE49-F238E27FC236}">
              <a16:creationId xmlns:a16="http://schemas.microsoft.com/office/drawing/2014/main" id="{00000000-0008-0000-0100-00008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95" name="Drop Down 1" hidden="1">
          <a:extLst>
            <a:ext uri="{FF2B5EF4-FFF2-40B4-BE49-F238E27FC236}">
              <a16:creationId xmlns:a16="http://schemas.microsoft.com/office/drawing/2014/main" id="{00000000-0008-0000-0100-00008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96" name="Drop Down 2" hidden="1">
          <a:extLst>
            <a:ext uri="{FF2B5EF4-FFF2-40B4-BE49-F238E27FC236}">
              <a16:creationId xmlns:a16="http://schemas.microsoft.com/office/drawing/2014/main" id="{00000000-0008-0000-0100-00008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97" name="Drop Down 1" hidden="1">
          <a:extLst>
            <a:ext uri="{FF2B5EF4-FFF2-40B4-BE49-F238E27FC236}">
              <a16:creationId xmlns:a16="http://schemas.microsoft.com/office/drawing/2014/main" id="{00000000-0008-0000-0100-00008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798" name="Drop Down -1022" hidden="1">
          <a:extLst>
            <a:ext uri="{FF2B5EF4-FFF2-40B4-BE49-F238E27FC236}">
              <a16:creationId xmlns:a16="http://schemas.microsoft.com/office/drawing/2014/main" id="{00000000-0008-0000-0100-00008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799" name="Drop Down 1" hidden="1">
          <a:extLst>
            <a:ext uri="{FF2B5EF4-FFF2-40B4-BE49-F238E27FC236}">
              <a16:creationId xmlns:a16="http://schemas.microsoft.com/office/drawing/2014/main" id="{00000000-0008-0000-0100-00008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00" name="Drop Down 1" hidden="1">
          <a:extLst>
            <a:ext uri="{FF2B5EF4-FFF2-40B4-BE49-F238E27FC236}">
              <a16:creationId xmlns:a16="http://schemas.microsoft.com/office/drawing/2014/main" id="{00000000-0008-0000-0100-00009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01" name="Drop Down 1" hidden="1">
          <a:extLst>
            <a:ext uri="{FF2B5EF4-FFF2-40B4-BE49-F238E27FC236}">
              <a16:creationId xmlns:a16="http://schemas.microsoft.com/office/drawing/2014/main" id="{00000000-0008-0000-0100-00009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02" name="Drop Down 1" hidden="1">
          <a:extLst>
            <a:ext uri="{FF2B5EF4-FFF2-40B4-BE49-F238E27FC236}">
              <a16:creationId xmlns:a16="http://schemas.microsoft.com/office/drawing/2014/main" id="{00000000-0008-0000-0100-00009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03" name="Drop Down 2" hidden="1">
          <a:extLst>
            <a:ext uri="{FF2B5EF4-FFF2-40B4-BE49-F238E27FC236}">
              <a16:creationId xmlns:a16="http://schemas.microsoft.com/office/drawing/2014/main" id="{00000000-0008-0000-0100-00009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04" name="Drop Down 1" hidden="1">
          <a:extLst>
            <a:ext uri="{FF2B5EF4-FFF2-40B4-BE49-F238E27FC236}">
              <a16:creationId xmlns:a16="http://schemas.microsoft.com/office/drawing/2014/main" id="{00000000-0008-0000-0100-00009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05" name="Drop Down -1022" hidden="1">
          <a:extLst>
            <a:ext uri="{FF2B5EF4-FFF2-40B4-BE49-F238E27FC236}">
              <a16:creationId xmlns:a16="http://schemas.microsoft.com/office/drawing/2014/main" id="{00000000-0008-0000-0100-00009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06" name="Drop Down 1" hidden="1">
          <a:extLst>
            <a:ext uri="{FF2B5EF4-FFF2-40B4-BE49-F238E27FC236}">
              <a16:creationId xmlns:a16="http://schemas.microsoft.com/office/drawing/2014/main" id="{00000000-0008-0000-0100-00009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07" name="Drop Down 1" hidden="1">
          <a:extLst>
            <a:ext uri="{FF2B5EF4-FFF2-40B4-BE49-F238E27FC236}">
              <a16:creationId xmlns:a16="http://schemas.microsoft.com/office/drawing/2014/main" id="{00000000-0008-0000-0100-00009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08" name="Drop Down 1" hidden="1">
          <a:extLst>
            <a:ext uri="{FF2B5EF4-FFF2-40B4-BE49-F238E27FC236}">
              <a16:creationId xmlns:a16="http://schemas.microsoft.com/office/drawing/2014/main" id="{00000000-0008-0000-0100-00009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09" name="Drop Down 1" hidden="1">
          <a:extLst>
            <a:ext uri="{FF2B5EF4-FFF2-40B4-BE49-F238E27FC236}">
              <a16:creationId xmlns:a16="http://schemas.microsoft.com/office/drawing/2014/main" id="{00000000-0008-0000-0100-00009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10" name="Drop Down 2" hidden="1">
          <a:extLst>
            <a:ext uri="{FF2B5EF4-FFF2-40B4-BE49-F238E27FC236}">
              <a16:creationId xmlns:a16="http://schemas.microsoft.com/office/drawing/2014/main" id="{00000000-0008-0000-0100-00009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11" name="Drop Down 1" hidden="1">
          <a:extLst>
            <a:ext uri="{FF2B5EF4-FFF2-40B4-BE49-F238E27FC236}">
              <a16:creationId xmlns:a16="http://schemas.microsoft.com/office/drawing/2014/main" id="{00000000-0008-0000-0100-00009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12" name="Drop Down -1022" hidden="1">
          <a:extLst>
            <a:ext uri="{FF2B5EF4-FFF2-40B4-BE49-F238E27FC236}">
              <a16:creationId xmlns:a16="http://schemas.microsoft.com/office/drawing/2014/main" id="{00000000-0008-0000-0100-00009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13" name="Drop Down 1" hidden="1">
          <a:extLst>
            <a:ext uri="{FF2B5EF4-FFF2-40B4-BE49-F238E27FC236}">
              <a16:creationId xmlns:a16="http://schemas.microsoft.com/office/drawing/2014/main" id="{00000000-0008-0000-0100-00009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14" name="Drop Down 1" hidden="1">
          <a:extLst>
            <a:ext uri="{FF2B5EF4-FFF2-40B4-BE49-F238E27FC236}">
              <a16:creationId xmlns:a16="http://schemas.microsoft.com/office/drawing/2014/main" id="{00000000-0008-0000-0100-00009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15" name="Drop Down 1" hidden="1">
          <a:extLst>
            <a:ext uri="{FF2B5EF4-FFF2-40B4-BE49-F238E27FC236}">
              <a16:creationId xmlns:a16="http://schemas.microsoft.com/office/drawing/2014/main" id="{00000000-0008-0000-0100-00009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16" name="Drop Down 1" hidden="1">
          <a:extLst>
            <a:ext uri="{FF2B5EF4-FFF2-40B4-BE49-F238E27FC236}">
              <a16:creationId xmlns:a16="http://schemas.microsoft.com/office/drawing/2014/main" id="{00000000-0008-0000-0100-0000A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17" name="Drop Down 2" hidden="1">
          <a:extLst>
            <a:ext uri="{FF2B5EF4-FFF2-40B4-BE49-F238E27FC236}">
              <a16:creationId xmlns:a16="http://schemas.microsoft.com/office/drawing/2014/main" id="{00000000-0008-0000-0100-0000A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18" name="Drop Down 1" hidden="1">
          <a:extLst>
            <a:ext uri="{FF2B5EF4-FFF2-40B4-BE49-F238E27FC236}">
              <a16:creationId xmlns:a16="http://schemas.microsoft.com/office/drawing/2014/main" id="{00000000-0008-0000-0100-0000A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19" name="Drop Down -1022" hidden="1">
          <a:extLst>
            <a:ext uri="{FF2B5EF4-FFF2-40B4-BE49-F238E27FC236}">
              <a16:creationId xmlns:a16="http://schemas.microsoft.com/office/drawing/2014/main" id="{00000000-0008-0000-0100-0000A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6820" name="Drop Down 1" hidden="1">
          <a:extLst>
            <a:ext uri="{FF2B5EF4-FFF2-40B4-BE49-F238E27FC236}">
              <a16:creationId xmlns:a16="http://schemas.microsoft.com/office/drawing/2014/main" id="{00000000-0008-0000-0100-0000A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6821" name="Drop Down 1" hidden="1">
          <a:extLst>
            <a:ext uri="{FF2B5EF4-FFF2-40B4-BE49-F238E27FC236}">
              <a16:creationId xmlns:a16="http://schemas.microsoft.com/office/drawing/2014/main" id="{00000000-0008-0000-0100-0000A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6822" name="Drop Down 1" hidden="1">
          <a:extLst>
            <a:ext uri="{FF2B5EF4-FFF2-40B4-BE49-F238E27FC236}">
              <a16:creationId xmlns:a16="http://schemas.microsoft.com/office/drawing/2014/main" id="{00000000-0008-0000-0100-0000A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6823" name="Drop Down 1" hidden="1">
          <a:extLst>
            <a:ext uri="{FF2B5EF4-FFF2-40B4-BE49-F238E27FC236}">
              <a16:creationId xmlns:a16="http://schemas.microsoft.com/office/drawing/2014/main" id="{00000000-0008-0000-0100-0000A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6824" name="Drop Down 2" hidden="1">
          <a:extLst>
            <a:ext uri="{FF2B5EF4-FFF2-40B4-BE49-F238E27FC236}">
              <a16:creationId xmlns:a16="http://schemas.microsoft.com/office/drawing/2014/main" id="{00000000-0008-0000-0100-0000A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6825" name="Drop Down 1" hidden="1">
          <a:extLst>
            <a:ext uri="{FF2B5EF4-FFF2-40B4-BE49-F238E27FC236}">
              <a16:creationId xmlns:a16="http://schemas.microsoft.com/office/drawing/2014/main" id="{00000000-0008-0000-0100-0000A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6826" name="Drop Down -1022" hidden="1">
          <a:extLst>
            <a:ext uri="{FF2B5EF4-FFF2-40B4-BE49-F238E27FC236}">
              <a16:creationId xmlns:a16="http://schemas.microsoft.com/office/drawing/2014/main" id="{00000000-0008-0000-0100-0000A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6827" name="Drop Down 1" hidden="1">
          <a:extLst>
            <a:ext uri="{FF2B5EF4-FFF2-40B4-BE49-F238E27FC236}">
              <a16:creationId xmlns:a16="http://schemas.microsoft.com/office/drawing/2014/main" id="{00000000-0008-0000-0100-0000A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6828" name="Drop Down 1" hidden="1">
          <a:extLst>
            <a:ext uri="{FF2B5EF4-FFF2-40B4-BE49-F238E27FC236}">
              <a16:creationId xmlns:a16="http://schemas.microsoft.com/office/drawing/2014/main" id="{00000000-0008-0000-0100-0000A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6829" name="Drop Down 1" hidden="1">
          <a:extLst>
            <a:ext uri="{FF2B5EF4-FFF2-40B4-BE49-F238E27FC236}">
              <a16:creationId xmlns:a16="http://schemas.microsoft.com/office/drawing/2014/main" id="{00000000-0008-0000-0100-0000A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6830" name="Drop Down 1" hidden="1">
          <a:extLst>
            <a:ext uri="{FF2B5EF4-FFF2-40B4-BE49-F238E27FC236}">
              <a16:creationId xmlns:a16="http://schemas.microsoft.com/office/drawing/2014/main" id="{00000000-0008-0000-0100-0000A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6831" name="Drop Down 2" hidden="1">
          <a:extLst>
            <a:ext uri="{FF2B5EF4-FFF2-40B4-BE49-F238E27FC236}">
              <a16:creationId xmlns:a16="http://schemas.microsoft.com/office/drawing/2014/main" id="{00000000-0008-0000-0100-0000A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6832" name="Drop Down 1" hidden="1">
          <a:extLst>
            <a:ext uri="{FF2B5EF4-FFF2-40B4-BE49-F238E27FC236}">
              <a16:creationId xmlns:a16="http://schemas.microsoft.com/office/drawing/2014/main" id="{00000000-0008-0000-0100-0000B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6833" name="Drop Down -1022" hidden="1">
          <a:extLst>
            <a:ext uri="{FF2B5EF4-FFF2-40B4-BE49-F238E27FC236}">
              <a16:creationId xmlns:a16="http://schemas.microsoft.com/office/drawing/2014/main" id="{00000000-0008-0000-0100-0000B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34" name="Drop Down 1" hidden="1">
          <a:extLst>
            <a:ext uri="{FF2B5EF4-FFF2-40B4-BE49-F238E27FC236}">
              <a16:creationId xmlns:a16="http://schemas.microsoft.com/office/drawing/2014/main" id="{00000000-0008-0000-0100-0000B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35" name="Drop Down 1" hidden="1">
          <a:extLst>
            <a:ext uri="{FF2B5EF4-FFF2-40B4-BE49-F238E27FC236}">
              <a16:creationId xmlns:a16="http://schemas.microsoft.com/office/drawing/2014/main" id="{00000000-0008-0000-0100-0000B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36" name="Drop Down 1" hidden="1">
          <a:extLst>
            <a:ext uri="{FF2B5EF4-FFF2-40B4-BE49-F238E27FC236}">
              <a16:creationId xmlns:a16="http://schemas.microsoft.com/office/drawing/2014/main" id="{00000000-0008-0000-0100-0000B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37" name="Drop Down 1" hidden="1">
          <a:extLst>
            <a:ext uri="{FF2B5EF4-FFF2-40B4-BE49-F238E27FC236}">
              <a16:creationId xmlns:a16="http://schemas.microsoft.com/office/drawing/2014/main" id="{00000000-0008-0000-0100-0000B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38" name="Drop Down 2" hidden="1">
          <a:extLst>
            <a:ext uri="{FF2B5EF4-FFF2-40B4-BE49-F238E27FC236}">
              <a16:creationId xmlns:a16="http://schemas.microsoft.com/office/drawing/2014/main" id="{00000000-0008-0000-0100-0000B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39" name="Drop Down 1" hidden="1">
          <a:extLst>
            <a:ext uri="{FF2B5EF4-FFF2-40B4-BE49-F238E27FC236}">
              <a16:creationId xmlns:a16="http://schemas.microsoft.com/office/drawing/2014/main" id="{00000000-0008-0000-0100-0000B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40" name="Drop Down -1022" hidden="1">
          <a:extLst>
            <a:ext uri="{FF2B5EF4-FFF2-40B4-BE49-F238E27FC236}">
              <a16:creationId xmlns:a16="http://schemas.microsoft.com/office/drawing/2014/main" id="{00000000-0008-0000-0100-0000B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41" name="Drop Down 1" hidden="1">
          <a:extLst>
            <a:ext uri="{FF2B5EF4-FFF2-40B4-BE49-F238E27FC236}">
              <a16:creationId xmlns:a16="http://schemas.microsoft.com/office/drawing/2014/main" id="{00000000-0008-0000-0100-0000B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42" name="Drop Down 1" hidden="1">
          <a:extLst>
            <a:ext uri="{FF2B5EF4-FFF2-40B4-BE49-F238E27FC236}">
              <a16:creationId xmlns:a16="http://schemas.microsoft.com/office/drawing/2014/main" id="{00000000-0008-0000-0100-0000B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43" name="Drop Down 1" hidden="1">
          <a:extLst>
            <a:ext uri="{FF2B5EF4-FFF2-40B4-BE49-F238E27FC236}">
              <a16:creationId xmlns:a16="http://schemas.microsoft.com/office/drawing/2014/main" id="{00000000-0008-0000-0100-0000B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44" name="Drop Down 1" hidden="1">
          <a:extLst>
            <a:ext uri="{FF2B5EF4-FFF2-40B4-BE49-F238E27FC236}">
              <a16:creationId xmlns:a16="http://schemas.microsoft.com/office/drawing/2014/main" id="{00000000-0008-0000-0100-0000B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45" name="Drop Down 2" hidden="1">
          <a:extLst>
            <a:ext uri="{FF2B5EF4-FFF2-40B4-BE49-F238E27FC236}">
              <a16:creationId xmlns:a16="http://schemas.microsoft.com/office/drawing/2014/main" id="{00000000-0008-0000-0100-0000B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46" name="Drop Down 1" hidden="1">
          <a:extLst>
            <a:ext uri="{FF2B5EF4-FFF2-40B4-BE49-F238E27FC236}">
              <a16:creationId xmlns:a16="http://schemas.microsoft.com/office/drawing/2014/main" id="{00000000-0008-0000-0100-0000B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47" name="Drop Down -1022" hidden="1">
          <a:extLst>
            <a:ext uri="{FF2B5EF4-FFF2-40B4-BE49-F238E27FC236}">
              <a16:creationId xmlns:a16="http://schemas.microsoft.com/office/drawing/2014/main" id="{00000000-0008-0000-0100-0000B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48" name="Drop Down 1" hidden="1">
          <a:extLst>
            <a:ext uri="{FF2B5EF4-FFF2-40B4-BE49-F238E27FC236}">
              <a16:creationId xmlns:a16="http://schemas.microsoft.com/office/drawing/2014/main" id="{00000000-0008-0000-0100-0000C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49" name="Drop Down 1" hidden="1">
          <a:extLst>
            <a:ext uri="{FF2B5EF4-FFF2-40B4-BE49-F238E27FC236}">
              <a16:creationId xmlns:a16="http://schemas.microsoft.com/office/drawing/2014/main" id="{00000000-0008-0000-0100-0000C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50" name="Drop Down 1" hidden="1">
          <a:extLst>
            <a:ext uri="{FF2B5EF4-FFF2-40B4-BE49-F238E27FC236}">
              <a16:creationId xmlns:a16="http://schemas.microsoft.com/office/drawing/2014/main" id="{00000000-0008-0000-0100-0000C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51" name="Drop Down 1" hidden="1">
          <a:extLst>
            <a:ext uri="{FF2B5EF4-FFF2-40B4-BE49-F238E27FC236}">
              <a16:creationId xmlns:a16="http://schemas.microsoft.com/office/drawing/2014/main" id="{00000000-0008-0000-0100-0000C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52" name="Drop Down 2" hidden="1">
          <a:extLst>
            <a:ext uri="{FF2B5EF4-FFF2-40B4-BE49-F238E27FC236}">
              <a16:creationId xmlns:a16="http://schemas.microsoft.com/office/drawing/2014/main" id="{00000000-0008-0000-0100-0000C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53" name="Drop Down 1" hidden="1">
          <a:extLst>
            <a:ext uri="{FF2B5EF4-FFF2-40B4-BE49-F238E27FC236}">
              <a16:creationId xmlns:a16="http://schemas.microsoft.com/office/drawing/2014/main" id="{00000000-0008-0000-0100-0000C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54" name="Drop Down -1022" hidden="1">
          <a:extLst>
            <a:ext uri="{FF2B5EF4-FFF2-40B4-BE49-F238E27FC236}">
              <a16:creationId xmlns:a16="http://schemas.microsoft.com/office/drawing/2014/main" id="{00000000-0008-0000-0100-0000C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55" name="Drop Down 1" hidden="1">
          <a:extLst>
            <a:ext uri="{FF2B5EF4-FFF2-40B4-BE49-F238E27FC236}">
              <a16:creationId xmlns:a16="http://schemas.microsoft.com/office/drawing/2014/main" id="{00000000-0008-0000-0100-0000C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56" name="Drop Down 1" hidden="1">
          <a:extLst>
            <a:ext uri="{FF2B5EF4-FFF2-40B4-BE49-F238E27FC236}">
              <a16:creationId xmlns:a16="http://schemas.microsoft.com/office/drawing/2014/main" id="{00000000-0008-0000-0100-0000C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57" name="Drop Down 1" hidden="1">
          <a:extLst>
            <a:ext uri="{FF2B5EF4-FFF2-40B4-BE49-F238E27FC236}">
              <a16:creationId xmlns:a16="http://schemas.microsoft.com/office/drawing/2014/main" id="{00000000-0008-0000-0100-0000C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58" name="Drop Down 1" hidden="1">
          <a:extLst>
            <a:ext uri="{FF2B5EF4-FFF2-40B4-BE49-F238E27FC236}">
              <a16:creationId xmlns:a16="http://schemas.microsoft.com/office/drawing/2014/main" id="{00000000-0008-0000-0100-0000C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59" name="Drop Down 2" hidden="1">
          <a:extLst>
            <a:ext uri="{FF2B5EF4-FFF2-40B4-BE49-F238E27FC236}">
              <a16:creationId xmlns:a16="http://schemas.microsoft.com/office/drawing/2014/main" id="{00000000-0008-0000-0100-0000C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60" name="Drop Down 1" hidden="1">
          <a:extLst>
            <a:ext uri="{FF2B5EF4-FFF2-40B4-BE49-F238E27FC236}">
              <a16:creationId xmlns:a16="http://schemas.microsoft.com/office/drawing/2014/main" id="{00000000-0008-0000-0100-0000C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61" name="Drop Down -1022" hidden="1">
          <a:extLst>
            <a:ext uri="{FF2B5EF4-FFF2-40B4-BE49-F238E27FC236}">
              <a16:creationId xmlns:a16="http://schemas.microsoft.com/office/drawing/2014/main" id="{00000000-0008-0000-0100-0000C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62" name="Drop Down 1" hidden="1">
          <a:extLst>
            <a:ext uri="{FF2B5EF4-FFF2-40B4-BE49-F238E27FC236}">
              <a16:creationId xmlns:a16="http://schemas.microsoft.com/office/drawing/2014/main" id="{00000000-0008-0000-0100-0000C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63" name="Drop Down 1" hidden="1">
          <a:extLst>
            <a:ext uri="{FF2B5EF4-FFF2-40B4-BE49-F238E27FC236}">
              <a16:creationId xmlns:a16="http://schemas.microsoft.com/office/drawing/2014/main" id="{00000000-0008-0000-0100-0000C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64" name="Drop Down 1" hidden="1">
          <a:extLst>
            <a:ext uri="{FF2B5EF4-FFF2-40B4-BE49-F238E27FC236}">
              <a16:creationId xmlns:a16="http://schemas.microsoft.com/office/drawing/2014/main" id="{00000000-0008-0000-0100-0000D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65" name="Drop Down 1" hidden="1">
          <a:extLst>
            <a:ext uri="{FF2B5EF4-FFF2-40B4-BE49-F238E27FC236}">
              <a16:creationId xmlns:a16="http://schemas.microsoft.com/office/drawing/2014/main" id="{00000000-0008-0000-0100-0000D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66" name="Drop Down 2" hidden="1">
          <a:extLst>
            <a:ext uri="{FF2B5EF4-FFF2-40B4-BE49-F238E27FC236}">
              <a16:creationId xmlns:a16="http://schemas.microsoft.com/office/drawing/2014/main" id="{00000000-0008-0000-0100-0000D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67" name="Drop Down 1" hidden="1">
          <a:extLst>
            <a:ext uri="{FF2B5EF4-FFF2-40B4-BE49-F238E27FC236}">
              <a16:creationId xmlns:a16="http://schemas.microsoft.com/office/drawing/2014/main" id="{00000000-0008-0000-0100-0000D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68" name="Drop Down -1022" hidden="1">
          <a:extLst>
            <a:ext uri="{FF2B5EF4-FFF2-40B4-BE49-F238E27FC236}">
              <a16:creationId xmlns:a16="http://schemas.microsoft.com/office/drawing/2014/main" id="{00000000-0008-0000-0100-0000D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69" name="Drop Down 1" hidden="1">
          <a:extLst>
            <a:ext uri="{FF2B5EF4-FFF2-40B4-BE49-F238E27FC236}">
              <a16:creationId xmlns:a16="http://schemas.microsoft.com/office/drawing/2014/main" id="{00000000-0008-0000-0100-0000D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70" name="Drop Down 1" hidden="1">
          <a:extLst>
            <a:ext uri="{FF2B5EF4-FFF2-40B4-BE49-F238E27FC236}">
              <a16:creationId xmlns:a16="http://schemas.microsoft.com/office/drawing/2014/main" id="{00000000-0008-0000-0100-0000D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71" name="Drop Down 1" hidden="1">
          <a:extLst>
            <a:ext uri="{FF2B5EF4-FFF2-40B4-BE49-F238E27FC236}">
              <a16:creationId xmlns:a16="http://schemas.microsoft.com/office/drawing/2014/main" id="{00000000-0008-0000-0100-0000D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72" name="Drop Down 1" hidden="1">
          <a:extLst>
            <a:ext uri="{FF2B5EF4-FFF2-40B4-BE49-F238E27FC236}">
              <a16:creationId xmlns:a16="http://schemas.microsoft.com/office/drawing/2014/main" id="{00000000-0008-0000-0100-0000D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73" name="Drop Down 2" hidden="1">
          <a:extLst>
            <a:ext uri="{FF2B5EF4-FFF2-40B4-BE49-F238E27FC236}">
              <a16:creationId xmlns:a16="http://schemas.microsoft.com/office/drawing/2014/main" id="{00000000-0008-0000-0100-0000D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74" name="Drop Down 1" hidden="1">
          <a:extLst>
            <a:ext uri="{FF2B5EF4-FFF2-40B4-BE49-F238E27FC236}">
              <a16:creationId xmlns:a16="http://schemas.microsoft.com/office/drawing/2014/main" id="{00000000-0008-0000-0100-0000D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75" name="Drop Down -1022" hidden="1">
          <a:extLst>
            <a:ext uri="{FF2B5EF4-FFF2-40B4-BE49-F238E27FC236}">
              <a16:creationId xmlns:a16="http://schemas.microsoft.com/office/drawing/2014/main" id="{00000000-0008-0000-0100-0000D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76" name="Drop Down 1" hidden="1">
          <a:extLst>
            <a:ext uri="{FF2B5EF4-FFF2-40B4-BE49-F238E27FC236}">
              <a16:creationId xmlns:a16="http://schemas.microsoft.com/office/drawing/2014/main" id="{00000000-0008-0000-0100-0000D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77" name="Drop Down 1" hidden="1">
          <a:extLst>
            <a:ext uri="{FF2B5EF4-FFF2-40B4-BE49-F238E27FC236}">
              <a16:creationId xmlns:a16="http://schemas.microsoft.com/office/drawing/2014/main" id="{00000000-0008-0000-0100-0000D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78" name="Drop Down 1" hidden="1">
          <a:extLst>
            <a:ext uri="{FF2B5EF4-FFF2-40B4-BE49-F238E27FC236}">
              <a16:creationId xmlns:a16="http://schemas.microsoft.com/office/drawing/2014/main" id="{00000000-0008-0000-0100-0000D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79" name="Drop Down 1" hidden="1">
          <a:extLst>
            <a:ext uri="{FF2B5EF4-FFF2-40B4-BE49-F238E27FC236}">
              <a16:creationId xmlns:a16="http://schemas.microsoft.com/office/drawing/2014/main" id="{00000000-0008-0000-0100-0000D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80" name="Drop Down 2" hidden="1">
          <a:extLst>
            <a:ext uri="{FF2B5EF4-FFF2-40B4-BE49-F238E27FC236}">
              <a16:creationId xmlns:a16="http://schemas.microsoft.com/office/drawing/2014/main" id="{00000000-0008-0000-0100-0000E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81" name="Drop Down 1" hidden="1">
          <a:extLst>
            <a:ext uri="{FF2B5EF4-FFF2-40B4-BE49-F238E27FC236}">
              <a16:creationId xmlns:a16="http://schemas.microsoft.com/office/drawing/2014/main" id="{00000000-0008-0000-0100-0000E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82" name="Drop Down -1022" hidden="1">
          <a:extLst>
            <a:ext uri="{FF2B5EF4-FFF2-40B4-BE49-F238E27FC236}">
              <a16:creationId xmlns:a16="http://schemas.microsoft.com/office/drawing/2014/main" id="{00000000-0008-0000-0100-0000E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83" name="Drop Down 1" hidden="1">
          <a:extLst>
            <a:ext uri="{FF2B5EF4-FFF2-40B4-BE49-F238E27FC236}">
              <a16:creationId xmlns:a16="http://schemas.microsoft.com/office/drawing/2014/main" id="{00000000-0008-0000-0100-0000E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84" name="Drop Down 1" hidden="1">
          <a:extLst>
            <a:ext uri="{FF2B5EF4-FFF2-40B4-BE49-F238E27FC236}">
              <a16:creationId xmlns:a16="http://schemas.microsoft.com/office/drawing/2014/main" id="{00000000-0008-0000-0100-0000E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85" name="Drop Down 1" hidden="1">
          <a:extLst>
            <a:ext uri="{FF2B5EF4-FFF2-40B4-BE49-F238E27FC236}">
              <a16:creationId xmlns:a16="http://schemas.microsoft.com/office/drawing/2014/main" id="{00000000-0008-0000-0100-0000E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86" name="Drop Down 1" hidden="1">
          <a:extLst>
            <a:ext uri="{FF2B5EF4-FFF2-40B4-BE49-F238E27FC236}">
              <a16:creationId xmlns:a16="http://schemas.microsoft.com/office/drawing/2014/main" id="{00000000-0008-0000-0100-0000E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87" name="Drop Down 2" hidden="1">
          <a:extLst>
            <a:ext uri="{FF2B5EF4-FFF2-40B4-BE49-F238E27FC236}">
              <a16:creationId xmlns:a16="http://schemas.microsoft.com/office/drawing/2014/main" id="{00000000-0008-0000-0100-0000E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88" name="Drop Down 1" hidden="1">
          <a:extLst>
            <a:ext uri="{FF2B5EF4-FFF2-40B4-BE49-F238E27FC236}">
              <a16:creationId xmlns:a16="http://schemas.microsoft.com/office/drawing/2014/main" id="{00000000-0008-0000-0100-0000E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89" name="Drop Down -1022" hidden="1">
          <a:extLst>
            <a:ext uri="{FF2B5EF4-FFF2-40B4-BE49-F238E27FC236}">
              <a16:creationId xmlns:a16="http://schemas.microsoft.com/office/drawing/2014/main" id="{00000000-0008-0000-0100-0000E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90" name="Drop Down 1" hidden="1">
          <a:extLst>
            <a:ext uri="{FF2B5EF4-FFF2-40B4-BE49-F238E27FC236}">
              <a16:creationId xmlns:a16="http://schemas.microsoft.com/office/drawing/2014/main" id="{00000000-0008-0000-0100-0000E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91" name="Drop Down 1" hidden="1">
          <a:extLst>
            <a:ext uri="{FF2B5EF4-FFF2-40B4-BE49-F238E27FC236}">
              <a16:creationId xmlns:a16="http://schemas.microsoft.com/office/drawing/2014/main" id="{00000000-0008-0000-0100-0000E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92" name="Drop Down 1" hidden="1">
          <a:extLst>
            <a:ext uri="{FF2B5EF4-FFF2-40B4-BE49-F238E27FC236}">
              <a16:creationId xmlns:a16="http://schemas.microsoft.com/office/drawing/2014/main" id="{00000000-0008-0000-0100-0000E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93" name="Drop Down 1" hidden="1">
          <a:extLst>
            <a:ext uri="{FF2B5EF4-FFF2-40B4-BE49-F238E27FC236}">
              <a16:creationId xmlns:a16="http://schemas.microsoft.com/office/drawing/2014/main" id="{00000000-0008-0000-0100-0000E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94" name="Drop Down 2" hidden="1">
          <a:extLst>
            <a:ext uri="{FF2B5EF4-FFF2-40B4-BE49-F238E27FC236}">
              <a16:creationId xmlns:a16="http://schemas.microsoft.com/office/drawing/2014/main" id="{00000000-0008-0000-0100-0000E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95" name="Drop Down 1" hidden="1">
          <a:extLst>
            <a:ext uri="{FF2B5EF4-FFF2-40B4-BE49-F238E27FC236}">
              <a16:creationId xmlns:a16="http://schemas.microsoft.com/office/drawing/2014/main" id="{00000000-0008-0000-0100-0000E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896" name="Drop Down -1022" hidden="1">
          <a:extLst>
            <a:ext uri="{FF2B5EF4-FFF2-40B4-BE49-F238E27FC236}">
              <a16:creationId xmlns:a16="http://schemas.microsoft.com/office/drawing/2014/main" id="{00000000-0008-0000-0100-0000F0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97" name="Drop Down 1" hidden="1">
          <a:extLst>
            <a:ext uri="{FF2B5EF4-FFF2-40B4-BE49-F238E27FC236}">
              <a16:creationId xmlns:a16="http://schemas.microsoft.com/office/drawing/2014/main" id="{00000000-0008-0000-0100-0000F1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98" name="Drop Down 1" hidden="1">
          <a:extLst>
            <a:ext uri="{FF2B5EF4-FFF2-40B4-BE49-F238E27FC236}">
              <a16:creationId xmlns:a16="http://schemas.microsoft.com/office/drawing/2014/main" id="{00000000-0008-0000-0100-0000F2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899" name="Drop Down 1" hidden="1">
          <a:extLst>
            <a:ext uri="{FF2B5EF4-FFF2-40B4-BE49-F238E27FC236}">
              <a16:creationId xmlns:a16="http://schemas.microsoft.com/office/drawing/2014/main" id="{00000000-0008-0000-0100-0000F3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00" name="Drop Down 1" hidden="1">
          <a:extLst>
            <a:ext uri="{FF2B5EF4-FFF2-40B4-BE49-F238E27FC236}">
              <a16:creationId xmlns:a16="http://schemas.microsoft.com/office/drawing/2014/main" id="{00000000-0008-0000-0100-0000F4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01" name="Drop Down 2" hidden="1">
          <a:extLst>
            <a:ext uri="{FF2B5EF4-FFF2-40B4-BE49-F238E27FC236}">
              <a16:creationId xmlns:a16="http://schemas.microsoft.com/office/drawing/2014/main" id="{00000000-0008-0000-0100-0000F5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02" name="Drop Down 1" hidden="1">
          <a:extLst>
            <a:ext uri="{FF2B5EF4-FFF2-40B4-BE49-F238E27FC236}">
              <a16:creationId xmlns:a16="http://schemas.microsoft.com/office/drawing/2014/main" id="{00000000-0008-0000-0100-0000F6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03" name="Drop Down -1022" hidden="1">
          <a:extLst>
            <a:ext uri="{FF2B5EF4-FFF2-40B4-BE49-F238E27FC236}">
              <a16:creationId xmlns:a16="http://schemas.microsoft.com/office/drawing/2014/main" id="{00000000-0008-0000-0100-0000F7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04" name="Drop Down 1" hidden="1">
          <a:extLst>
            <a:ext uri="{FF2B5EF4-FFF2-40B4-BE49-F238E27FC236}">
              <a16:creationId xmlns:a16="http://schemas.microsoft.com/office/drawing/2014/main" id="{00000000-0008-0000-0100-0000F8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05" name="Drop Down 1" hidden="1">
          <a:extLst>
            <a:ext uri="{FF2B5EF4-FFF2-40B4-BE49-F238E27FC236}">
              <a16:creationId xmlns:a16="http://schemas.microsoft.com/office/drawing/2014/main" id="{00000000-0008-0000-0100-0000F9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06" name="Drop Down 1" hidden="1">
          <a:extLst>
            <a:ext uri="{FF2B5EF4-FFF2-40B4-BE49-F238E27FC236}">
              <a16:creationId xmlns:a16="http://schemas.microsoft.com/office/drawing/2014/main" id="{00000000-0008-0000-0100-0000FA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07" name="Drop Down 1" hidden="1">
          <a:extLst>
            <a:ext uri="{FF2B5EF4-FFF2-40B4-BE49-F238E27FC236}">
              <a16:creationId xmlns:a16="http://schemas.microsoft.com/office/drawing/2014/main" id="{00000000-0008-0000-0100-0000FB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08" name="Drop Down 2" hidden="1">
          <a:extLst>
            <a:ext uri="{FF2B5EF4-FFF2-40B4-BE49-F238E27FC236}">
              <a16:creationId xmlns:a16="http://schemas.microsoft.com/office/drawing/2014/main" id="{00000000-0008-0000-0100-0000FC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09" name="Drop Down 1" hidden="1">
          <a:extLst>
            <a:ext uri="{FF2B5EF4-FFF2-40B4-BE49-F238E27FC236}">
              <a16:creationId xmlns:a16="http://schemas.microsoft.com/office/drawing/2014/main" id="{00000000-0008-0000-0100-0000FD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10" name="Drop Down -1022" hidden="1">
          <a:extLst>
            <a:ext uri="{FF2B5EF4-FFF2-40B4-BE49-F238E27FC236}">
              <a16:creationId xmlns:a16="http://schemas.microsoft.com/office/drawing/2014/main" id="{00000000-0008-0000-0100-0000FE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11" name="Drop Down 1" hidden="1">
          <a:extLst>
            <a:ext uri="{FF2B5EF4-FFF2-40B4-BE49-F238E27FC236}">
              <a16:creationId xmlns:a16="http://schemas.microsoft.com/office/drawing/2014/main" id="{00000000-0008-0000-0100-0000FF1A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12" name="Drop Down 1" hidden="1">
          <a:extLst>
            <a:ext uri="{FF2B5EF4-FFF2-40B4-BE49-F238E27FC236}">
              <a16:creationId xmlns:a16="http://schemas.microsoft.com/office/drawing/2014/main" id="{00000000-0008-0000-0100-00000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13" name="Drop Down 1" hidden="1">
          <a:extLst>
            <a:ext uri="{FF2B5EF4-FFF2-40B4-BE49-F238E27FC236}">
              <a16:creationId xmlns:a16="http://schemas.microsoft.com/office/drawing/2014/main" id="{00000000-0008-0000-0100-00000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14" name="Drop Down 1" hidden="1">
          <a:extLst>
            <a:ext uri="{FF2B5EF4-FFF2-40B4-BE49-F238E27FC236}">
              <a16:creationId xmlns:a16="http://schemas.microsoft.com/office/drawing/2014/main" id="{00000000-0008-0000-0100-00000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15" name="Drop Down 2" hidden="1">
          <a:extLst>
            <a:ext uri="{FF2B5EF4-FFF2-40B4-BE49-F238E27FC236}">
              <a16:creationId xmlns:a16="http://schemas.microsoft.com/office/drawing/2014/main" id="{00000000-0008-0000-0100-00000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16" name="Drop Down 1" hidden="1">
          <a:extLst>
            <a:ext uri="{FF2B5EF4-FFF2-40B4-BE49-F238E27FC236}">
              <a16:creationId xmlns:a16="http://schemas.microsoft.com/office/drawing/2014/main" id="{00000000-0008-0000-0100-00000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17" name="Drop Down -1022" hidden="1">
          <a:extLst>
            <a:ext uri="{FF2B5EF4-FFF2-40B4-BE49-F238E27FC236}">
              <a16:creationId xmlns:a16="http://schemas.microsoft.com/office/drawing/2014/main" id="{00000000-0008-0000-0100-00000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18" name="Drop Down 1" hidden="1">
          <a:extLst>
            <a:ext uri="{FF2B5EF4-FFF2-40B4-BE49-F238E27FC236}">
              <a16:creationId xmlns:a16="http://schemas.microsoft.com/office/drawing/2014/main" id="{00000000-0008-0000-0100-00000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19" name="Drop Down 1" hidden="1">
          <a:extLst>
            <a:ext uri="{FF2B5EF4-FFF2-40B4-BE49-F238E27FC236}">
              <a16:creationId xmlns:a16="http://schemas.microsoft.com/office/drawing/2014/main" id="{00000000-0008-0000-0100-00000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20" name="Drop Down 1" hidden="1">
          <a:extLst>
            <a:ext uri="{FF2B5EF4-FFF2-40B4-BE49-F238E27FC236}">
              <a16:creationId xmlns:a16="http://schemas.microsoft.com/office/drawing/2014/main" id="{00000000-0008-0000-0100-00000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21" name="Drop Down 1" hidden="1">
          <a:extLst>
            <a:ext uri="{FF2B5EF4-FFF2-40B4-BE49-F238E27FC236}">
              <a16:creationId xmlns:a16="http://schemas.microsoft.com/office/drawing/2014/main" id="{00000000-0008-0000-0100-00000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22" name="Drop Down 2" hidden="1">
          <a:extLst>
            <a:ext uri="{FF2B5EF4-FFF2-40B4-BE49-F238E27FC236}">
              <a16:creationId xmlns:a16="http://schemas.microsoft.com/office/drawing/2014/main" id="{00000000-0008-0000-0100-00000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23" name="Drop Down 1" hidden="1">
          <a:extLst>
            <a:ext uri="{FF2B5EF4-FFF2-40B4-BE49-F238E27FC236}">
              <a16:creationId xmlns:a16="http://schemas.microsoft.com/office/drawing/2014/main" id="{00000000-0008-0000-0100-00000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24" name="Drop Down -1022" hidden="1">
          <a:extLst>
            <a:ext uri="{FF2B5EF4-FFF2-40B4-BE49-F238E27FC236}">
              <a16:creationId xmlns:a16="http://schemas.microsoft.com/office/drawing/2014/main" id="{00000000-0008-0000-0100-00000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25" name="Drop Down 1" hidden="1">
          <a:extLst>
            <a:ext uri="{FF2B5EF4-FFF2-40B4-BE49-F238E27FC236}">
              <a16:creationId xmlns:a16="http://schemas.microsoft.com/office/drawing/2014/main" id="{00000000-0008-0000-0100-00000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26" name="Drop Down 1" hidden="1">
          <a:extLst>
            <a:ext uri="{FF2B5EF4-FFF2-40B4-BE49-F238E27FC236}">
              <a16:creationId xmlns:a16="http://schemas.microsoft.com/office/drawing/2014/main" id="{00000000-0008-0000-0100-00000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27" name="Drop Down 1" hidden="1">
          <a:extLst>
            <a:ext uri="{FF2B5EF4-FFF2-40B4-BE49-F238E27FC236}">
              <a16:creationId xmlns:a16="http://schemas.microsoft.com/office/drawing/2014/main" id="{00000000-0008-0000-0100-00000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28" name="Drop Down 1" hidden="1">
          <a:extLst>
            <a:ext uri="{FF2B5EF4-FFF2-40B4-BE49-F238E27FC236}">
              <a16:creationId xmlns:a16="http://schemas.microsoft.com/office/drawing/2014/main" id="{00000000-0008-0000-0100-00001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29" name="Drop Down 2" hidden="1">
          <a:extLst>
            <a:ext uri="{FF2B5EF4-FFF2-40B4-BE49-F238E27FC236}">
              <a16:creationId xmlns:a16="http://schemas.microsoft.com/office/drawing/2014/main" id="{00000000-0008-0000-0100-00001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30" name="Drop Down 1" hidden="1">
          <a:extLst>
            <a:ext uri="{FF2B5EF4-FFF2-40B4-BE49-F238E27FC236}">
              <a16:creationId xmlns:a16="http://schemas.microsoft.com/office/drawing/2014/main" id="{00000000-0008-0000-0100-00001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31" name="Drop Down -1022" hidden="1">
          <a:extLst>
            <a:ext uri="{FF2B5EF4-FFF2-40B4-BE49-F238E27FC236}">
              <a16:creationId xmlns:a16="http://schemas.microsoft.com/office/drawing/2014/main" id="{00000000-0008-0000-0100-00001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32" name="Drop Down 1" hidden="1">
          <a:extLst>
            <a:ext uri="{FF2B5EF4-FFF2-40B4-BE49-F238E27FC236}">
              <a16:creationId xmlns:a16="http://schemas.microsoft.com/office/drawing/2014/main" id="{00000000-0008-0000-0100-00001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33" name="Drop Down 1" hidden="1">
          <a:extLst>
            <a:ext uri="{FF2B5EF4-FFF2-40B4-BE49-F238E27FC236}">
              <a16:creationId xmlns:a16="http://schemas.microsoft.com/office/drawing/2014/main" id="{00000000-0008-0000-0100-00001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34" name="Drop Down 1" hidden="1">
          <a:extLst>
            <a:ext uri="{FF2B5EF4-FFF2-40B4-BE49-F238E27FC236}">
              <a16:creationId xmlns:a16="http://schemas.microsoft.com/office/drawing/2014/main" id="{00000000-0008-0000-0100-00001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35" name="Drop Down 1" hidden="1">
          <a:extLst>
            <a:ext uri="{FF2B5EF4-FFF2-40B4-BE49-F238E27FC236}">
              <a16:creationId xmlns:a16="http://schemas.microsoft.com/office/drawing/2014/main" id="{00000000-0008-0000-0100-00001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36" name="Drop Down 2" hidden="1">
          <a:extLst>
            <a:ext uri="{FF2B5EF4-FFF2-40B4-BE49-F238E27FC236}">
              <a16:creationId xmlns:a16="http://schemas.microsoft.com/office/drawing/2014/main" id="{00000000-0008-0000-0100-00001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37" name="Drop Down 1" hidden="1">
          <a:extLst>
            <a:ext uri="{FF2B5EF4-FFF2-40B4-BE49-F238E27FC236}">
              <a16:creationId xmlns:a16="http://schemas.microsoft.com/office/drawing/2014/main" id="{00000000-0008-0000-0100-00001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38" name="Drop Down -1022" hidden="1">
          <a:extLst>
            <a:ext uri="{FF2B5EF4-FFF2-40B4-BE49-F238E27FC236}">
              <a16:creationId xmlns:a16="http://schemas.microsoft.com/office/drawing/2014/main" id="{00000000-0008-0000-0100-00001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39" name="Drop Down 1" hidden="1">
          <a:extLst>
            <a:ext uri="{FF2B5EF4-FFF2-40B4-BE49-F238E27FC236}">
              <a16:creationId xmlns:a16="http://schemas.microsoft.com/office/drawing/2014/main" id="{00000000-0008-0000-0100-00001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40" name="Drop Down 1" hidden="1">
          <a:extLst>
            <a:ext uri="{FF2B5EF4-FFF2-40B4-BE49-F238E27FC236}">
              <a16:creationId xmlns:a16="http://schemas.microsoft.com/office/drawing/2014/main" id="{00000000-0008-0000-0100-00001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41" name="Drop Down 1" hidden="1">
          <a:extLst>
            <a:ext uri="{FF2B5EF4-FFF2-40B4-BE49-F238E27FC236}">
              <a16:creationId xmlns:a16="http://schemas.microsoft.com/office/drawing/2014/main" id="{00000000-0008-0000-0100-00001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42" name="Drop Down 1" hidden="1">
          <a:extLst>
            <a:ext uri="{FF2B5EF4-FFF2-40B4-BE49-F238E27FC236}">
              <a16:creationId xmlns:a16="http://schemas.microsoft.com/office/drawing/2014/main" id="{00000000-0008-0000-0100-00001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43" name="Drop Down 2" hidden="1">
          <a:extLst>
            <a:ext uri="{FF2B5EF4-FFF2-40B4-BE49-F238E27FC236}">
              <a16:creationId xmlns:a16="http://schemas.microsoft.com/office/drawing/2014/main" id="{00000000-0008-0000-0100-00001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44" name="Drop Down 1" hidden="1">
          <a:extLst>
            <a:ext uri="{FF2B5EF4-FFF2-40B4-BE49-F238E27FC236}">
              <a16:creationId xmlns:a16="http://schemas.microsoft.com/office/drawing/2014/main" id="{00000000-0008-0000-0100-00002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45" name="Drop Down -1022" hidden="1">
          <a:extLst>
            <a:ext uri="{FF2B5EF4-FFF2-40B4-BE49-F238E27FC236}">
              <a16:creationId xmlns:a16="http://schemas.microsoft.com/office/drawing/2014/main" id="{00000000-0008-0000-0100-00002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46" name="Drop Down 1" hidden="1">
          <a:extLst>
            <a:ext uri="{FF2B5EF4-FFF2-40B4-BE49-F238E27FC236}">
              <a16:creationId xmlns:a16="http://schemas.microsoft.com/office/drawing/2014/main" id="{00000000-0008-0000-0100-00002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47" name="Drop Down 1" hidden="1">
          <a:extLst>
            <a:ext uri="{FF2B5EF4-FFF2-40B4-BE49-F238E27FC236}">
              <a16:creationId xmlns:a16="http://schemas.microsoft.com/office/drawing/2014/main" id="{00000000-0008-0000-0100-00002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48" name="Drop Down 1" hidden="1">
          <a:extLst>
            <a:ext uri="{FF2B5EF4-FFF2-40B4-BE49-F238E27FC236}">
              <a16:creationId xmlns:a16="http://schemas.microsoft.com/office/drawing/2014/main" id="{00000000-0008-0000-0100-00002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49" name="Drop Down 1" hidden="1">
          <a:extLst>
            <a:ext uri="{FF2B5EF4-FFF2-40B4-BE49-F238E27FC236}">
              <a16:creationId xmlns:a16="http://schemas.microsoft.com/office/drawing/2014/main" id="{00000000-0008-0000-0100-00002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50" name="Drop Down 2" hidden="1">
          <a:extLst>
            <a:ext uri="{FF2B5EF4-FFF2-40B4-BE49-F238E27FC236}">
              <a16:creationId xmlns:a16="http://schemas.microsoft.com/office/drawing/2014/main" id="{00000000-0008-0000-0100-00002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51" name="Drop Down 1" hidden="1">
          <a:extLst>
            <a:ext uri="{FF2B5EF4-FFF2-40B4-BE49-F238E27FC236}">
              <a16:creationId xmlns:a16="http://schemas.microsoft.com/office/drawing/2014/main" id="{00000000-0008-0000-0100-00002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52" name="Drop Down -1022" hidden="1">
          <a:extLst>
            <a:ext uri="{FF2B5EF4-FFF2-40B4-BE49-F238E27FC236}">
              <a16:creationId xmlns:a16="http://schemas.microsoft.com/office/drawing/2014/main" id="{00000000-0008-0000-0100-00002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53" name="Drop Down 1" hidden="1">
          <a:extLst>
            <a:ext uri="{FF2B5EF4-FFF2-40B4-BE49-F238E27FC236}">
              <a16:creationId xmlns:a16="http://schemas.microsoft.com/office/drawing/2014/main" id="{00000000-0008-0000-0100-00002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54" name="Drop Down 1" hidden="1">
          <a:extLst>
            <a:ext uri="{FF2B5EF4-FFF2-40B4-BE49-F238E27FC236}">
              <a16:creationId xmlns:a16="http://schemas.microsoft.com/office/drawing/2014/main" id="{00000000-0008-0000-0100-00002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55" name="Drop Down 1" hidden="1">
          <a:extLst>
            <a:ext uri="{FF2B5EF4-FFF2-40B4-BE49-F238E27FC236}">
              <a16:creationId xmlns:a16="http://schemas.microsoft.com/office/drawing/2014/main" id="{00000000-0008-0000-0100-00002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56" name="Drop Down 1" hidden="1">
          <a:extLst>
            <a:ext uri="{FF2B5EF4-FFF2-40B4-BE49-F238E27FC236}">
              <a16:creationId xmlns:a16="http://schemas.microsoft.com/office/drawing/2014/main" id="{00000000-0008-0000-0100-00002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57" name="Drop Down 2" hidden="1">
          <a:extLst>
            <a:ext uri="{FF2B5EF4-FFF2-40B4-BE49-F238E27FC236}">
              <a16:creationId xmlns:a16="http://schemas.microsoft.com/office/drawing/2014/main" id="{00000000-0008-0000-0100-00002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58" name="Drop Down 1" hidden="1">
          <a:extLst>
            <a:ext uri="{FF2B5EF4-FFF2-40B4-BE49-F238E27FC236}">
              <a16:creationId xmlns:a16="http://schemas.microsoft.com/office/drawing/2014/main" id="{00000000-0008-0000-0100-00002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59" name="Drop Down -1022" hidden="1">
          <a:extLst>
            <a:ext uri="{FF2B5EF4-FFF2-40B4-BE49-F238E27FC236}">
              <a16:creationId xmlns:a16="http://schemas.microsoft.com/office/drawing/2014/main" id="{00000000-0008-0000-0100-00002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60" name="Drop Down 1" hidden="1">
          <a:extLst>
            <a:ext uri="{FF2B5EF4-FFF2-40B4-BE49-F238E27FC236}">
              <a16:creationId xmlns:a16="http://schemas.microsoft.com/office/drawing/2014/main" id="{00000000-0008-0000-0100-00003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61" name="Drop Down 1" hidden="1">
          <a:extLst>
            <a:ext uri="{FF2B5EF4-FFF2-40B4-BE49-F238E27FC236}">
              <a16:creationId xmlns:a16="http://schemas.microsoft.com/office/drawing/2014/main" id="{00000000-0008-0000-0100-00003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62" name="Drop Down 1" hidden="1">
          <a:extLst>
            <a:ext uri="{FF2B5EF4-FFF2-40B4-BE49-F238E27FC236}">
              <a16:creationId xmlns:a16="http://schemas.microsoft.com/office/drawing/2014/main" id="{00000000-0008-0000-0100-00003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63" name="Drop Down 1" hidden="1">
          <a:extLst>
            <a:ext uri="{FF2B5EF4-FFF2-40B4-BE49-F238E27FC236}">
              <a16:creationId xmlns:a16="http://schemas.microsoft.com/office/drawing/2014/main" id="{00000000-0008-0000-0100-00003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64" name="Drop Down 2" hidden="1">
          <a:extLst>
            <a:ext uri="{FF2B5EF4-FFF2-40B4-BE49-F238E27FC236}">
              <a16:creationId xmlns:a16="http://schemas.microsoft.com/office/drawing/2014/main" id="{00000000-0008-0000-0100-00003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65" name="Drop Down 1" hidden="1">
          <a:extLst>
            <a:ext uri="{FF2B5EF4-FFF2-40B4-BE49-F238E27FC236}">
              <a16:creationId xmlns:a16="http://schemas.microsoft.com/office/drawing/2014/main" id="{00000000-0008-0000-0100-00003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66" name="Drop Down -1022" hidden="1">
          <a:extLst>
            <a:ext uri="{FF2B5EF4-FFF2-40B4-BE49-F238E27FC236}">
              <a16:creationId xmlns:a16="http://schemas.microsoft.com/office/drawing/2014/main" id="{00000000-0008-0000-0100-00003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67" name="Drop Down 1" hidden="1">
          <a:extLst>
            <a:ext uri="{FF2B5EF4-FFF2-40B4-BE49-F238E27FC236}">
              <a16:creationId xmlns:a16="http://schemas.microsoft.com/office/drawing/2014/main" id="{00000000-0008-0000-0100-00003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68" name="Drop Down 1" hidden="1">
          <a:extLst>
            <a:ext uri="{FF2B5EF4-FFF2-40B4-BE49-F238E27FC236}">
              <a16:creationId xmlns:a16="http://schemas.microsoft.com/office/drawing/2014/main" id="{00000000-0008-0000-0100-00003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69" name="Drop Down 1" hidden="1">
          <a:extLst>
            <a:ext uri="{FF2B5EF4-FFF2-40B4-BE49-F238E27FC236}">
              <a16:creationId xmlns:a16="http://schemas.microsoft.com/office/drawing/2014/main" id="{00000000-0008-0000-0100-00003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70" name="Drop Down 1" hidden="1">
          <a:extLst>
            <a:ext uri="{FF2B5EF4-FFF2-40B4-BE49-F238E27FC236}">
              <a16:creationId xmlns:a16="http://schemas.microsoft.com/office/drawing/2014/main" id="{00000000-0008-0000-0100-00003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71" name="Drop Down 2" hidden="1">
          <a:extLst>
            <a:ext uri="{FF2B5EF4-FFF2-40B4-BE49-F238E27FC236}">
              <a16:creationId xmlns:a16="http://schemas.microsoft.com/office/drawing/2014/main" id="{00000000-0008-0000-0100-00003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72" name="Drop Down 1" hidden="1">
          <a:extLst>
            <a:ext uri="{FF2B5EF4-FFF2-40B4-BE49-F238E27FC236}">
              <a16:creationId xmlns:a16="http://schemas.microsoft.com/office/drawing/2014/main" id="{00000000-0008-0000-0100-00003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73" name="Drop Down -1022" hidden="1">
          <a:extLst>
            <a:ext uri="{FF2B5EF4-FFF2-40B4-BE49-F238E27FC236}">
              <a16:creationId xmlns:a16="http://schemas.microsoft.com/office/drawing/2014/main" id="{00000000-0008-0000-0100-00003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74" name="Drop Down 1" hidden="1">
          <a:extLst>
            <a:ext uri="{FF2B5EF4-FFF2-40B4-BE49-F238E27FC236}">
              <a16:creationId xmlns:a16="http://schemas.microsoft.com/office/drawing/2014/main" id="{00000000-0008-0000-0100-00003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75" name="Drop Down 1" hidden="1">
          <a:extLst>
            <a:ext uri="{FF2B5EF4-FFF2-40B4-BE49-F238E27FC236}">
              <a16:creationId xmlns:a16="http://schemas.microsoft.com/office/drawing/2014/main" id="{00000000-0008-0000-0100-00003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76" name="Drop Down 1" hidden="1">
          <a:extLst>
            <a:ext uri="{FF2B5EF4-FFF2-40B4-BE49-F238E27FC236}">
              <a16:creationId xmlns:a16="http://schemas.microsoft.com/office/drawing/2014/main" id="{00000000-0008-0000-0100-00004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77" name="Drop Down 1" hidden="1">
          <a:extLst>
            <a:ext uri="{FF2B5EF4-FFF2-40B4-BE49-F238E27FC236}">
              <a16:creationId xmlns:a16="http://schemas.microsoft.com/office/drawing/2014/main" id="{00000000-0008-0000-0100-00004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78" name="Drop Down 2" hidden="1">
          <a:extLst>
            <a:ext uri="{FF2B5EF4-FFF2-40B4-BE49-F238E27FC236}">
              <a16:creationId xmlns:a16="http://schemas.microsoft.com/office/drawing/2014/main" id="{00000000-0008-0000-0100-00004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79" name="Drop Down 1" hidden="1">
          <a:extLst>
            <a:ext uri="{FF2B5EF4-FFF2-40B4-BE49-F238E27FC236}">
              <a16:creationId xmlns:a16="http://schemas.microsoft.com/office/drawing/2014/main" id="{00000000-0008-0000-0100-00004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6980" name="Drop Down -1022" hidden="1">
          <a:extLst>
            <a:ext uri="{FF2B5EF4-FFF2-40B4-BE49-F238E27FC236}">
              <a16:creationId xmlns:a16="http://schemas.microsoft.com/office/drawing/2014/main" id="{00000000-0008-0000-0100-00004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81" name="Drop Down 1" hidden="1">
          <a:extLst>
            <a:ext uri="{FF2B5EF4-FFF2-40B4-BE49-F238E27FC236}">
              <a16:creationId xmlns:a16="http://schemas.microsoft.com/office/drawing/2014/main" id="{00000000-0008-0000-0100-00004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82" name="Drop Down 1" hidden="1">
          <a:extLst>
            <a:ext uri="{FF2B5EF4-FFF2-40B4-BE49-F238E27FC236}">
              <a16:creationId xmlns:a16="http://schemas.microsoft.com/office/drawing/2014/main" id="{00000000-0008-0000-0100-00004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83" name="Drop Down 1" hidden="1">
          <a:extLst>
            <a:ext uri="{FF2B5EF4-FFF2-40B4-BE49-F238E27FC236}">
              <a16:creationId xmlns:a16="http://schemas.microsoft.com/office/drawing/2014/main" id="{00000000-0008-0000-0100-00004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84" name="Drop Down 1" hidden="1">
          <a:extLst>
            <a:ext uri="{FF2B5EF4-FFF2-40B4-BE49-F238E27FC236}">
              <a16:creationId xmlns:a16="http://schemas.microsoft.com/office/drawing/2014/main" id="{00000000-0008-0000-0100-00004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85" name="Drop Down 2" hidden="1">
          <a:extLst>
            <a:ext uri="{FF2B5EF4-FFF2-40B4-BE49-F238E27FC236}">
              <a16:creationId xmlns:a16="http://schemas.microsoft.com/office/drawing/2014/main" id="{00000000-0008-0000-0100-00004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86" name="Drop Down 1" hidden="1">
          <a:extLst>
            <a:ext uri="{FF2B5EF4-FFF2-40B4-BE49-F238E27FC236}">
              <a16:creationId xmlns:a16="http://schemas.microsoft.com/office/drawing/2014/main" id="{00000000-0008-0000-0100-00004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6987" name="Drop Down -1022" hidden="1">
          <a:extLst>
            <a:ext uri="{FF2B5EF4-FFF2-40B4-BE49-F238E27FC236}">
              <a16:creationId xmlns:a16="http://schemas.microsoft.com/office/drawing/2014/main" id="{00000000-0008-0000-0100-00004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88" name="Drop Down 1" hidden="1">
          <a:extLst>
            <a:ext uri="{FF2B5EF4-FFF2-40B4-BE49-F238E27FC236}">
              <a16:creationId xmlns:a16="http://schemas.microsoft.com/office/drawing/2014/main" id="{00000000-0008-0000-0100-00004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89" name="Drop Down 1" hidden="1">
          <a:extLst>
            <a:ext uri="{FF2B5EF4-FFF2-40B4-BE49-F238E27FC236}">
              <a16:creationId xmlns:a16="http://schemas.microsoft.com/office/drawing/2014/main" id="{00000000-0008-0000-0100-00004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90" name="Drop Down 1" hidden="1">
          <a:extLst>
            <a:ext uri="{FF2B5EF4-FFF2-40B4-BE49-F238E27FC236}">
              <a16:creationId xmlns:a16="http://schemas.microsoft.com/office/drawing/2014/main" id="{00000000-0008-0000-0100-00004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91" name="Drop Down 1" hidden="1">
          <a:extLst>
            <a:ext uri="{FF2B5EF4-FFF2-40B4-BE49-F238E27FC236}">
              <a16:creationId xmlns:a16="http://schemas.microsoft.com/office/drawing/2014/main" id="{00000000-0008-0000-0100-00004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92" name="Drop Down 2" hidden="1">
          <a:extLst>
            <a:ext uri="{FF2B5EF4-FFF2-40B4-BE49-F238E27FC236}">
              <a16:creationId xmlns:a16="http://schemas.microsoft.com/office/drawing/2014/main" id="{00000000-0008-0000-0100-00005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93" name="Drop Down 1" hidden="1">
          <a:extLst>
            <a:ext uri="{FF2B5EF4-FFF2-40B4-BE49-F238E27FC236}">
              <a16:creationId xmlns:a16="http://schemas.microsoft.com/office/drawing/2014/main" id="{00000000-0008-0000-0100-00005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6994" name="Drop Down -1022" hidden="1">
          <a:extLst>
            <a:ext uri="{FF2B5EF4-FFF2-40B4-BE49-F238E27FC236}">
              <a16:creationId xmlns:a16="http://schemas.microsoft.com/office/drawing/2014/main" id="{00000000-0008-0000-0100-00005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95" name="Drop Down 1" hidden="1">
          <a:extLst>
            <a:ext uri="{FF2B5EF4-FFF2-40B4-BE49-F238E27FC236}">
              <a16:creationId xmlns:a16="http://schemas.microsoft.com/office/drawing/2014/main" id="{00000000-0008-0000-0100-00005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96" name="Drop Down 1" hidden="1">
          <a:extLst>
            <a:ext uri="{FF2B5EF4-FFF2-40B4-BE49-F238E27FC236}">
              <a16:creationId xmlns:a16="http://schemas.microsoft.com/office/drawing/2014/main" id="{00000000-0008-0000-0100-00005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97" name="Drop Down 1" hidden="1">
          <a:extLst>
            <a:ext uri="{FF2B5EF4-FFF2-40B4-BE49-F238E27FC236}">
              <a16:creationId xmlns:a16="http://schemas.microsoft.com/office/drawing/2014/main" id="{00000000-0008-0000-0100-00005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98" name="Drop Down 1" hidden="1">
          <a:extLst>
            <a:ext uri="{FF2B5EF4-FFF2-40B4-BE49-F238E27FC236}">
              <a16:creationId xmlns:a16="http://schemas.microsoft.com/office/drawing/2014/main" id="{00000000-0008-0000-0100-00005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6999" name="Drop Down 2" hidden="1">
          <a:extLst>
            <a:ext uri="{FF2B5EF4-FFF2-40B4-BE49-F238E27FC236}">
              <a16:creationId xmlns:a16="http://schemas.microsoft.com/office/drawing/2014/main" id="{00000000-0008-0000-0100-00005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00" name="Drop Down 1" hidden="1">
          <a:extLst>
            <a:ext uri="{FF2B5EF4-FFF2-40B4-BE49-F238E27FC236}">
              <a16:creationId xmlns:a16="http://schemas.microsoft.com/office/drawing/2014/main" id="{00000000-0008-0000-0100-00005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01" name="Drop Down -1022" hidden="1">
          <a:extLst>
            <a:ext uri="{FF2B5EF4-FFF2-40B4-BE49-F238E27FC236}">
              <a16:creationId xmlns:a16="http://schemas.microsoft.com/office/drawing/2014/main" id="{00000000-0008-0000-0100-00005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02" name="Drop Down 1" hidden="1">
          <a:extLst>
            <a:ext uri="{FF2B5EF4-FFF2-40B4-BE49-F238E27FC236}">
              <a16:creationId xmlns:a16="http://schemas.microsoft.com/office/drawing/2014/main" id="{00000000-0008-0000-0100-00005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03" name="Drop Down 1" hidden="1">
          <a:extLst>
            <a:ext uri="{FF2B5EF4-FFF2-40B4-BE49-F238E27FC236}">
              <a16:creationId xmlns:a16="http://schemas.microsoft.com/office/drawing/2014/main" id="{00000000-0008-0000-0100-00005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04" name="Drop Down 1" hidden="1">
          <a:extLst>
            <a:ext uri="{FF2B5EF4-FFF2-40B4-BE49-F238E27FC236}">
              <a16:creationId xmlns:a16="http://schemas.microsoft.com/office/drawing/2014/main" id="{00000000-0008-0000-0100-00005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05" name="Drop Down 1" hidden="1">
          <a:extLst>
            <a:ext uri="{FF2B5EF4-FFF2-40B4-BE49-F238E27FC236}">
              <a16:creationId xmlns:a16="http://schemas.microsoft.com/office/drawing/2014/main" id="{00000000-0008-0000-0100-00005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06" name="Drop Down 2" hidden="1">
          <a:extLst>
            <a:ext uri="{FF2B5EF4-FFF2-40B4-BE49-F238E27FC236}">
              <a16:creationId xmlns:a16="http://schemas.microsoft.com/office/drawing/2014/main" id="{00000000-0008-0000-0100-00005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07" name="Drop Down 1" hidden="1">
          <a:extLst>
            <a:ext uri="{FF2B5EF4-FFF2-40B4-BE49-F238E27FC236}">
              <a16:creationId xmlns:a16="http://schemas.microsoft.com/office/drawing/2014/main" id="{00000000-0008-0000-0100-00005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08" name="Drop Down -1022" hidden="1">
          <a:extLst>
            <a:ext uri="{FF2B5EF4-FFF2-40B4-BE49-F238E27FC236}">
              <a16:creationId xmlns:a16="http://schemas.microsoft.com/office/drawing/2014/main" id="{00000000-0008-0000-0100-00006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09" name="Drop Down 1" hidden="1">
          <a:extLst>
            <a:ext uri="{FF2B5EF4-FFF2-40B4-BE49-F238E27FC236}">
              <a16:creationId xmlns:a16="http://schemas.microsoft.com/office/drawing/2014/main" id="{00000000-0008-0000-0100-00006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10" name="Drop Down 1" hidden="1">
          <a:extLst>
            <a:ext uri="{FF2B5EF4-FFF2-40B4-BE49-F238E27FC236}">
              <a16:creationId xmlns:a16="http://schemas.microsoft.com/office/drawing/2014/main" id="{00000000-0008-0000-0100-00006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11" name="Drop Down 1" hidden="1">
          <a:extLst>
            <a:ext uri="{FF2B5EF4-FFF2-40B4-BE49-F238E27FC236}">
              <a16:creationId xmlns:a16="http://schemas.microsoft.com/office/drawing/2014/main" id="{00000000-0008-0000-0100-00006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12" name="Drop Down 1" hidden="1">
          <a:extLst>
            <a:ext uri="{FF2B5EF4-FFF2-40B4-BE49-F238E27FC236}">
              <a16:creationId xmlns:a16="http://schemas.microsoft.com/office/drawing/2014/main" id="{00000000-0008-0000-0100-00006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13" name="Drop Down 2" hidden="1">
          <a:extLst>
            <a:ext uri="{FF2B5EF4-FFF2-40B4-BE49-F238E27FC236}">
              <a16:creationId xmlns:a16="http://schemas.microsoft.com/office/drawing/2014/main" id="{00000000-0008-0000-0100-00006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14" name="Drop Down 1" hidden="1">
          <a:extLst>
            <a:ext uri="{FF2B5EF4-FFF2-40B4-BE49-F238E27FC236}">
              <a16:creationId xmlns:a16="http://schemas.microsoft.com/office/drawing/2014/main" id="{00000000-0008-0000-0100-00006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15" name="Drop Down -1022" hidden="1">
          <a:extLst>
            <a:ext uri="{FF2B5EF4-FFF2-40B4-BE49-F238E27FC236}">
              <a16:creationId xmlns:a16="http://schemas.microsoft.com/office/drawing/2014/main" id="{00000000-0008-0000-0100-00006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16" name="Drop Down 1" hidden="1">
          <a:extLst>
            <a:ext uri="{FF2B5EF4-FFF2-40B4-BE49-F238E27FC236}">
              <a16:creationId xmlns:a16="http://schemas.microsoft.com/office/drawing/2014/main" id="{00000000-0008-0000-0100-00006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17" name="Drop Down 1" hidden="1">
          <a:extLst>
            <a:ext uri="{FF2B5EF4-FFF2-40B4-BE49-F238E27FC236}">
              <a16:creationId xmlns:a16="http://schemas.microsoft.com/office/drawing/2014/main" id="{00000000-0008-0000-0100-00006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18" name="Drop Down 1" hidden="1">
          <a:extLst>
            <a:ext uri="{FF2B5EF4-FFF2-40B4-BE49-F238E27FC236}">
              <a16:creationId xmlns:a16="http://schemas.microsoft.com/office/drawing/2014/main" id="{00000000-0008-0000-0100-00006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19" name="Drop Down 1" hidden="1">
          <a:extLst>
            <a:ext uri="{FF2B5EF4-FFF2-40B4-BE49-F238E27FC236}">
              <a16:creationId xmlns:a16="http://schemas.microsoft.com/office/drawing/2014/main" id="{00000000-0008-0000-0100-00006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20" name="Drop Down 2" hidden="1">
          <a:extLst>
            <a:ext uri="{FF2B5EF4-FFF2-40B4-BE49-F238E27FC236}">
              <a16:creationId xmlns:a16="http://schemas.microsoft.com/office/drawing/2014/main" id="{00000000-0008-0000-0100-00006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21" name="Drop Down 1" hidden="1">
          <a:extLst>
            <a:ext uri="{FF2B5EF4-FFF2-40B4-BE49-F238E27FC236}">
              <a16:creationId xmlns:a16="http://schemas.microsoft.com/office/drawing/2014/main" id="{00000000-0008-0000-0100-00006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22" name="Drop Down -1022" hidden="1">
          <a:extLst>
            <a:ext uri="{FF2B5EF4-FFF2-40B4-BE49-F238E27FC236}">
              <a16:creationId xmlns:a16="http://schemas.microsoft.com/office/drawing/2014/main" id="{00000000-0008-0000-0100-00006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23" name="Drop Down 1" hidden="1">
          <a:extLst>
            <a:ext uri="{FF2B5EF4-FFF2-40B4-BE49-F238E27FC236}">
              <a16:creationId xmlns:a16="http://schemas.microsoft.com/office/drawing/2014/main" id="{00000000-0008-0000-0100-00006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24" name="Drop Down 1" hidden="1">
          <a:extLst>
            <a:ext uri="{FF2B5EF4-FFF2-40B4-BE49-F238E27FC236}">
              <a16:creationId xmlns:a16="http://schemas.microsoft.com/office/drawing/2014/main" id="{00000000-0008-0000-0100-00007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25" name="Drop Down 1" hidden="1">
          <a:extLst>
            <a:ext uri="{FF2B5EF4-FFF2-40B4-BE49-F238E27FC236}">
              <a16:creationId xmlns:a16="http://schemas.microsoft.com/office/drawing/2014/main" id="{00000000-0008-0000-0100-00007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26" name="Drop Down 1" hidden="1">
          <a:extLst>
            <a:ext uri="{FF2B5EF4-FFF2-40B4-BE49-F238E27FC236}">
              <a16:creationId xmlns:a16="http://schemas.microsoft.com/office/drawing/2014/main" id="{00000000-0008-0000-0100-00007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27" name="Drop Down 2" hidden="1">
          <a:extLst>
            <a:ext uri="{FF2B5EF4-FFF2-40B4-BE49-F238E27FC236}">
              <a16:creationId xmlns:a16="http://schemas.microsoft.com/office/drawing/2014/main" id="{00000000-0008-0000-0100-00007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28" name="Drop Down 1" hidden="1">
          <a:extLst>
            <a:ext uri="{FF2B5EF4-FFF2-40B4-BE49-F238E27FC236}">
              <a16:creationId xmlns:a16="http://schemas.microsoft.com/office/drawing/2014/main" id="{00000000-0008-0000-0100-00007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29" name="Drop Down -1022" hidden="1">
          <a:extLst>
            <a:ext uri="{FF2B5EF4-FFF2-40B4-BE49-F238E27FC236}">
              <a16:creationId xmlns:a16="http://schemas.microsoft.com/office/drawing/2014/main" id="{00000000-0008-0000-0100-00007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30" name="Drop Down 1" hidden="1">
          <a:extLst>
            <a:ext uri="{FF2B5EF4-FFF2-40B4-BE49-F238E27FC236}">
              <a16:creationId xmlns:a16="http://schemas.microsoft.com/office/drawing/2014/main" id="{00000000-0008-0000-0100-00007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31" name="Drop Down 1" hidden="1">
          <a:extLst>
            <a:ext uri="{FF2B5EF4-FFF2-40B4-BE49-F238E27FC236}">
              <a16:creationId xmlns:a16="http://schemas.microsoft.com/office/drawing/2014/main" id="{00000000-0008-0000-0100-00007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32" name="Drop Down 1" hidden="1">
          <a:extLst>
            <a:ext uri="{FF2B5EF4-FFF2-40B4-BE49-F238E27FC236}">
              <a16:creationId xmlns:a16="http://schemas.microsoft.com/office/drawing/2014/main" id="{00000000-0008-0000-0100-00007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33" name="Drop Down 1" hidden="1">
          <a:extLst>
            <a:ext uri="{FF2B5EF4-FFF2-40B4-BE49-F238E27FC236}">
              <a16:creationId xmlns:a16="http://schemas.microsoft.com/office/drawing/2014/main" id="{00000000-0008-0000-0100-00007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34" name="Drop Down 2" hidden="1">
          <a:extLst>
            <a:ext uri="{FF2B5EF4-FFF2-40B4-BE49-F238E27FC236}">
              <a16:creationId xmlns:a16="http://schemas.microsoft.com/office/drawing/2014/main" id="{00000000-0008-0000-0100-00007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35" name="Drop Down 1" hidden="1">
          <a:extLst>
            <a:ext uri="{FF2B5EF4-FFF2-40B4-BE49-F238E27FC236}">
              <a16:creationId xmlns:a16="http://schemas.microsoft.com/office/drawing/2014/main" id="{00000000-0008-0000-0100-00007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36" name="Drop Down -1022" hidden="1">
          <a:extLst>
            <a:ext uri="{FF2B5EF4-FFF2-40B4-BE49-F238E27FC236}">
              <a16:creationId xmlns:a16="http://schemas.microsoft.com/office/drawing/2014/main" id="{00000000-0008-0000-0100-00007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37" name="Drop Down 1" hidden="1">
          <a:extLst>
            <a:ext uri="{FF2B5EF4-FFF2-40B4-BE49-F238E27FC236}">
              <a16:creationId xmlns:a16="http://schemas.microsoft.com/office/drawing/2014/main" id="{00000000-0008-0000-0100-00007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38" name="Drop Down 1" hidden="1">
          <a:extLst>
            <a:ext uri="{FF2B5EF4-FFF2-40B4-BE49-F238E27FC236}">
              <a16:creationId xmlns:a16="http://schemas.microsoft.com/office/drawing/2014/main" id="{00000000-0008-0000-0100-00007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39" name="Drop Down 1" hidden="1">
          <a:extLst>
            <a:ext uri="{FF2B5EF4-FFF2-40B4-BE49-F238E27FC236}">
              <a16:creationId xmlns:a16="http://schemas.microsoft.com/office/drawing/2014/main" id="{00000000-0008-0000-0100-00007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40" name="Drop Down 1" hidden="1">
          <a:extLst>
            <a:ext uri="{FF2B5EF4-FFF2-40B4-BE49-F238E27FC236}">
              <a16:creationId xmlns:a16="http://schemas.microsoft.com/office/drawing/2014/main" id="{00000000-0008-0000-0100-00008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41" name="Drop Down 2" hidden="1">
          <a:extLst>
            <a:ext uri="{FF2B5EF4-FFF2-40B4-BE49-F238E27FC236}">
              <a16:creationId xmlns:a16="http://schemas.microsoft.com/office/drawing/2014/main" id="{00000000-0008-0000-0100-00008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42" name="Drop Down 1" hidden="1">
          <a:extLst>
            <a:ext uri="{FF2B5EF4-FFF2-40B4-BE49-F238E27FC236}">
              <a16:creationId xmlns:a16="http://schemas.microsoft.com/office/drawing/2014/main" id="{00000000-0008-0000-0100-00008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43" name="Drop Down -1022" hidden="1">
          <a:extLst>
            <a:ext uri="{FF2B5EF4-FFF2-40B4-BE49-F238E27FC236}">
              <a16:creationId xmlns:a16="http://schemas.microsoft.com/office/drawing/2014/main" id="{00000000-0008-0000-0100-00008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44" name="Drop Down 1" hidden="1">
          <a:extLst>
            <a:ext uri="{FF2B5EF4-FFF2-40B4-BE49-F238E27FC236}">
              <a16:creationId xmlns:a16="http://schemas.microsoft.com/office/drawing/2014/main" id="{00000000-0008-0000-0100-00008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45" name="Drop Down 1" hidden="1">
          <a:extLst>
            <a:ext uri="{FF2B5EF4-FFF2-40B4-BE49-F238E27FC236}">
              <a16:creationId xmlns:a16="http://schemas.microsoft.com/office/drawing/2014/main" id="{00000000-0008-0000-0100-00008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46" name="Drop Down 1" hidden="1">
          <a:extLst>
            <a:ext uri="{FF2B5EF4-FFF2-40B4-BE49-F238E27FC236}">
              <a16:creationId xmlns:a16="http://schemas.microsoft.com/office/drawing/2014/main" id="{00000000-0008-0000-0100-00008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47" name="Drop Down 1" hidden="1">
          <a:extLst>
            <a:ext uri="{FF2B5EF4-FFF2-40B4-BE49-F238E27FC236}">
              <a16:creationId xmlns:a16="http://schemas.microsoft.com/office/drawing/2014/main" id="{00000000-0008-0000-0100-00008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48" name="Drop Down 2" hidden="1">
          <a:extLst>
            <a:ext uri="{FF2B5EF4-FFF2-40B4-BE49-F238E27FC236}">
              <a16:creationId xmlns:a16="http://schemas.microsoft.com/office/drawing/2014/main" id="{00000000-0008-0000-0100-00008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49" name="Drop Down 1" hidden="1">
          <a:extLst>
            <a:ext uri="{FF2B5EF4-FFF2-40B4-BE49-F238E27FC236}">
              <a16:creationId xmlns:a16="http://schemas.microsoft.com/office/drawing/2014/main" id="{00000000-0008-0000-0100-00008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50" name="Drop Down -1022" hidden="1">
          <a:extLst>
            <a:ext uri="{FF2B5EF4-FFF2-40B4-BE49-F238E27FC236}">
              <a16:creationId xmlns:a16="http://schemas.microsoft.com/office/drawing/2014/main" id="{00000000-0008-0000-0100-00008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51" name="Drop Down 1" hidden="1">
          <a:extLst>
            <a:ext uri="{FF2B5EF4-FFF2-40B4-BE49-F238E27FC236}">
              <a16:creationId xmlns:a16="http://schemas.microsoft.com/office/drawing/2014/main" id="{00000000-0008-0000-0100-00008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52" name="Drop Down 1" hidden="1">
          <a:extLst>
            <a:ext uri="{FF2B5EF4-FFF2-40B4-BE49-F238E27FC236}">
              <a16:creationId xmlns:a16="http://schemas.microsoft.com/office/drawing/2014/main" id="{00000000-0008-0000-0100-00008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53" name="Drop Down 1" hidden="1">
          <a:extLst>
            <a:ext uri="{FF2B5EF4-FFF2-40B4-BE49-F238E27FC236}">
              <a16:creationId xmlns:a16="http://schemas.microsoft.com/office/drawing/2014/main" id="{00000000-0008-0000-0100-00008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54" name="Drop Down 1" hidden="1">
          <a:extLst>
            <a:ext uri="{FF2B5EF4-FFF2-40B4-BE49-F238E27FC236}">
              <a16:creationId xmlns:a16="http://schemas.microsoft.com/office/drawing/2014/main" id="{00000000-0008-0000-0100-00008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55" name="Drop Down 2" hidden="1">
          <a:extLst>
            <a:ext uri="{FF2B5EF4-FFF2-40B4-BE49-F238E27FC236}">
              <a16:creationId xmlns:a16="http://schemas.microsoft.com/office/drawing/2014/main" id="{00000000-0008-0000-0100-00008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56" name="Drop Down 1" hidden="1">
          <a:extLst>
            <a:ext uri="{FF2B5EF4-FFF2-40B4-BE49-F238E27FC236}">
              <a16:creationId xmlns:a16="http://schemas.microsoft.com/office/drawing/2014/main" id="{00000000-0008-0000-0100-00009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57" name="Drop Down -1022" hidden="1">
          <a:extLst>
            <a:ext uri="{FF2B5EF4-FFF2-40B4-BE49-F238E27FC236}">
              <a16:creationId xmlns:a16="http://schemas.microsoft.com/office/drawing/2014/main" id="{00000000-0008-0000-0100-00009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58" name="Drop Down 1" hidden="1">
          <a:extLst>
            <a:ext uri="{FF2B5EF4-FFF2-40B4-BE49-F238E27FC236}">
              <a16:creationId xmlns:a16="http://schemas.microsoft.com/office/drawing/2014/main" id="{00000000-0008-0000-0100-00009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59" name="Drop Down 1" hidden="1">
          <a:extLst>
            <a:ext uri="{FF2B5EF4-FFF2-40B4-BE49-F238E27FC236}">
              <a16:creationId xmlns:a16="http://schemas.microsoft.com/office/drawing/2014/main" id="{00000000-0008-0000-0100-00009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60" name="Drop Down 1" hidden="1">
          <a:extLst>
            <a:ext uri="{FF2B5EF4-FFF2-40B4-BE49-F238E27FC236}">
              <a16:creationId xmlns:a16="http://schemas.microsoft.com/office/drawing/2014/main" id="{00000000-0008-0000-0100-00009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61" name="Drop Down 1" hidden="1">
          <a:extLst>
            <a:ext uri="{FF2B5EF4-FFF2-40B4-BE49-F238E27FC236}">
              <a16:creationId xmlns:a16="http://schemas.microsoft.com/office/drawing/2014/main" id="{00000000-0008-0000-0100-00009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62" name="Drop Down 2" hidden="1">
          <a:extLst>
            <a:ext uri="{FF2B5EF4-FFF2-40B4-BE49-F238E27FC236}">
              <a16:creationId xmlns:a16="http://schemas.microsoft.com/office/drawing/2014/main" id="{00000000-0008-0000-0100-00009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63" name="Drop Down 1" hidden="1">
          <a:extLst>
            <a:ext uri="{FF2B5EF4-FFF2-40B4-BE49-F238E27FC236}">
              <a16:creationId xmlns:a16="http://schemas.microsoft.com/office/drawing/2014/main" id="{00000000-0008-0000-0100-00009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64" name="Drop Down -1022" hidden="1">
          <a:extLst>
            <a:ext uri="{FF2B5EF4-FFF2-40B4-BE49-F238E27FC236}">
              <a16:creationId xmlns:a16="http://schemas.microsoft.com/office/drawing/2014/main" id="{00000000-0008-0000-0100-00009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65" name="Drop Down 1" hidden="1">
          <a:extLst>
            <a:ext uri="{FF2B5EF4-FFF2-40B4-BE49-F238E27FC236}">
              <a16:creationId xmlns:a16="http://schemas.microsoft.com/office/drawing/2014/main" id="{00000000-0008-0000-0100-00009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66" name="Drop Down 1" hidden="1">
          <a:extLst>
            <a:ext uri="{FF2B5EF4-FFF2-40B4-BE49-F238E27FC236}">
              <a16:creationId xmlns:a16="http://schemas.microsoft.com/office/drawing/2014/main" id="{00000000-0008-0000-0100-00009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67" name="Drop Down 1" hidden="1">
          <a:extLst>
            <a:ext uri="{FF2B5EF4-FFF2-40B4-BE49-F238E27FC236}">
              <a16:creationId xmlns:a16="http://schemas.microsoft.com/office/drawing/2014/main" id="{00000000-0008-0000-0100-00009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68" name="Drop Down 1" hidden="1">
          <a:extLst>
            <a:ext uri="{FF2B5EF4-FFF2-40B4-BE49-F238E27FC236}">
              <a16:creationId xmlns:a16="http://schemas.microsoft.com/office/drawing/2014/main" id="{00000000-0008-0000-0100-00009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69" name="Drop Down 2" hidden="1">
          <a:extLst>
            <a:ext uri="{FF2B5EF4-FFF2-40B4-BE49-F238E27FC236}">
              <a16:creationId xmlns:a16="http://schemas.microsoft.com/office/drawing/2014/main" id="{00000000-0008-0000-0100-00009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70" name="Drop Down 1" hidden="1">
          <a:extLst>
            <a:ext uri="{FF2B5EF4-FFF2-40B4-BE49-F238E27FC236}">
              <a16:creationId xmlns:a16="http://schemas.microsoft.com/office/drawing/2014/main" id="{00000000-0008-0000-0100-00009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71" name="Drop Down -1022" hidden="1">
          <a:extLst>
            <a:ext uri="{FF2B5EF4-FFF2-40B4-BE49-F238E27FC236}">
              <a16:creationId xmlns:a16="http://schemas.microsoft.com/office/drawing/2014/main" id="{00000000-0008-0000-0100-00009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7072" name="Drop Down 1" hidden="1">
          <a:extLst>
            <a:ext uri="{FF2B5EF4-FFF2-40B4-BE49-F238E27FC236}">
              <a16:creationId xmlns:a16="http://schemas.microsoft.com/office/drawing/2014/main" id="{00000000-0008-0000-0100-0000A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7073" name="Drop Down 1" hidden="1">
          <a:extLst>
            <a:ext uri="{FF2B5EF4-FFF2-40B4-BE49-F238E27FC236}">
              <a16:creationId xmlns:a16="http://schemas.microsoft.com/office/drawing/2014/main" id="{00000000-0008-0000-0100-0000A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7074" name="Drop Down 1" hidden="1">
          <a:extLst>
            <a:ext uri="{FF2B5EF4-FFF2-40B4-BE49-F238E27FC236}">
              <a16:creationId xmlns:a16="http://schemas.microsoft.com/office/drawing/2014/main" id="{00000000-0008-0000-0100-0000A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7075" name="Drop Down 1" hidden="1">
          <a:extLst>
            <a:ext uri="{FF2B5EF4-FFF2-40B4-BE49-F238E27FC236}">
              <a16:creationId xmlns:a16="http://schemas.microsoft.com/office/drawing/2014/main" id="{00000000-0008-0000-0100-0000A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7076" name="Drop Down 2" hidden="1">
          <a:extLst>
            <a:ext uri="{FF2B5EF4-FFF2-40B4-BE49-F238E27FC236}">
              <a16:creationId xmlns:a16="http://schemas.microsoft.com/office/drawing/2014/main" id="{00000000-0008-0000-0100-0000A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7077" name="Drop Down 1" hidden="1">
          <a:extLst>
            <a:ext uri="{FF2B5EF4-FFF2-40B4-BE49-F238E27FC236}">
              <a16:creationId xmlns:a16="http://schemas.microsoft.com/office/drawing/2014/main" id="{00000000-0008-0000-0100-0000A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7078" name="Drop Down -1022" hidden="1">
          <a:extLst>
            <a:ext uri="{FF2B5EF4-FFF2-40B4-BE49-F238E27FC236}">
              <a16:creationId xmlns:a16="http://schemas.microsoft.com/office/drawing/2014/main" id="{00000000-0008-0000-0100-0000A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79" name="Drop Down 1" hidden="1">
          <a:extLst>
            <a:ext uri="{FF2B5EF4-FFF2-40B4-BE49-F238E27FC236}">
              <a16:creationId xmlns:a16="http://schemas.microsoft.com/office/drawing/2014/main" id="{00000000-0008-0000-0100-0000A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80" name="Drop Down 1" hidden="1">
          <a:extLst>
            <a:ext uri="{FF2B5EF4-FFF2-40B4-BE49-F238E27FC236}">
              <a16:creationId xmlns:a16="http://schemas.microsoft.com/office/drawing/2014/main" id="{00000000-0008-0000-0100-0000A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81" name="Drop Down 1" hidden="1">
          <a:extLst>
            <a:ext uri="{FF2B5EF4-FFF2-40B4-BE49-F238E27FC236}">
              <a16:creationId xmlns:a16="http://schemas.microsoft.com/office/drawing/2014/main" id="{00000000-0008-0000-0100-0000A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82" name="Drop Down 1" hidden="1">
          <a:extLst>
            <a:ext uri="{FF2B5EF4-FFF2-40B4-BE49-F238E27FC236}">
              <a16:creationId xmlns:a16="http://schemas.microsoft.com/office/drawing/2014/main" id="{00000000-0008-0000-0100-0000A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83" name="Drop Down 2" hidden="1">
          <a:extLst>
            <a:ext uri="{FF2B5EF4-FFF2-40B4-BE49-F238E27FC236}">
              <a16:creationId xmlns:a16="http://schemas.microsoft.com/office/drawing/2014/main" id="{00000000-0008-0000-0100-0000A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84" name="Drop Down 1" hidden="1">
          <a:extLst>
            <a:ext uri="{FF2B5EF4-FFF2-40B4-BE49-F238E27FC236}">
              <a16:creationId xmlns:a16="http://schemas.microsoft.com/office/drawing/2014/main" id="{00000000-0008-0000-0100-0000A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7085" name="Drop Down -1022" hidden="1">
          <a:extLst>
            <a:ext uri="{FF2B5EF4-FFF2-40B4-BE49-F238E27FC236}">
              <a16:creationId xmlns:a16="http://schemas.microsoft.com/office/drawing/2014/main" id="{00000000-0008-0000-0100-0000A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86" name="Drop Down 1" hidden="1">
          <a:extLst>
            <a:ext uri="{FF2B5EF4-FFF2-40B4-BE49-F238E27FC236}">
              <a16:creationId xmlns:a16="http://schemas.microsoft.com/office/drawing/2014/main" id="{00000000-0008-0000-0100-0000A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87" name="Drop Down 1" hidden="1">
          <a:extLst>
            <a:ext uri="{FF2B5EF4-FFF2-40B4-BE49-F238E27FC236}">
              <a16:creationId xmlns:a16="http://schemas.microsoft.com/office/drawing/2014/main" id="{00000000-0008-0000-0100-0000A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88" name="Drop Down 1" hidden="1">
          <a:extLst>
            <a:ext uri="{FF2B5EF4-FFF2-40B4-BE49-F238E27FC236}">
              <a16:creationId xmlns:a16="http://schemas.microsoft.com/office/drawing/2014/main" id="{00000000-0008-0000-0100-0000B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89" name="Drop Down 1" hidden="1">
          <a:extLst>
            <a:ext uri="{FF2B5EF4-FFF2-40B4-BE49-F238E27FC236}">
              <a16:creationId xmlns:a16="http://schemas.microsoft.com/office/drawing/2014/main" id="{00000000-0008-0000-0100-0000B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90" name="Drop Down 2" hidden="1">
          <a:extLst>
            <a:ext uri="{FF2B5EF4-FFF2-40B4-BE49-F238E27FC236}">
              <a16:creationId xmlns:a16="http://schemas.microsoft.com/office/drawing/2014/main" id="{00000000-0008-0000-0100-0000B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91" name="Drop Down 1" hidden="1">
          <a:extLst>
            <a:ext uri="{FF2B5EF4-FFF2-40B4-BE49-F238E27FC236}">
              <a16:creationId xmlns:a16="http://schemas.microsoft.com/office/drawing/2014/main" id="{00000000-0008-0000-0100-0000B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092" name="Drop Down -1022" hidden="1">
          <a:extLst>
            <a:ext uri="{FF2B5EF4-FFF2-40B4-BE49-F238E27FC236}">
              <a16:creationId xmlns:a16="http://schemas.microsoft.com/office/drawing/2014/main" id="{00000000-0008-0000-0100-0000B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93" name="Drop Down 1" hidden="1">
          <a:extLst>
            <a:ext uri="{FF2B5EF4-FFF2-40B4-BE49-F238E27FC236}">
              <a16:creationId xmlns:a16="http://schemas.microsoft.com/office/drawing/2014/main" id="{00000000-0008-0000-0100-0000B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94" name="Drop Down 1" hidden="1">
          <a:extLst>
            <a:ext uri="{FF2B5EF4-FFF2-40B4-BE49-F238E27FC236}">
              <a16:creationId xmlns:a16="http://schemas.microsoft.com/office/drawing/2014/main" id="{00000000-0008-0000-0100-0000B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95" name="Drop Down 1" hidden="1">
          <a:extLst>
            <a:ext uri="{FF2B5EF4-FFF2-40B4-BE49-F238E27FC236}">
              <a16:creationId xmlns:a16="http://schemas.microsoft.com/office/drawing/2014/main" id="{00000000-0008-0000-0100-0000B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96" name="Drop Down 1" hidden="1">
          <a:extLst>
            <a:ext uri="{FF2B5EF4-FFF2-40B4-BE49-F238E27FC236}">
              <a16:creationId xmlns:a16="http://schemas.microsoft.com/office/drawing/2014/main" id="{00000000-0008-0000-0100-0000B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97" name="Drop Down 2" hidden="1">
          <a:extLst>
            <a:ext uri="{FF2B5EF4-FFF2-40B4-BE49-F238E27FC236}">
              <a16:creationId xmlns:a16="http://schemas.microsoft.com/office/drawing/2014/main" id="{00000000-0008-0000-0100-0000B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98" name="Drop Down 1" hidden="1">
          <a:extLst>
            <a:ext uri="{FF2B5EF4-FFF2-40B4-BE49-F238E27FC236}">
              <a16:creationId xmlns:a16="http://schemas.microsoft.com/office/drawing/2014/main" id="{00000000-0008-0000-0100-0000B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099" name="Drop Down -1022" hidden="1">
          <a:extLst>
            <a:ext uri="{FF2B5EF4-FFF2-40B4-BE49-F238E27FC236}">
              <a16:creationId xmlns:a16="http://schemas.microsoft.com/office/drawing/2014/main" id="{00000000-0008-0000-0100-0000B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00" name="Drop Down 1" hidden="1">
          <a:extLst>
            <a:ext uri="{FF2B5EF4-FFF2-40B4-BE49-F238E27FC236}">
              <a16:creationId xmlns:a16="http://schemas.microsoft.com/office/drawing/2014/main" id="{00000000-0008-0000-0100-0000B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01" name="Drop Down 1" hidden="1">
          <a:extLst>
            <a:ext uri="{FF2B5EF4-FFF2-40B4-BE49-F238E27FC236}">
              <a16:creationId xmlns:a16="http://schemas.microsoft.com/office/drawing/2014/main" id="{00000000-0008-0000-0100-0000B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02" name="Drop Down 1" hidden="1">
          <a:extLst>
            <a:ext uri="{FF2B5EF4-FFF2-40B4-BE49-F238E27FC236}">
              <a16:creationId xmlns:a16="http://schemas.microsoft.com/office/drawing/2014/main" id="{00000000-0008-0000-0100-0000B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03" name="Drop Down 1" hidden="1">
          <a:extLst>
            <a:ext uri="{FF2B5EF4-FFF2-40B4-BE49-F238E27FC236}">
              <a16:creationId xmlns:a16="http://schemas.microsoft.com/office/drawing/2014/main" id="{00000000-0008-0000-0100-0000B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04" name="Drop Down 2" hidden="1">
          <a:extLst>
            <a:ext uri="{FF2B5EF4-FFF2-40B4-BE49-F238E27FC236}">
              <a16:creationId xmlns:a16="http://schemas.microsoft.com/office/drawing/2014/main" id="{00000000-0008-0000-0100-0000C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05" name="Drop Down 1" hidden="1">
          <a:extLst>
            <a:ext uri="{FF2B5EF4-FFF2-40B4-BE49-F238E27FC236}">
              <a16:creationId xmlns:a16="http://schemas.microsoft.com/office/drawing/2014/main" id="{00000000-0008-0000-0100-0000C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06" name="Drop Down -1022" hidden="1">
          <a:extLst>
            <a:ext uri="{FF2B5EF4-FFF2-40B4-BE49-F238E27FC236}">
              <a16:creationId xmlns:a16="http://schemas.microsoft.com/office/drawing/2014/main" id="{00000000-0008-0000-0100-0000C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07" name="Drop Down 1" hidden="1">
          <a:extLst>
            <a:ext uri="{FF2B5EF4-FFF2-40B4-BE49-F238E27FC236}">
              <a16:creationId xmlns:a16="http://schemas.microsoft.com/office/drawing/2014/main" id="{00000000-0008-0000-0100-0000C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08" name="Drop Down 1" hidden="1">
          <a:extLst>
            <a:ext uri="{FF2B5EF4-FFF2-40B4-BE49-F238E27FC236}">
              <a16:creationId xmlns:a16="http://schemas.microsoft.com/office/drawing/2014/main" id="{00000000-0008-0000-0100-0000C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09" name="Drop Down 1" hidden="1">
          <a:extLst>
            <a:ext uri="{FF2B5EF4-FFF2-40B4-BE49-F238E27FC236}">
              <a16:creationId xmlns:a16="http://schemas.microsoft.com/office/drawing/2014/main" id="{00000000-0008-0000-0100-0000C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10" name="Drop Down 1" hidden="1">
          <a:extLst>
            <a:ext uri="{FF2B5EF4-FFF2-40B4-BE49-F238E27FC236}">
              <a16:creationId xmlns:a16="http://schemas.microsoft.com/office/drawing/2014/main" id="{00000000-0008-0000-0100-0000C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11" name="Drop Down 2" hidden="1">
          <a:extLst>
            <a:ext uri="{FF2B5EF4-FFF2-40B4-BE49-F238E27FC236}">
              <a16:creationId xmlns:a16="http://schemas.microsoft.com/office/drawing/2014/main" id="{00000000-0008-0000-0100-0000C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12" name="Drop Down 1" hidden="1">
          <a:extLst>
            <a:ext uri="{FF2B5EF4-FFF2-40B4-BE49-F238E27FC236}">
              <a16:creationId xmlns:a16="http://schemas.microsoft.com/office/drawing/2014/main" id="{00000000-0008-0000-0100-0000C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13" name="Drop Down -1022" hidden="1">
          <a:extLst>
            <a:ext uri="{FF2B5EF4-FFF2-40B4-BE49-F238E27FC236}">
              <a16:creationId xmlns:a16="http://schemas.microsoft.com/office/drawing/2014/main" id="{00000000-0008-0000-0100-0000C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14" name="Drop Down 1" hidden="1">
          <a:extLst>
            <a:ext uri="{FF2B5EF4-FFF2-40B4-BE49-F238E27FC236}">
              <a16:creationId xmlns:a16="http://schemas.microsoft.com/office/drawing/2014/main" id="{00000000-0008-0000-0100-0000C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15" name="Drop Down 1" hidden="1">
          <a:extLst>
            <a:ext uri="{FF2B5EF4-FFF2-40B4-BE49-F238E27FC236}">
              <a16:creationId xmlns:a16="http://schemas.microsoft.com/office/drawing/2014/main" id="{00000000-0008-0000-0100-0000C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16" name="Drop Down 1" hidden="1">
          <a:extLst>
            <a:ext uri="{FF2B5EF4-FFF2-40B4-BE49-F238E27FC236}">
              <a16:creationId xmlns:a16="http://schemas.microsoft.com/office/drawing/2014/main" id="{00000000-0008-0000-0100-0000C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17" name="Drop Down 1" hidden="1">
          <a:extLst>
            <a:ext uri="{FF2B5EF4-FFF2-40B4-BE49-F238E27FC236}">
              <a16:creationId xmlns:a16="http://schemas.microsoft.com/office/drawing/2014/main" id="{00000000-0008-0000-0100-0000C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18" name="Drop Down 2" hidden="1">
          <a:extLst>
            <a:ext uri="{FF2B5EF4-FFF2-40B4-BE49-F238E27FC236}">
              <a16:creationId xmlns:a16="http://schemas.microsoft.com/office/drawing/2014/main" id="{00000000-0008-0000-0100-0000C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19" name="Drop Down 1" hidden="1">
          <a:extLst>
            <a:ext uri="{FF2B5EF4-FFF2-40B4-BE49-F238E27FC236}">
              <a16:creationId xmlns:a16="http://schemas.microsoft.com/office/drawing/2014/main" id="{00000000-0008-0000-0100-0000C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20" name="Drop Down -1022" hidden="1">
          <a:extLst>
            <a:ext uri="{FF2B5EF4-FFF2-40B4-BE49-F238E27FC236}">
              <a16:creationId xmlns:a16="http://schemas.microsoft.com/office/drawing/2014/main" id="{00000000-0008-0000-0100-0000D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21" name="Drop Down 1" hidden="1">
          <a:extLst>
            <a:ext uri="{FF2B5EF4-FFF2-40B4-BE49-F238E27FC236}">
              <a16:creationId xmlns:a16="http://schemas.microsoft.com/office/drawing/2014/main" id="{00000000-0008-0000-0100-0000D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22" name="Drop Down 1" hidden="1">
          <a:extLst>
            <a:ext uri="{FF2B5EF4-FFF2-40B4-BE49-F238E27FC236}">
              <a16:creationId xmlns:a16="http://schemas.microsoft.com/office/drawing/2014/main" id="{00000000-0008-0000-0100-0000D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23" name="Drop Down 1" hidden="1">
          <a:extLst>
            <a:ext uri="{FF2B5EF4-FFF2-40B4-BE49-F238E27FC236}">
              <a16:creationId xmlns:a16="http://schemas.microsoft.com/office/drawing/2014/main" id="{00000000-0008-0000-0100-0000D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24" name="Drop Down 1" hidden="1">
          <a:extLst>
            <a:ext uri="{FF2B5EF4-FFF2-40B4-BE49-F238E27FC236}">
              <a16:creationId xmlns:a16="http://schemas.microsoft.com/office/drawing/2014/main" id="{00000000-0008-0000-0100-0000D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25" name="Drop Down 2" hidden="1">
          <a:extLst>
            <a:ext uri="{FF2B5EF4-FFF2-40B4-BE49-F238E27FC236}">
              <a16:creationId xmlns:a16="http://schemas.microsoft.com/office/drawing/2014/main" id="{00000000-0008-0000-0100-0000D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26" name="Drop Down 1" hidden="1">
          <a:extLst>
            <a:ext uri="{FF2B5EF4-FFF2-40B4-BE49-F238E27FC236}">
              <a16:creationId xmlns:a16="http://schemas.microsoft.com/office/drawing/2014/main" id="{00000000-0008-0000-0100-0000D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27" name="Drop Down -1022" hidden="1">
          <a:extLst>
            <a:ext uri="{FF2B5EF4-FFF2-40B4-BE49-F238E27FC236}">
              <a16:creationId xmlns:a16="http://schemas.microsoft.com/office/drawing/2014/main" id="{00000000-0008-0000-0100-0000D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28" name="Drop Down 1" hidden="1">
          <a:extLst>
            <a:ext uri="{FF2B5EF4-FFF2-40B4-BE49-F238E27FC236}">
              <a16:creationId xmlns:a16="http://schemas.microsoft.com/office/drawing/2014/main" id="{00000000-0008-0000-0100-0000D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29" name="Drop Down 1" hidden="1">
          <a:extLst>
            <a:ext uri="{FF2B5EF4-FFF2-40B4-BE49-F238E27FC236}">
              <a16:creationId xmlns:a16="http://schemas.microsoft.com/office/drawing/2014/main" id="{00000000-0008-0000-0100-0000D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30" name="Drop Down 1" hidden="1">
          <a:extLst>
            <a:ext uri="{FF2B5EF4-FFF2-40B4-BE49-F238E27FC236}">
              <a16:creationId xmlns:a16="http://schemas.microsoft.com/office/drawing/2014/main" id="{00000000-0008-0000-0100-0000D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31" name="Drop Down 1" hidden="1">
          <a:extLst>
            <a:ext uri="{FF2B5EF4-FFF2-40B4-BE49-F238E27FC236}">
              <a16:creationId xmlns:a16="http://schemas.microsoft.com/office/drawing/2014/main" id="{00000000-0008-0000-0100-0000D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32" name="Drop Down 2" hidden="1">
          <a:extLst>
            <a:ext uri="{FF2B5EF4-FFF2-40B4-BE49-F238E27FC236}">
              <a16:creationId xmlns:a16="http://schemas.microsoft.com/office/drawing/2014/main" id="{00000000-0008-0000-0100-0000D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33" name="Drop Down 1" hidden="1">
          <a:extLst>
            <a:ext uri="{FF2B5EF4-FFF2-40B4-BE49-F238E27FC236}">
              <a16:creationId xmlns:a16="http://schemas.microsoft.com/office/drawing/2014/main" id="{00000000-0008-0000-0100-0000D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34" name="Drop Down -1022" hidden="1">
          <a:extLst>
            <a:ext uri="{FF2B5EF4-FFF2-40B4-BE49-F238E27FC236}">
              <a16:creationId xmlns:a16="http://schemas.microsoft.com/office/drawing/2014/main" id="{00000000-0008-0000-0100-0000D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35" name="Drop Down 1" hidden="1">
          <a:extLst>
            <a:ext uri="{FF2B5EF4-FFF2-40B4-BE49-F238E27FC236}">
              <a16:creationId xmlns:a16="http://schemas.microsoft.com/office/drawing/2014/main" id="{00000000-0008-0000-0100-0000D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36" name="Drop Down 1" hidden="1">
          <a:extLst>
            <a:ext uri="{FF2B5EF4-FFF2-40B4-BE49-F238E27FC236}">
              <a16:creationId xmlns:a16="http://schemas.microsoft.com/office/drawing/2014/main" id="{00000000-0008-0000-0100-0000E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37" name="Drop Down 1" hidden="1">
          <a:extLst>
            <a:ext uri="{FF2B5EF4-FFF2-40B4-BE49-F238E27FC236}">
              <a16:creationId xmlns:a16="http://schemas.microsoft.com/office/drawing/2014/main" id="{00000000-0008-0000-0100-0000E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38" name="Drop Down 1" hidden="1">
          <a:extLst>
            <a:ext uri="{FF2B5EF4-FFF2-40B4-BE49-F238E27FC236}">
              <a16:creationId xmlns:a16="http://schemas.microsoft.com/office/drawing/2014/main" id="{00000000-0008-0000-0100-0000E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39" name="Drop Down 2" hidden="1">
          <a:extLst>
            <a:ext uri="{FF2B5EF4-FFF2-40B4-BE49-F238E27FC236}">
              <a16:creationId xmlns:a16="http://schemas.microsoft.com/office/drawing/2014/main" id="{00000000-0008-0000-0100-0000E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40" name="Drop Down 1" hidden="1">
          <a:extLst>
            <a:ext uri="{FF2B5EF4-FFF2-40B4-BE49-F238E27FC236}">
              <a16:creationId xmlns:a16="http://schemas.microsoft.com/office/drawing/2014/main" id="{00000000-0008-0000-0100-0000E4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41" name="Drop Down -1022" hidden="1">
          <a:extLst>
            <a:ext uri="{FF2B5EF4-FFF2-40B4-BE49-F238E27FC236}">
              <a16:creationId xmlns:a16="http://schemas.microsoft.com/office/drawing/2014/main" id="{00000000-0008-0000-0100-0000E5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42" name="Drop Down 1" hidden="1">
          <a:extLst>
            <a:ext uri="{FF2B5EF4-FFF2-40B4-BE49-F238E27FC236}">
              <a16:creationId xmlns:a16="http://schemas.microsoft.com/office/drawing/2014/main" id="{00000000-0008-0000-0100-0000E6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43" name="Drop Down 1" hidden="1">
          <a:extLst>
            <a:ext uri="{FF2B5EF4-FFF2-40B4-BE49-F238E27FC236}">
              <a16:creationId xmlns:a16="http://schemas.microsoft.com/office/drawing/2014/main" id="{00000000-0008-0000-0100-0000E7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44" name="Drop Down 1" hidden="1">
          <a:extLst>
            <a:ext uri="{FF2B5EF4-FFF2-40B4-BE49-F238E27FC236}">
              <a16:creationId xmlns:a16="http://schemas.microsoft.com/office/drawing/2014/main" id="{00000000-0008-0000-0100-0000E8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45" name="Drop Down 1" hidden="1">
          <a:extLst>
            <a:ext uri="{FF2B5EF4-FFF2-40B4-BE49-F238E27FC236}">
              <a16:creationId xmlns:a16="http://schemas.microsoft.com/office/drawing/2014/main" id="{00000000-0008-0000-0100-0000E9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46" name="Drop Down 2" hidden="1">
          <a:extLst>
            <a:ext uri="{FF2B5EF4-FFF2-40B4-BE49-F238E27FC236}">
              <a16:creationId xmlns:a16="http://schemas.microsoft.com/office/drawing/2014/main" id="{00000000-0008-0000-0100-0000EA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47" name="Drop Down 1" hidden="1">
          <a:extLst>
            <a:ext uri="{FF2B5EF4-FFF2-40B4-BE49-F238E27FC236}">
              <a16:creationId xmlns:a16="http://schemas.microsoft.com/office/drawing/2014/main" id="{00000000-0008-0000-0100-0000EB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7148" name="Drop Down -1022" hidden="1">
          <a:extLst>
            <a:ext uri="{FF2B5EF4-FFF2-40B4-BE49-F238E27FC236}">
              <a16:creationId xmlns:a16="http://schemas.microsoft.com/office/drawing/2014/main" id="{00000000-0008-0000-0100-0000EC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49" name="Drop Down 1" hidden="1">
          <a:extLst>
            <a:ext uri="{FF2B5EF4-FFF2-40B4-BE49-F238E27FC236}">
              <a16:creationId xmlns:a16="http://schemas.microsoft.com/office/drawing/2014/main" id="{00000000-0008-0000-0100-0000ED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50" name="Drop Down 1" hidden="1">
          <a:extLst>
            <a:ext uri="{FF2B5EF4-FFF2-40B4-BE49-F238E27FC236}">
              <a16:creationId xmlns:a16="http://schemas.microsoft.com/office/drawing/2014/main" id="{00000000-0008-0000-0100-0000EE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51" name="Drop Down 1" hidden="1">
          <a:extLst>
            <a:ext uri="{FF2B5EF4-FFF2-40B4-BE49-F238E27FC236}">
              <a16:creationId xmlns:a16="http://schemas.microsoft.com/office/drawing/2014/main" id="{00000000-0008-0000-0100-0000EF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52" name="Drop Down 1" hidden="1">
          <a:extLst>
            <a:ext uri="{FF2B5EF4-FFF2-40B4-BE49-F238E27FC236}">
              <a16:creationId xmlns:a16="http://schemas.microsoft.com/office/drawing/2014/main" id="{00000000-0008-0000-0100-0000F0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53" name="Drop Down 2" hidden="1">
          <a:extLst>
            <a:ext uri="{FF2B5EF4-FFF2-40B4-BE49-F238E27FC236}">
              <a16:creationId xmlns:a16="http://schemas.microsoft.com/office/drawing/2014/main" id="{00000000-0008-0000-0100-0000F1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54" name="Drop Down 1" hidden="1">
          <a:extLst>
            <a:ext uri="{FF2B5EF4-FFF2-40B4-BE49-F238E27FC236}">
              <a16:creationId xmlns:a16="http://schemas.microsoft.com/office/drawing/2014/main" id="{00000000-0008-0000-0100-0000F2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7155" name="Drop Down -1022" hidden="1">
          <a:extLst>
            <a:ext uri="{FF2B5EF4-FFF2-40B4-BE49-F238E27FC236}">
              <a16:creationId xmlns:a16="http://schemas.microsoft.com/office/drawing/2014/main" id="{00000000-0008-0000-0100-0000F31B0000}"/>
            </a:ext>
          </a:extLst>
        </xdr:cNvPr>
        <xdr:cNvSpPr>
          <a:spLocks noChangeArrowheads="1"/>
        </xdr:cNvSpPr>
      </xdr:nvSpPr>
      <xdr:spPr bwMode="auto">
        <a:xfrm>
          <a:off x="3773365" y="18559096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5580"/>
    <xdr:sp macro="" textlink="">
      <xdr:nvSpPr>
        <xdr:cNvPr id="7156" name="Drop Down 1" hidden="1">
          <a:extLst>
            <a:ext uri="{FF2B5EF4-FFF2-40B4-BE49-F238E27FC236}">
              <a16:creationId xmlns:a16="http://schemas.microsoft.com/office/drawing/2014/main" id="{00000000-0008-0000-0100-0000F4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5580"/>
    <xdr:sp macro="" textlink="">
      <xdr:nvSpPr>
        <xdr:cNvPr id="7157" name="Drop Down 1" hidden="1">
          <a:extLst>
            <a:ext uri="{FF2B5EF4-FFF2-40B4-BE49-F238E27FC236}">
              <a16:creationId xmlns:a16="http://schemas.microsoft.com/office/drawing/2014/main" id="{00000000-0008-0000-0100-0000F5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5580"/>
    <xdr:sp macro="" textlink="">
      <xdr:nvSpPr>
        <xdr:cNvPr id="7158" name="Drop Down 1" hidden="1">
          <a:extLst>
            <a:ext uri="{FF2B5EF4-FFF2-40B4-BE49-F238E27FC236}">
              <a16:creationId xmlns:a16="http://schemas.microsoft.com/office/drawing/2014/main" id="{00000000-0008-0000-0100-0000F6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5580"/>
    <xdr:sp macro="" textlink="">
      <xdr:nvSpPr>
        <xdr:cNvPr id="7159" name="Drop Down 1" hidden="1">
          <a:extLst>
            <a:ext uri="{FF2B5EF4-FFF2-40B4-BE49-F238E27FC236}">
              <a16:creationId xmlns:a16="http://schemas.microsoft.com/office/drawing/2014/main" id="{00000000-0008-0000-0100-0000F7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5580"/>
    <xdr:sp macro="" textlink="">
      <xdr:nvSpPr>
        <xdr:cNvPr id="7160" name="Drop Down 2" hidden="1">
          <a:extLst>
            <a:ext uri="{FF2B5EF4-FFF2-40B4-BE49-F238E27FC236}">
              <a16:creationId xmlns:a16="http://schemas.microsoft.com/office/drawing/2014/main" id="{00000000-0008-0000-0100-0000F8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5580"/>
    <xdr:sp macro="" textlink="">
      <xdr:nvSpPr>
        <xdr:cNvPr id="7161" name="Drop Down 1" hidden="1">
          <a:extLst>
            <a:ext uri="{FF2B5EF4-FFF2-40B4-BE49-F238E27FC236}">
              <a16:creationId xmlns:a16="http://schemas.microsoft.com/office/drawing/2014/main" id="{00000000-0008-0000-0100-0000F9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5580"/>
    <xdr:sp macro="" textlink="">
      <xdr:nvSpPr>
        <xdr:cNvPr id="7162" name="Drop Down -1022" hidden="1">
          <a:extLst>
            <a:ext uri="{FF2B5EF4-FFF2-40B4-BE49-F238E27FC236}">
              <a16:creationId xmlns:a16="http://schemas.microsoft.com/office/drawing/2014/main" id="{00000000-0008-0000-0100-0000FA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3821"/>
    <xdr:sp macro="" textlink="">
      <xdr:nvSpPr>
        <xdr:cNvPr id="7163" name="Drop Down 1" hidden="1">
          <a:extLst>
            <a:ext uri="{FF2B5EF4-FFF2-40B4-BE49-F238E27FC236}">
              <a16:creationId xmlns:a16="http://schemas.microsoft.com/office/drawing/2014/main" id="{00000000-0008-0000-0100-0000FB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3821"/>
    <xdr:sp macro="" textlink="">
      <xdr:nvSpPr>
        <xdr:cNvPr id="7164" name="Drop Down 1" hidden="1">
          <a:extLst>
            <a:ext uri="{FF2B5EF4-FFF2-40B4-BE49-F238E27FC236}">
              <a16:creationId xmlns:a16="http://schemas.microsoft.com/office/drawing/2014/main" id="{00000000-0008-0000-0100-0000FC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3821"/>
    <xdr:sp macro="" textlink="">
      <xdr:nvSpPr>
        <xdr:cNvPr id="7165" name="Drop Down 1" hidden="1">
          <a:extLst>
            <a:ext uri="{FF2B5EF4-FFF2-40B4-BE49-F238E27FC236}">
              <a16:creationId xmlns:a16="http://schemas.microsoft.com/office/drawing/2014/main" id="{00000000-0008-0000-0100-0000FD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3821"/>
    <xdr:sp macro="" textlink="">
      <xdr:nvSpPr>
        <xdr:cNvPr id="7166" name="Drop Down 1" hidden="1">
          <a:extLst>
            <a:ext uri="{FF2B5EF4-FFF2-40B4-BE49-F238E27FC236}">
              <a16:creationId xmlns:a16="http://schemas.microsoft.com/office/drawing/2014/main" id="{00000000-0008-0000-0100-0000FE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3821"/>
    <xdr:sp macro="" textlink="">
      <xdr:nvSpPr>
        <xdr:cNvPr id="7167" name="Drop Down 2" hidden="1">
          <a:extLst>
            <a:ext uri="{FF2B5EF4-FFF2-40B4-BE49-F238E27FC236}">
              <a16:creationId xmlns:a16="http://schemas.microsoft.com/office/drawing/2014/main" id="{00000000-0008-0000-0100-0000FF1B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3821"/>
    <xdr:sp macro="" textlink="">
      <xdr:nvSpPr>
        <xdr:cNvPr id="7168" name="Drop Down 1" hidden="1">
          <a:extLst>
            <a:ext uri="{FF2B5EF4-FFF2-40B4-BE49-F238E27FC236}">
              <a16:creationId xmlns:a16="http://schemas.microsoft.com/office/drawing/2014/main" id="{00000000-0008-0000-0100-000000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9002" cy="213821"/>
    <xdr:sp macro="" textlink="">
      <xdr:nvSpPr>
        <xdr:cNvPr id="7169" name="Drop Down -1022" hidden="1">
          <a:extLst>
            <a:ext uri="{FF2B5EF4-FFF2-40B4-BE49-F238E27FC236}">
              <a16:creationId xmlns:a16="http://schemas.microsoft.com/office/drawing/2014/main" id="{00000000-0008-0000-0100-000001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170" name="Drop Down 1" hidden="1">
          <a:extLst>
            <a:ext uri="{FF2B5EF4-FFF2-40B4-BE49-F238E27FC236}">
              <a16:creationId xmlns:a16="http://schemas.microsoft.com/office/drawing/2014/main" id="{00000000-0008-0000-0100-000002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171" name="Drop Down 1" hidden="1">
          <a:extLst>
            <a:ext uri="{FF2B5EF4-FFF2-40B4-BE49-F238E27FC236}">
              <a16:creationId xmlns:a16="http://schemas.microsoft.com/office/drawing/2014/main" id="{00000000-0008-0000-0100-000003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172" name="Drop Down 1" hidden="1">
          <a:extLst>
            <a:ext uri="{FF2B5EF4-FFF2-40B4-BE49-F238E27FC236}">
              <a16:creationId xmlns:a16="http://schemas.microsoft.com/office/drawing/2014/main" id="{00000000-0008-0000-0100-000004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173" name="Drop Down 1" hidden="1">
          <a:extLst>
            <a:ext uri="{FF2B5EF4-FFF2-40B4-BE49-F238E27FC236}">
              <a16:creationId xmlns:a16="http://schemas.microsoft.com/office/drawing/2014/main" id="{00000000-0008-0000-0100-000005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174" name="Drop Down 2" hidden="1">
          <a:extLst>
            <a:ext uri="{FF2B5EF4-FFF2-40B4-BE49-F238E27FC236}">
              <a16:creationId xmlns:a16="http://schemas.microsoft.com/office/drawing/2014/main" id="{00000000-0008-0000-0100-000006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175" name="Drop Down 1" hidden="1">
          <a:extLst>
            <a:ext uri="{FF2B5EF4-FFF2-40B4-BE49-F238E27FC236}">
              <a16:creationId xmlns:a16="http://schemas.microsoft.com/office/drawing/2014/main" id="{00000000-0008-0000-0100-000007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176" name="Drop Down -1022" hidden="1">
          <a:extLst>
            <a:ext uri="{FF2B5EF4-FFF2-40B4-BE49-F238E27FC236}">
              <a16:creationId xmlns:a16="http://schemas.microsoft.com/office/drawing/2014/main" id="{00000000-0008-0000-0100-000008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77" name="Drop Down 1" hidden="1">
          <a:extLst>
            <a:ext uri="{FF2B5EF4-FFF2-40B4-BE49-F238E27FC236}">
              <a16:creationId xmlns:a16="http://schemas.microsoft.com/office/drawing/2014/main" id="{00000000-0008-0000-0100-000009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78" name="Drop Down 1" hidden="1">
          <a:extLst>
            <a:ext uri="{FF2B5EF4-FFF2-40B4-BE49-F238E27FC236}">
              <a16:creationId xmlns:a16="http://schemas.microsoft.com/office/drawing/2014/main" id="{00000000-0008-0000-0100-00000A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79" name="Drop Down 1" hidden="1">
          <a:extLst>
            <a:ext uri="{FF2B5EF4-FFF2-40B4-BE49-F238E27FC236}">
              <a16:creationId xmlns:a16="http://schemas.microsoft.com/office/drawing/2014/main" id="{00000000-0008-0000-0100-00000B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80" name="Drop Down 1" hidden="1">
          <a:extLst>
            <a:ext uri="{FF2B5EF4-FFF2-40B4-BE49-F238E27FC236}">
              <a16:creationId xmlns:a16="http://schemas.microsoft.com/office/drawing/2014/main" id="{00000000-0008-0000-0100-00000C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81" name="Drop Down 2" hidden="1">
          <a:extLst>
            <a:ext uri="{FF2B5EF4-FFF2-40B4-BE49-F238E27FC236}">
              <a16:creationId xmlns:a16="http://schemas.microsoft.com/office/drawing/2014/main" id="{00000000-0008-0000-0100-00000D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82" name="Drop Down 1" hidden="1">
          <a:extLst>
            <a:ext uri="{FF2B5EF4-FFF2-40B4-BE49-F238E27FC236}">
              <a16:creationId xmlns:a16="http://schemas.microsoft.com/office/drawing/2014/main" id="{00000000-0008-0000-0100-00000E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183" name="Drop Down -1022" hidden="1">
          <a:extLst>
            <a:ext uri="{FF2B5EF4-FFF2-40B4-BE49-F238E27FC236}">
              <a16:creationId xmlns:a16="http://schemas.microsoft.com/office/drawing/2014/main" id="{00000000-0008-0000-0100-00000F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84" name="Drop Down 1" hidden="1">
          <a:extLst>
            <a:ext uri="{FF2B5EF4-FFF2-40B4-BE49-F238E27FC236}">
              <a16:creationId xmlns:a16="http://schemas.microsoft.com/office/drawing/2014/main" id="{00000000-0008-0000-0100-000010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85" name="Drop Down 1" hidden="1">
          <a:extLst>
            <a:ext uri="{FF2B5EF4-FFF2-40B4-BE49-F238E27FC236}">
              <a16:creationId xmlns:a16="http://schemas.microsoft.com/office/drawing/2014/main" id="{00000000-0008-0000-0100-000011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86" name="Drop Down 1" hidden="1">
          <a:extLst>
            <a:ext uri="{FF2B5EF4-FFF2-40B4-BE49-F238E27FC236}">
              <a16:creationId xmlns:a16="http://schemas.microsoft.com/office/drawing/2014/main" id="{00000000-0008-0000-0100-000012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87" name="Drop Down 1" hidden="1">
          <a:extLst>
            <a:ext uri="{FF2B5EF4-FFF2-40B4-BE49-F238E27FC236}">
              <a16:creationId xmlns:a16="http://schemas.microsoft.com/office/drawing/2014/main" id="{00000000-0008-0000-0100-000013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88" name="Drop Down 2" hidden="1">
          <a:extLst>
            <a:ext uri="{FF2B5EF4-FFF2-40B4-BE49-F238E27FC236}">
              <a16:creationId xmlns:a16="http://schemas.microsoft.com/office/drawing/2014/main" id="{00000000-0008-0000-0100-00001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89" name="Drop Down 1" hidden="1">
          <a:extLst>
            <a:ext uri="{FF2B5EF4-FFF2-40B4-BE49-F238E27FC236}">
              <a16:creationId xmlns:a16="http://schemas.microsoft.com/office/drawing/2014/main" id="{00000000-0008-0000-0100-00001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90" name="Drop Down -1022" hidden="1">
          <a:extLst>
            <a:ext uri="{FF2B5EF4-FFF2-40B4-BE49-F238E27FC236}">
              <a16:creationId xmlns:a16="http://schemas.microsoft.com/office/drawing/2014/main" id="{00000000-0008-0000-0100-00001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191" name="Drop Down 1" hidden="1">
          <a:extLst>
            <a:ext uri="{FF2B5EF4-FFF2-40B4-BE49-F238E27FC236}">
              <a16:creationId xmlns:a16="http://schemas.microsoft.com/office/drawing/2014/main" id="{00000000-0008-0000-0100-00001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192" name="Drop Down 1" hidden="1">
          <a:extLst>
            <a:ext uri="{FF2B5EF4-FFF2-40B4-BE49-F238E27FC236}">
              <a16:creationId xmlns:a16="http://schemas.microsoft.com/office/drawing/2014/main" id="{00000000-0008-0000-0100-00001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193" name="Drop Down 1" hidden="1">
          <a:extLst>
            <a:ext uri="{FF2B5EF4-FFF2-40B4-BE49-F238E27FC236}">
              <a16:creationId xmlns:a16="http://schemas.microsoft.com/office/drawing/2014/main" id="{00000000-0008-0000-0100-00001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194" name="Drop Down 1" hidden="1">
          <a:extLst>
            <a:ext uri="{FF2B5EF4-FFF2-40B4-BE49-F238E27FC236}">
              <a16:creationId xmlns:a16="http://schemas.microsoft.com/office/drawing/2014/main" id="{00000000-0008-0000-0100-00001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195" name="Drop Down 2" hidden="1">
          <a:extLst>
            <a:ext uri="{FF2B5EF4-FFF2-40B4-BE49-F238E27FC236}">
              <a16:creationId xmlns:a16="http://schemas.microsoft.com/office/drawing/2014/main" id="{00000000-0008-0000-0100-00001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196" name="Drop Down 1" hidden="1">
          <a:extLst>
            <a:ext uri="{FF2B5EF4-FFF2-40B4-BE49-F238E27FC236}">
              <a16:creationId xmlns:a16="http://schemas.microsoft.com/office/drawing/2014/main" id="{00000000-0008-0000-0100-00001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197" name="Drop Down -1022" hidden="1">
          <a:extLst>
            <a:ext uri="{FF2B5EF4-FFF2-40B4-BE49-F238E27FC236}">
              <a16:creationId xmlns:a16="http://schemas.microsoft.com/office/drawing/2014/main" id="{00000000-0008-0000-0100-00001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98" name="Drop Down 1" hidden="1">
          <a:extLst>
            <a:ext uri="{FF2B5EF4-FFF2-40B4-BE49-F238E27FC236}">
              <a16:creationId xmlns:a16="http://schemas.microsoft.com/office/drawing/2014/main" id="{00000000-0008-0000-0100-00001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199" name="Drop Down 1" hidden="1">
          <a:extLst>
            <a:ext uri="{FF2B5EF4-FFF2-40B4-BE49-F238E27FC236}">
              <a16:creationId xmlns:a16="http://schemas.microsoft.com/office/drawing/2014/main" id="{00000000-0008-0000-0100-00001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00" name="Drop Down 1" hidden="1">
          <a:extLst>
            <a:ext uri="{FF2B5EF4-FFF2-40B4-BE49-F238E27FC236}">
              <a16:creationId xmlns:a16="http://schemas.microsoft.com/office/drawing/2014/main" id="{00000000-0008-0000-0100-000020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01" name="Drop Down 1" hidden="1">
          <a:extLst>
            <a:ext uri="{FF2B5EF4-FFF2-40B4-BE49-F238E27FC236}">
              <a16:creationId xmlns:a16="http://schemas.microsoft.com/office/drawing/2014/main" id="{00000000-0008-0000-0100-000021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02" name="Drop Down 2" hidden="1">
          <a:extLst>
            <a:ext uri="{FF2B5EF4-FFF2-40B4-BE49-F238E27FC236}">
              <a16:creationId xmlns:a16="http://schemas.microsoft.com/office/drawing/2014/main" id="{00000000-0008-0000-0100-000022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03" name="Drop Down 1" hidden="1">
          <a:extLst>
            <a:ext uri="{FF2B5EF4-FFF2-40B4-BE49-F238E27FC236}">
              <a16:creationId xmlns:a16="http://schemas.microsoft.com/office/drawing/2014/main" id="{00000000-0008-0000-0100-000023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04" name="Drop Down -1022" hidden="1">
          <a:extLst>
            <a:ext uri="{FF2B5EF4-FFF2-40B4-BE49-F238E27FC236}">
              <a16:creationId xmlns:a16="http://schemas.microsoft.com/office/drawing/2014/main" id="{00000000-0008-0000-0100-00002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05" name="Drop Down 1" hidden="1">
          <a:extLst>
            <a:ext uri="{FF2B5EF4-FFF2-40B4-BE49-F238E27FC236}">
              <a16:creationId xmlns:a16="http://schemas.microsoft.com/office/drawing/2014/main" id="{00000000-0008-0000-0100-00002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06" name="Drop Down 1" hidden="1">
          <a:extLst>
            <a:ext uri="{FF2B5EF4-FFF2-40B4-BE49-F238E27FC236}">
              <a16:creationId xmlns:a16="http://schemas.microsoft.com/office/drawing/2014/main" id="{00000000-0008-0000-0100-00002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07" name="Drop Down 1" hidden="1">
          <a:extLst>
            <a:ext uri="{FF2B5EF4-FFF2-40B4-BE49-F238E27FC236}">
              <a16:creationId xmlns:a16="http://schemas.microsoft.com/office/drawing/2014/main" id="{00000000-0008-0000-0100-00002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08" name="Drop Down 1" hidden="1">
          <a:extLst>
            <a:ext uri="{FF2B5EF4-FFF2-40B4-BE49-F238E27FC236}">
              <a16:creationId xmlns:a16="http://schemas.microsoft.com/office/drawing/2014/main" id="{00000000-0008-0000-0100-00002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09" name="Drop Down 2" hidden="1">
          <a:extLst>
            <a:ext uri="{FF2B5EF4-FFF2-40B4-BE49-F238E27FC236}">
              <a16:creationId xmlns:a16="http://schemas.microsoft.com/office/drawing/2014/main" id="{00000000-0008-0000-0100-00002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10" name="Drop Down 1" hidden="1">
          <a:extLst>
            <a:ext uri="{FF2B5EF4-FFF2-40B4-BE49-F238E27FC236}">
              <a16:creationId xmlns:a16="http://schemas.microsoft.com/office/drawing/2014/main" id="{00000000-0008-0000-0100-00002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11" name="Drop Down -1022" hidden="1">
          <a:extLst>
            <a:ext uri="{FF2B5EF4-FFF2-40B4-BE49-F238E27FC236}">
              <a16:creationId xmlns:a16="http://schemas.microsoft.com/office/drawing/2014/main" id="{00000000-0008-0000-0100-00002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12" name="Drop Down 1" hidden="1">
          <a:extLst>
            <a:ext uri="{FF2B5EF4-FFF2-40B4-BE49-F238E27FC236}">
              <a16:creationId xmlns:a16="http://schemas.microsoft.com/office/drawing/2014/main" id="{00000000-0008-0000-0100-00002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13" name="Drop Down 1" hidden="1">
          <a:extLst>
            <a:ext uri="{FF2B5EF4-FFF2-40B4-BE49-F238E27FC236}">
              <a16:creationId xmlns:a16="http://schemas.microsoft.com/office/drawing/2014/main" id="{00000000-0008-0000-0100-00002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14" name="Drop Down 1" hidden="1">
          <a:extLst>
            <a:ext uri="{FF2B5EF4-FFF2-40B4-BE49-F238E27FC236}">
              <a16:creationId xmlns:a16="http://schemas.microsoft.com/office/drawing/2014/main" id="{00000000-0008-0000-0100-00002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15" name="Drop Down 1" hidden="1">
          <a:extLst>
            <a:ext uri="{FF2B5EF4-FFF2-40B4-BE49-F238E27FC236}">
              <a16:creationId xmlns:a16="http://schemas.microsoft.com/office/drawing/2014/main" id="{00000000-0008-0000-0100-00002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16" name="Drop Down 2" hidden="1">
          <a:extLst>
            <a:ext uri="{FF2B5EF4-FFF2-40B4-BE49-F238E27FC236}">
              <a16:creationId xmlns:a16="http://schemas.microsoft.com/office/drawing/2014/main" id="{00000000-0008-0000-0100-000030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17" name="Drop Down 1" hidden="1">
          <a:extLst>
            <a:ext uri="{FF2B5EF4-FFF2-40B4-BE49-F238E27FC236}">
              <a16:creationId xmlns:a16="http://schemas.microsoft.com/office/drawing/2014/main" id="{00000000-0008-0000-0100-000031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18" name="Drop Down -1022" hidden="1">
          <a:extLst>
            <a:ext uri="{FF2B5EF4-FFF2-40B4-BE49-F238E27FC236}">
              <a16:creationId xmlns:a16="http://schemas.microsoft.com/office/drawing/2014/main" id="{00000000-0008-0000-0100-000032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19" name="Drop Down 1" hidden="1">
          <a:extLst>
            <a:ext uri="{FF2B5EF4-FFF2-40B4-BE49-F238E27FC236}">
              <a16:creationId xmlns:a16="http://schemas.microsoft.com/office/drawing/2014/main" id="{00000000-0008-0000-0100-000033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20" name="Drop Down 1" hidden="1">
          <a:extLst>
            <a:ext uri="{FF2B5EF4-FFF2-40B4-BE49-F238E27FC236}">
              <a16:creationId xmlns:a16="http://schemas.microsoft.com/office/drawing/2014/main" id="{00000000-0008-0000-0100-00003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21" name="Drop Down 1" hidden="1">
          <a:extLst>
            <a:ext uri="{FF2B5EF4-FFF2-40B4-BE49-F238E27FC236}">
              <a16:creationId xmlns:a16="http://schemas.microsoft.com/office/drawing/2014/main" id="{00000000-0008-0000-0100-00003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22" name="Drop Down 1" hidden="1">
          <a:extLst>
            <a:ext uri="{FF2B5EF4-FFF2-40B4-BE49-F238E27FC236}">
              <a16:creationId xmlns:a16="http://schemas.microsoft.com/office/drawing/2014/main" id="{00000000-0008-0000-0100-00003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23" name="Drop Down 2" hidden="1">
          <a:extLst>
            <a:ext uri="{FF2B5EF4-FFF2-40B4-BE49-F238E27FC236}">
              <a16:creationId xmlns:a16="http://schemas.microsoft.com/office/drawing/2014/main" id="{00000000-0008-0000-0100-00003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24" name="Drop Down 1" hidden="1">
          <a:extLst>
            <a:ext uri="{FF2B5EF4-FFF2-40B4-BE49-F238E27FC236}">
              <a16:creationId xmlns:a16="http://schemas.microsoft.com/office/drawing/2014/main" id="{00000000-0008-0000-0100-00003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25" name="Drop Down -1022" hidden="1">
          <a:extLst>
            <a:ext uri="{FF2B5EF4-FFF2-40B4-BE49-F238E27FC236}">
              <a16:creationId xmlns:a16="http://schemas.microsoft.com/office/drawing/2014/main" id="{00000000-0008-0000-0100-00003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26" name="Drop Down 1" hidden="1">
          <a:extLst>
            <a:ext uri="{FF2B5EF4-FFF2-40B4-BE49-F238E27FC236}">
              <a16:creationId xmlns:a16="http://schemas.microsoft.com/office/drawing/2014/main" id="{00000000-0008-0000-0100-00003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27" name="Drop Down 1" hidden="1">
          <a:extLst>
            <a:ext uri="{FF2B5EF4-FFF2-40B4-BE49-F238E27FC236}">
              <a16:creationId xmlns:a16="http://schemas.microsoft.com/office/drawing/2014/main" id="{00000000-0008-0000-0100-00003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28" name="Drop Down 1" hidden="1">
          <a:extLst>
            <a:ext uri="{FF2B5EF4-FFF2-40B4-BE49-F238E27FC236}">
              <a16:creationId xmlns:a16="http://schemas.microsoft.com/office/drawing/2014/main" id="{00000000-0008-0000-0100-00003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29" name="Drop Down 1" hidden="1">
          <a:extLst>
            <a:ext uri="{FF2B5EF4-FFF2-40B4-BE49-F238E27FC236}">
              <a16:creationId xmlns:a16="http://schemas.microsoft.com/office/drawing/2014/main" id="{00000000-0008-0000-0100-00003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30" name="Drop Down 2" hidden="1">
          <a:extLst>
            <a:ext uri="{FF2B5EF4-FFF2-40B4-BE49-F238E27FC236}">
              <a16:creationId xmlns:a16="http://schemas.microsoft.com/office/drawing/2014/main" id="{00000000-0008-0000-0100-00003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31" name="Drop Down 1" hidden="1">
          <a:extLst>
            <a:ext uri="{FF2B5EF4-FFF2-40B4-BE49-F238E27FC236}">
              <a16:creationId xmlns:a16="http://schemas.microsoft.com/office/drawing/2014/main" id="{00000000-0008-0000-0100-00003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32" name="Drop Down -1022" hidden="1">
          <a:extLst>
            <a:ext uri="{FF2B5EF4-FFF2-40B4-BE49-F238E27FC236}">
              <a16:creationId xmlns:a16="http://schemas.microsoft.com/office/drawing/2014/main" id="{00000000-0008-0000-0100-000040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33" name="Drop Down 1" hidden="1">
          <a:extLst>
            <a:ext uri="{FF2B5EF4-FFF2-40B4-BE49-F238E27FC236}">
              <a16:creationId xmlns:a16="http://schemas.microsoft.com/office/drawing/2014/main" id="{00000000-0008-0000-0100-000041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34" name="Drop Down 1" hidden="1">
          <a:extLst>
            <a:ext uri="{FF2B5EF4-FFF2-40B4-BE49-F238E27FC236}">
              <a16:creationId xmlns:a16="http://schemas.microsoft.com/office/drawing/2014/main" id="{00000000-0008-0000-0100-000042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35" name="Drop Down 1" hidden="1">
          <a:extLst>
            <a:ext uri="{FF2B5EF4-FFF2-40B4-BE49-F238E27FC236}">
              <a16:creationId xmlns:a16="http://schemas.microsoft.com/office/drawing/2014/main" id="{00000000-0008-0000-0100-000043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36" name="Drop Down 1" hidden="1">
          <a:extLst>
            <a:ext uri="{FF2B5EF4-FFF2-40B4-BE49-F238E27FC236}">
              <a16:creationId xmlns:a16="http://schemas.microsoft.com/office/drawing/2014/main" id="{00000000-0008-0000-0100-00004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37" name="Drop Down 2" hidden="1">
          <a:extLst>
            <a:ext uri="{FF2B5EF4-FFF2-40B4-BE49-F238E27FC236}">
              <a16:creationId xmlns:a16="http://schemas.microsoft.com/office/drawing/2014/main" id="{00000000-0008-0000-0100-00004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38" name="Drop Down 1" hidden="1">
          <a:extLst>
            <a:ext uri="{FF2B5EF4-FFF2-40B4-BE49-F238E27FC236}">
              <a16:creationId xmlns:a16="http://schemas.microsoft.com/office/drawing/2014/main" id="{00000000-0008-0000-0100-00004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39" name="Drop Down -1022" hidden="1">
          <a:extLst>
            <a:ext uri="{FF2B5EF4-FFF2-40B4-BE49-F238E27FC236}">
              <a16:creationId xmlns:a16="http://schemas.microsoft.com/office/drawing/2014/main" id="{00000000-0008-0000-0100-00004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40" name="Drop Down 1" hidden="1">
          <a:extLst>
            <a:ext uri="{FF2B5EF4-FFF2-40B4-BE49-F238E27FC236}">
              <a16:creationId xmlns:a16="http://schemas.microsoft.com/office/drawing/2014/main" id="{00000000-0008-0000-0100-000048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41" name="Drop Down 1" hidden="1">
          <a:extLst>
            <a:ext uri="{FF2B5EF4-FFF2-40B4-BE49-F238E27FC236}">
              <a16:creationId xmlns:a16="http://schemas.microsoft.com/office/drawing/2014/main" id="{00000000-0008-0000-0100-000049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42" name="Drop Down 1" hidden="1">
          <a:extLst>
            <a:ext uri="{FF2B5EF4-FFF2-40B4-BE49-F238E27FC236}">
              <a16:creationId xmlns:a16="http://schemas.microsoft.com/office/drawing/2014/main" id="{00000000-0008-0000-0100-00004A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43" name="Drop Down 1" hidden="1">
          <a:extLst>
            <a:ext uri="{FF2B5EF4-FFF2-40B4-BE49-F238E27FC236}">
              <a16:creationId xmlns:a16="http://schemas.microsoft.com/office/drawing/2014/main" id="{00000000-0008-0000-0100-00004B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44" name="Drop Down 2" hidden="1">
          <a:extLst>
            <a:ext uri="{FF2B5EF4-FFF2-40B4-BE49-F238E27FC236}">
              <a16:creationId xmlns:a16="http://schemas.microsoft.com/office/drawing/2014/main" id="{00000000-0008-0000-0100-00004C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45" name="Drop Down 1" hidden="1">
          <a:extLst>
            <a:ext uri="{FF2B5EF4-FFF2-40B4-BE49-F238E27FC236}">
              <a16:creationId xmlns:a16="http://schemas.microsoft.com/office/drawing/2014/main" id="{00000000-0008-0000-0100-00004D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46" name="Drop Down -1022" hidden="1">
          <a:extLst>
            <a:ext uri="{FF2B5EF4-FFF2-40B4-BE49-F238E27FC236}">
              <a16:creationId xmlns:a16="http://schemas.microsoft.com/office/drawing/2014/main" id="{00000000-0008-0000-0100-00004E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47" name="Drop Down 1" hidden="1">
          <a:extLst>
            <a:ext uri="{FF2B5EF4-FFF2-40B4-BE49-F238E27FC236}">
              <a16:creationId xmlns:a16="http://schemas.microsoft.com/office/drawing/2014/main" id="{00000000-0008-0000-0100-00004F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48" name="Drop Down 1" hidden="1">
          <a:extLst>
            <a:ext uri="{FF2B5EF4-FFF2-40B4-BE49-F238E27FC236}">
              <a16:creationId xmlns:a16="http://schemas.microsoft.com/office/drawing/2014/main" id="{00000000-0008-0000-0100-000050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49" name="Drop Down 1" hidden="1">
          <a:extLst>
            <a:ext uri="{FF2B5EF4-FFF2-40B4-BE49-F238E27FC236}">
              <a16:creationId xmlns:a16="http://schemas.microsoft.com/office/drawing/2014/main" id="{00000000-0008-0000-0100-000051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50" name="Drop Down 1" hidden="1">
          <a:extLst>
            <a:ext uri="{FF2B5EF4-FFF2-40B4-BE49-F238E27FC236}">
              <a16:creationId xmlns:a16="http://schemas.microsoft.com/office/drawing/2014/main" id="{00000000-0008-0000-0100-000052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51" name="Drop Down 2" hidden="1">
          <a:extLst>
            <a:ext uri="{FF2B5EF4-FFF2-40B4-BE49-F238E27FC236}">
              <a16:creationId xmlns:a16="http://schemas.microsoft.com/office/drawing/2014/main" id="{00000000-0008-0000-0100-000053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52" name="Drop Down 1" hidden="1">
          <a:extLst>
            <a:ext uri="{FF2B5EF4-FFF2-40B4-BE49-F238E27FC236}">
              <a16:creationId xmlns:a16="http://schemas.microsoft.com/office/drawing/2014/main" id="{00000000-0008-0000-0100-000054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53" name="Drop Down -1022" hidden="1">
          <a:extLst>
            <a:ext uri="{FF2B5EF4-FFF2-40B4-BE49-F238E27FC236}">
              <a16:creationId xmlns:a16="http://schemas.microsoft.com/office/drawing/2014/main" id="{00000000-0008-0000-0100-000055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54" name="Drop Down 1" hidden="1">
          <a:extLst>
            <a:ext uri="{FF2B5EF4-FFF2-40B4-BE49-F238E27FC236}">
              <a16:creationId xmlns:a16="http://schemas.microsoft.com/office/drawing/2014/main" id="{00000000-0008-0000-0100-000056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55" name="Drop Down 1" hidden="1">
          <a:extLst>
            <a:ext uri="{FF2B5EF4-FFF2-40B4-BE49-F238E27FC236}">
              <a16:creationId xmlns:a16="http://schemas.microsoft.com/office/drawing/2014/main" id="{00000000-0008-0000-0100-000057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56" name="Drop Down 1" hidden="1">
          <a:extLst>
            <a:ext uri="{FF2B5EF4-FFF2-40B4-BE49-F238E27FC236}">
              <a16:creationId xmlns:a16="http://schemas.microsoft.com/office/drawing/2014/main" id="{00000000-0008-0000-0100-000058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57" name="Drop Down 1" hidden="1">
          <a:extLst>
            <a:ext uri="{FF2B5EF4-FFF2-40B4-BE49-F238E27FC236}">
              <a16:creationId xmlns:a16="http://schemas.microsoft.com/office/drawing/2014/main" id="{00000000-0008-0000-0100-000059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58" name="Drop Down 2" hidden="1">
          <a:extLst>
            <a:ext uri="{FF2B5EF4-FFF2-40B4-BE49-F238E27FC236}">
              <a16:creationId xmlns:a16="http://schemas.microsoft.com/office/drawing/2014/main" id="{00000000-0008-0000-0100-00005A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59" name="Drop Down 1" hidden="1">
          <a:extLst>
            <a:ext uri="{FF2B5EF4-FFF2-40B4-BE49-F238E27FC236}">
              <a16:creationId xmlns:a16="http://schemas.microsoft.com/office/drawing/2014/main" id="{00000000-0008-0000-0100-00005B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60" name="Drop Down -1022" hidden="1">
          <a:extLst>
            <a:ext uri="{FF2B5EF4-FFF2-40B4-BE49-F238E27FC236}">
              <a16:creationId xmlns:a16="http://schemas.microsoft.com/office/drawing/2014/main" id="{00000000-0008-0000-0100-00005C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61" name="Drop Down 1" hidden="1">
          <a:extLst>
            <a:ext uri="{FF2B5EF4-FFF2-40B4-BE49-F238E27FC236}">
              <a16:creationId xmlns:a16="http://schemas.microsoft.com/office/drawing/2014/main" id="{00000000-0008-0000-0100-00005D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62" name="Drop Down 1" hidden="1">
          <a:extLst>
            <a:ext uri="{FF2B5EF4-FFF2-40B4-BE49-F238E27FC236}">
              <a16:creationId xmlns:a16="http://schemas.microsoft.com/office/drawing/2014/main" id="{00000000-0008-0000-0100-00005E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63" name="Drop Down 1" hidden="1">
          <a:extLst>
            <a:ext uri="{FF2B5EF4-FFF2-40B4-BE49-F238E27FC236}">
              <a16:creationId xmlns:a16="http://schemas.microsoft.com/office/drawing/2014/main" id="{00000000-0008-0000-0100-00005F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64" name="Drop Down 1" hidden="1">
          <a:extLst>
            <a:ext uri="{FF2B5EF4-FFF2-40B4-BE49-F238E27FC236}">
              <a16:creationId xmlns:a16="http://schemas.microsoft.com/office/drawing/2014/main" id="{00000000-0008-0000-0100-000060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65" name="Drop Down 2" hidden="1">
          <a:extLst>
            <a:ext uri="{FF2B5EF4-FFF2-40B4-BE49-F238E27FC236}">
              <a16:creationId xmlns:a16="http://schemas.microsoft.com/office/drawing/2014/main" id="{00000000-0008-0000-0100-000061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66" name="Drop Down 1" hidden="1">
          <a:extLst>
            <a:ext uri="{FF2B5EF4-FFF2-40B4-BE49-F238E27FC236}">
              <a16:creationId xmlns:a16="http://schemas.microsoft.com/office/drawing/2014/main" id="{00000000-0008-0000-0100-000062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267" name="Drop Down -1022" hidden="1">
          <a:extLst>
            <a:ext uri="{FF2B5EF4-FFF2-40B4-BE49-F238E27FC236}">
              <a16:creationId xmlns:a16="http://schemas.microsoft.com/office/drawing/2014/main" id="{00000000-0008-0000-0100-000063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68" name="Drop Down 1" hidden="1">
          <a:extLst>
            <a:ext uri="{FF2B5EF4-FFF2-40B4-BE49-F238E27FC236}">
              <a16:creationId xmlns:a16="http://schemas.microsoft.com/office/drawing/2014/main" id="{00000000-0008-0000-0100-00006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69" name="Drop Down 1" hidden="1">
          <a:extLst>
            <a:ext uri="{FF2B5EF4-FFF2-40B4-BE49-F238E27FC236}">
              <a16:creationId xmlns:a16="http://schemas.microsoft.com/office/drawing/2014/main" id="{00000000-0008-0000-0100-00006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70" name="Drop Down 1" hidden="1">
          <a:extLst>
            <a:ext uri="{FF2B5EF4-FFF2-40B4-BE49-F238E27FC236}">
              <a16:creationId xmlns:a16="http://schemas.microsoft.com/office/drawing/2014/main" id="{00000000-0008-0000-0100-00006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71" name="Drop Down 1" hidden="1">
          <a:extLst>
            <a:ext uri="{FF2B5EF4-FFF2-40B4-BE49-F238E27FC236}">
              <a16:creationId xmlns:a16="http://schemas.microsoft.com/office/drawing/2014/main" id="{00000000-0008-0000-0100-00006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72" name="Drop Down 2" hidden="1">
          <a:extLst>
            <a:ext uri="{FF2B5EF4-FFF2-40B4-BE49-F238E27FC236}">
              <a16:creationId xmlns:a16="http://schemas.microsoft.com/office/drawing/2014/main" id="{00000000-0008-0000-0100-00006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73" name="Drop Down 1" hidden="1">
          <a:extLst>
            <a:ext uri="{FF2B5EF4-FFF2-40B4-BE49-F238E27FC236}">
              <a16:creationId xmlns:a16="http://schemas.microsoft.com/office/drawing/2014/main" id="{00000000-0008-0000-0100-00006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74" name="Drop Down -1022" hidden="1">
          <a:extLst>
            <a:ext uri="{FF2B5EF4-FFF2-40B4-BE49-F238E27FC236}">
              <a16:creationId xmlns:a16="http://schemas.microsoft.com/office/drawing/2014/main" id="{00000000-0008-0000-0100-00006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75" name="Drop Down 1" hidden="1">
          <a:extLst>
            <a:ext uri="{FF2B5EF4-FFF2-40B4-BE49-F238E27FC236}">
              <a16:creationId xmlns:a16="http://schemas.microsoft.com/office/drawing/2014/main" id="{00000000-0008-0000-0100-00006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76" name="Drop Down 1" hidden="1">
          <a:extLst>
            <a:ext uri="{FF2B5EF4-FFF2-40B4-BE49-F238E27FC236}">
              <a16:creationId xmlns:a16="http://schemas.microsoft.com/office/drawing/2014/main" id="{00000000-0008-0000-0100-00006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77" name="Drop Down 1" hidden="1">
          <a:extLst>
            <a:ext uri="{FF2B5EF4-FFF2-40B4-BE49-F238E27FC236}">
              <a16:creationId xmlns:a16="http://schemas.microsoft.com/office/drawing/2014/main" id="{00000000-0008-0000-0100-00006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78" name="Drop Down 1" hidden="1">
          <a:extLst>
            <a:ext uri="{FF2B5EF4-FFF2-40B4-BE49-F238E27FC236}">
              <a16:creationId xmlns:a16="http://schemas.microsoft.com/office/drawing/2014/main" id="{00000000-0008-0000-0100-00006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79" name="Drop Down 2" hidden="1">
          <a:extLst>
            <a:ext uri="{FF2B5EF4-FFF2-40B4-BE49-F238E27FC236}">
              <a16:creationId xmlns:a16="http://schemas.microsoft.com/office/drawing/2014/main" id="{00000000-0008-0000-0100-00006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80" name="Drop Down 1" hidden="1">
          <a:extLst>
            <a:ext uri="{FF2B5EF4-FFF2-40B4-BE49-F238E27FC236}">
              <a16:creationId xmlns:a16="http://schemas.microsoft.com/office/drawing/2014/main" id="{00000000-0008-0000-0100-000070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81" name="Drop Down -1022" hidden="1">
          <a:extLst>
            <a:ext uri="{FF2B5EF4-FFF2-40B4-BE49-F238E27FC236}">
              <a16:creationId xmlns:a16="http://schemas.microsoft.com/office/drawing/2014/main" id="{00000000-0008-0000-0100-000071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82" name="Drop Down 1" hidden="1">
          <a:extLst>
            <a:ext uri="{FF2B5EF4-FFF2-40B4-BE49-F238E27FC236}">
              <a16:creationId xmlns:a16="http://schemas.microsoft.com/office/drawing/2014/main" id="{00000000-0008-0000-0100-000072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83" name="Drop Down 1" hidden="1">
          <a:extLst>
            <a:ext uri="{FF2B5EF4-FFF2-40B4-BE49-F238E27FC236}">
              <a16:creationId xmlns:a16="http://schemas.microsoft.com/office/drawing/2014/main" id="{00000000-0008-0000-0100-000073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84" name="Drop Down 1" hidden="1">
          <a:extLst>
            <a:ext uri="{FF2B5EF4-FFF2-40B4-BE49-F238E27FC236}">
              <a16:creationId xmlns:a16="http://schemas.microsoft.com/office/drawing/2014/main" id="{00000000-0008-0000-0100-00007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85" name="Drop Down 1" hidden="1">
          <a:extLst>
            <a:ext uri="{FF2B5EF4-FFF2-40B4-BE49-F238E27FC236}">
              <a16:creationId xmlns:a16="http://schemas.microsoft.com/office/drawing/2014/main" id="{00000000-0008-0000-0100-00007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86" name="Drop Down 2" hidden="1">
          <a:extLst>
            <a:ext uri="{FF2B5EF4-FFF2-40B4-BE49-F238E27FC236}">
              <a16:creationId xmlns:a16="http://schemas.microsoft.com/office/drawing/2014/main" id="{00000000-0008-0000-0100-00007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87" name="Drop Down 1" hidden="1">
          <a:extLst>
            <a:ext uri="{FF2B5EF4-FFF2-40B4-BE49-F238E27FC236}">
              <a16:creationId xmlns:a16="http://schemas.microsoft.com/office/drawing/2014/main" id="{00000000-0008-0000-0100-00007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288" name="Drop Down -1022" hidden="1">
          <a:extLst>
            <a:ext uri="{FF2B5EF4-FFF2-40B4-BE49-F238E27FC236}">
              <a16:creationId xmlns:a16="http://schemas.microsoft.com/office/drawing/2014/main" id="{00000000-0008-0000-0100-00007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89" name="Drop Down 1" hidden="1">
          <a:extLst>
            <a:ext uri="{FF2B5EF4-FFF2-40B4-BE49-F238E27FC236}">
              <a16:creationId xmlns:a16="http://schemas.microsoft.com/office/drawing/2014/main" id="{00000000-0008-0000-0100-00007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90" name="Drop Down 1" hidden="1">
          <a:extLst>
            <a:ext uri="{FF2B5EF4-FFF2-40B4-BE49-F238E27FC236}">
              <a16:creationId xmlns:a16="http://schemas.microsoft.com/office/drawing/2014/main" id="{00000000-0008-0000-0100-00007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91" name="Drop Down 1" hidden="1">
          <a:extLst>
            <a:ext uri="{FF2B5EF4-FFF2-40B4-BE49-F238E27FC236}">
              <a16:creationId xmlns:a16="http://schemas.microsoft.com/office/drawing/2014/main" id="{00000000-0008-0000-0100-00007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92" name="Drop Down 1" hidden="1">
          <a:extLst>
            <a:ext uri="{FF2B5EF4-FFF2-40B4-BE49-F238E27FC236}">
              <a16:creationId xmlns:a16="http://schemas.microsoft.com/office/drawing/2014/main" id="{00000000-0008-0000-0100-00007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93" name="Drop Down 2" hidden="1">
          <a:extLst>
            <a:ext uri="{FF2B5EF4-FFF2-40B4-BE49-F238E27FC236}">
              <a16:creationId xmlns:a16="http://schemas.microsoft.com/office/drawing/2014/main" id="{00000000-0008-0000-0100-00007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94" name="Drop Down 1" hidden="1">
          <a:extLst>
            <a:ext uri="{FF2B5EF4-FFF2-40B4-BE49-F238E27FC236}">
              <a16:creationId xmlns:a16="http://schemas.microsoft.com/office/drawing/2014/main" id="{00000000-0008-0000-0100-00007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295" name="Drop Down -1022" hidden="1">
          <a:extLst>
            <a:ext uri="{FF2B5EF4-FFF2-40B4-BE49-F238E27FC236}">
              <a16:creationId xmlns:a16="http://schemas.microsoft.com/office/drawing/2014/main" id="{00000000-0008-0000-0100-00007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96" name="Drop Down 1" hidden="1">
          <a:extLst>
            <a:ext uri="{FF2B5EF4-FFF2-40B4-BE49-F238E27FC236}">
              <a16:creationId xmlns:a16="http://schemas.microsoft.com/office/drawing/2014/main" id="{00000000-0008-0000-0100-000080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97" name="Drop Down 1" hidden="1">
          <a:extLst>
            <a:ext uri="{FF2B5EF4-FFF2-40B4-BE49-F238E27FC236}">
              <a16:creationId xmlns:a16="http://schemas.microsoft.com/office/drawing/2014/main" id="{00000000-0008-0000-0100-000081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98" name="Drop Down 1" hidden="1">
          <a:extLst>
            <a:ext uri="{FF2B5EF4-FFF2-40B4-BE49-F238E27FC236}">
              <a16:creationId xmlns:a16="http://schemas.microsoft.com/office/drawing/2014/main" id="{00000000-0008-0000-0100-000082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299" name="Drop Down 1" hidden="1">
          <a:extLst>
            <a:ext uri="{FF2B5EF4-FFF2-40B4-BE49-F238E27FC236}">
              <a16:creationId xmlns:a16="http://schemas.microsoft.com/office/drawing/2014/main" id="{00000000-0008-0000-0100-000083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00" name="Drop Down 2" hidden="1">
          <a:extLst>
            <a:ext uri="{FF2B5EF4-FFF2-40B4-BE49-F238E27FC236}">
              <a16:creationId xmlns:a16="http://schemas.microsoft.com/office/drawing/2014/main" id="{00000000-0008-0000-0100-000084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01" name="Drop Down 1" hidden="1">
          <a:extLst>
            <a:ext uri="{FF2B5EF4-FFF2-40B4-BE49-F238E27FC236}">
              <a16:creationId xmlns:a16="http://schemas.microsoft.com/office/drawing/2014/main" id="{00000000-0008-0000-0100-000085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02" name="Drop Down -1022" hidden="1">
          <a:extLst>
            <a:ext uri="{FF2B5EF4-FFF2-40B4-BE49-F238E27FC236}">
              <a16:creationId xmlns:a16="http://schemas.microsoft.com/office/drawing/2014/main" id="{00000000-0008-0000-0100-000086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03" name="Drop Down 1" hidden="1">
          <a:extLst>
            <a:ext uri="{FF2B5EF4-FFF2-40B4-BE49-F238E27FC236}">
              <a16:creationId xmlns:a16="http://schemas.microsoft.com/office/drawing/2014/main" id="{00000000-0008-0000-0100-000087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04" name="Drop Down 1" hidden="1">
          <a:extLst>
            <a:ext uri="{FF2B5EF4-FFF2-40B4-BE49-F238E27FC236}">
              <a16:creationId xmlns:a16="http://schemas.microsoft.com/office/drawing/2014/main" id="{00000000-0008-0000-0100-000088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05" name="Drop Down 1" hidden="1">
          <a:extLst>
            <a:ext uri="{FF2B5EF4-FFF2-40B4-BE49-F238E27FC236}">
              <a16:creationId xmlns:a16="http://schemas.microsoft.com/office/drawing/2014/main" id="{00000000-0008-0000-0100-000089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06" name="Drop Down 1" hidden="1">
          <a:extLst>
            <a:ext uri="{FF2B5EF4-FFF2-40B4-BE49-F238E27FC236}">
              <a16:creationId xmlns:a16="http://schemas.microsoft.com/office/drawing/2014/main" id="{00000000-0008-0000-0100-00008A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07" name="Drop Down 2" hidden="1">
          <a:extLst>
            <a:ext uri="{FF2B5EF4-FFF2-40B4-BE49-F238E27FC236}">
              <a16:creationId xmlns:a16="http://schemas.microsoft.com/office/drawing/2014/main" id="{00000000-0008-0000-0100-00008B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08" name="Drop Down 1" hidden="1">
          <a:extLst>
            <a:ext uri="{FF2B5EF4-FFF2-40B4-BE49-F238E27FC236}">
              <a16:creationId xmlns:a16="http://schemas.microsoft.com/office/drawing/2014/main" id="{00000000-0008-0000-0100-00008C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09" name="Drop Down -1022" hidden="1">
          <a:extLst>
            <a:ext uri="{FF2B5EF4-FFF2-40B4-BE49-F238E27FC236}">
              <a16:creationId xmlns:a16="http://schemas.microsoft.com/office/drawing/2014/main" id="{00000000-0008-0000-0100-00008D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10" name="Drop Down 1" hidden="1">
          <a:extLst>
            <a:ext uri="{FF2B5EF4-FFF2-40B4-BE49-F238E27FC236}">
              <a16:creationId xmlns:a16="http://schemas.microsoft.com/office/drawing/2014/main" id="{00000000-0008-0000-0100-00008E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11" name="Drop Down 1" hidden="1">
          <a:extLst>
            <a:ext uri="{FF2B5EF4-FFF2-40B4-BE49-F238E27FC236}">
              <a16:creationId xmlns:a16="http://schemas.microsoft.com/office/drawing/2014/main" id="{00000000-0008-0000-0100-00008F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12" name="Drop Down 1" hidden="1">
          <a:extLst>
            <a:ext uri="{FF2B5EF4-FFF2-40B4-BE49-F238E27FC236}">
              <a16:creationId xmlns:a16="http://schemas.microsoft.com/office/drawing/2014/main" id="{00000000-0008-0000-0100-000090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13" name="Drop Down 1" hidden="1">
          <a:extLst>
            <a:ext uri="{FF2B5EF4-FFF2-40B4-BE49-F238E27FC236}">
              <a16:creationId xmlns:a16="http://schemas.microsoft.com/office/drawing/2014/main" id="{00000000-0008-0000-0100-000091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14" name="Drop Down 2" hidden="1">
          <a:extLst>
            <a:ext uri="{FF2B5EF4-FFF2-40B4-BE49-F238E27FC236}">
              <a16:creationId xmlns:a16="http://schemas.microsoft.com/office/drawing/2014/main" id="{00000000-0008-0000-0100-000092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15" name="Drop Down 1" hidden="1">
          <a:extLst>
            <a:ext uri="{FF2B5EF4-FFF2-40B4-BE49-F238E27FC236}">
              <a16:creationId xmlns:a16="http://schemas.microsoft.com/office/drawing/2014/main" id="{00000000-0008-0000-0100-000093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16" name="Drop Down -1022" hidden="1">
          <a:extLst>
            <a:ext uri="{FF2B5EF4-FFF2-40B4-BE49-F238E27FC236}">
              <a16:creationId xmlns:a16="http://schemas.microsoft.com/office/drawing/2014/main" id="{00000000-0008-0000-0100-000094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17" name="Drop Down 1" hidden="1">
          <a:extLst>
            <a:ext uri="{FF2B5EF4-FFF2-40B4-BE49-F238E27FC236}">
              <a16:creationId xmlns:a16="http://schemas.microsoft.com/office/drawing/2014/main" id="{00000000-0008-0000-0100-000095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18" name="Drop Down 1" hidden="1">
          <a:extLst>
            <a:ext uri="{FF2B5EF4-FFF2-40B4-BE49-F238E27FC236}">
              <a16:creationId xmlns:a16="http://schemas.microsoft.com/office/drawing/2014/main" id="{00000000-0008-0000-0100-000096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19" name="Drop Down 1" hidden="1">
          <a:extLst>
            <a:ext uri="{FF2B5EF4-FFF2-40B4-BE49-F238E27FC236}">
              <a16:creationId xmlns:a16="http://schemas.microsoft.com/office/drawing/2014/main" id="{00000000-0008-0000-0100-000097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20" name="Drop Down 1" hidden="1">
          <a:extLst>
            <a:ext uri="{FF2B5EF4-FFF2-40B4-BE49-F238E27FC236}">
              <a16:creationId xmlns:a16="http://schemas.microsoft.com/office/drawing/2014/main" id="{00000000-0008-0000-0100-000098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21" name="Drop Down 2" hidden="1">
          <a:extLst>
            <a:ext uri="{FF2B5EF4-FFF2-40B4-BE49-F238E27FC236}">
              <a16:creationId xmlns:a16="http://schemas.microsoft.com/office/drawing/2014/main" id="{00000000-0008-0000-0100-000099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22" name="Drop Down 1" hidden="1">
          <a:extLst>
            <a:ext uri="{FF2B5EF4-FFF2-40B4-BE49-F238E27FC236}">
              <a16:creationId xmlns:a16="http://schemas.microsoft.com/office/drawing/2014/main" id="{00000000-0008-0000-0100-00009A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23" name="Drop Down -1022" hidden="1">
          <a:extLst>
            <a:ext uri="{FF2B5EF4-FFF2-40B4-BE49-F238E27FC236}">
              <a16:creationId xmlns:a16="http://schemas.microsoft.com/office/drawing/2014/main" id="{00000000-0008-0000-0100-00009B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324" name="Drop Down 1" hidden="1">
          <a:extLst>
            <a:ext uri="{FF2B5EF4-FFF2-40B4-BE49-F238E27FC236}">
              <a16:creationId xmlns:a16="http://schemas.microsoft.com/office/drawing/2014/main" id="{00000000-0008-0000-0100-00009C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325" name="Drop Down 1" hidden="1">
          <a:extLst>
            <a:ext uri="{FF2B5EF4-FFF2-40B4-BE49-F238E27FC236}">
              <a16:creationId xmlns:a16="http://schemas.microsoft.com/office/drawing/2014/main" id="{00000000-0008-0000-0100-00009D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326" name="Drop Down 1" hidden="1">
          <a:extLst>
            <a:ext uri="{FF2B5EF4-FFF2-40B4-BE49-F238E27FC236}">
              <a16:creationId xmlns:a16="http://schemas.microsoft.com/office/drawing/2014/main" id="{00000000-0008-0000-0100-00009E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327" name="Drop Down 1" hidden="1">
          <a:extLst>
            <a:ext uri="{FF2B5EF4-FFF2-40B4-BE49-F238E27FC236}">
              <a16:creationId xmlns:a16="http://schemas.microsoft.com/office/drawing/2014/main" id="{00000000-0008-0000-0100-00009F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328" name="Drop Down 2" hidden="1">
          <a:extLst>
            <a:ext uri="{FF2B5EF4-FFF2-40B4-BE49-F238E27FC236}">
              <a16:creationId xmlns:a16="http://schemas.microsoft.com/office/drawing/2014/main" id="{00000000-0008-0000-0100-0000A0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329" name="Drop Down 1" hidden="1">
          <a:extLst>
            <a:ext uri="{FF2B5EF4-FFF2-40B4-BE49-F238E27FC236}">
              <a16:creationId xmlns:a16="http://schemas.microsoft.com/office/drawing/2014/main" id="{00000000-0008-0000-0100-0000A1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330" name="Drop Down -1022" hidden="1">
          <a:extLst>
            <a:ext uri="{FF2B5EF4-FFF2-40B4-BE49-F238E27FC236}">
              <a16:creationId xmlns:a16="http://schemas.microsoft.com/office/drawing/2014/main" id="{00000000-0008-0000-0100-0000A2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331" name="Drop Down 1" hidden="1">
          <a:extLst>
            <a:ext uri="{FF2B5EF4-FFF2-40B4-BE49-F238E27FC236}">
              <a16:creationId xmlns:a16="http://schemas.microsoft.com/office/drawing/2014/main" id="{00000000-0008-0000-0100-0000A3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332" name="Drop Down 1" hidden="1">
          <a:extLst>
            <a:ext uri="{FF2B5EF4-FFF2-40B4-BE49-F238E27FC236}">
              <a16:creationId xmlns:a16="http://schemas.microsoft.com/office/drawing/2014/main" id="{00000000-0008-0000-0100-0000A4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333" name="Drop Down 1" hidden="1">
          <a:extLst>
            <a:ext uri="{FF2B5EF4-FFF2-40B4-BE49-F238E27FC236}">
              <a16:creationId xmlns:a16="http://schemas.microsoft.com/office/drawing/2014/main" id="{00000000-0008-0000-0100-0000A5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334" name="Drop Down 1" hidden="1">
          <a:extLst>
            <a:ext uri="{FF2B5EF4-FFF2-40B4-BE49-F238E27FC236}">
              <a16:creationId xmlns:a16="http://schemas.microsoft.com/office/drawing/2014/main" id="{00000000-0008-0000-0100-0000A6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335" name="Drop Down 2" hidden="1">
          <a:extLst>
            <a:ext uri="{FF2B5EF4-FFF2-40B4-BE49-F238E27FC236}">
              <a16:creationId xmlns:a16="http://schemas.microsoft.com/office/drawing/2014/main" id="{00000000-0008-0000-0100-0000A7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336" name="Drop Down 1" hidden="1">
          <a:extLst>
            <a:ext uri="{FF2B5EF4-FFF2-40B4-BE49-F238E27FC236}">
              <a16:creationId xmlns:a16="http://schemas.microsoft.com/office/drawing/2014/main" id="{00000000-0008-0000-0100-0000A8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337" name="Drop Down -1022" hidden="1">
          <a:extLst>
            <a:ext uri="{FF2B5EF4-FFF2-40B4-BE49-F238E27FC236}">
              <a16:creationId xmlns:a16="http://schemas.microsoft.com/office/drawing/2014/main" id="{00000000-0008-0000-0100-0000A9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38" name="Drop Down 1" hidden="1">
          <a:extLst>
            <a:ext uri="{FF2B5EF4-FFF2-40B4-BE49-F238E27FC236}">
              <a16:creationId xmlns:a16="http://schemas.microsoft.com/office/drawing/2014/main" id="{00000000-0008-0000-0100-0000AA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39" name="Drop Down 1" hidden="1">
          <a:extLst>
            <a:ext uri="{FF2B5EF4-FFF2-40B4-BE49-F238E27FC236}">
              <a16:creationId xmlns:a16="http://schemas.microsoft.com/office/drawing/2014/main" id="{00000000-0008-0000-0100-0000AB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40" name="Drop Down 1" hidden="1">
          <a:extLst>
            <a:ext uri="{FF2B5EF4-FFF2-40B4-BE49-F238E27FC236}">
              <a16:creationId xmlns:a16="http://schemas.microsoft.com/office/drawing/2014/main" id="{00000000-0008-0000-0100-0000AC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41" name="Drop Down 1" hidden="1">
          <a:extLst>
            <a:ext uri="{FF2B5EF4-FFF2-40B4-BE49-F238E27FC236}">
              <a16:creationId xmlns:a16="http://schemas.microsoft.com/office/drawing/2014/main" id="{00000000-0008-0000-0100-0000AD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42" name="Drop Down 2" hidden="1">
          <a:extLst>
            <a:ext uri="{FF2B5EF4-FFF2-40B4-BE49-F238E27FC236}">
              <a16:creationId xmlns:a16="http://schemas.microsoft.com/office/drawing/2014/main" id="{00000000-0008-0000-0100-0000AE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43" name="Drop Down 1" hidden="1">
          <a:extLst>
            <a:ext uri="{FF2B5EF4-FFF2-40B4-BE49-F238E27FC236}">
              <a16:creationId xmlns:a16="http://schemas.microsoft.com/office/drawing/2014/main" id="{00000000-0008-0000-0100-0000AF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344" name="Drop Down -1022" hidden="1">
          <a:extLst>
            <a:ext uri="{FF2B5EF4-FFF2-40B4-BE49-F238E27FC236}">
              <a16:creationId xmlns:a16="http://schemas.microsoft.com/office/drawing/2014/main" id="{00000000-0008-0000-0100-0000B0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45" name="Drop Down 1" hidden="1">
          <a:extLst>
            <a:ext uri="{FF2B5EF4-FFF2-40B4-BE49-F238E27FC236}">
              <a16:creationId xmlns:a16="http://schemas.microsoft.com/office/drawing/2014/main" id="{00000000-0008-0000-0100-0000B1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46" name="Drop Down 1" hidden="1">
          <a:extLst>
            <a:ext uri="{FF2B5EF4-FFF2-40B4-BE49-F238E27FC236}">
              <a16:creationId xmlns:a16="http://schemas.microsoft.com/office/drawing/2014/main" id="{00000000-0008-0000-0100-0000B2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47" name="Drop Down 1" hidden="1">
          <a:extLst>
            <a:ext uri="{FF2B5EF4-FFF2-40B4-BE49-F238E27FC236}">
              <a16:creationId xmlns:a16="http://schemas.microsoft.com/office/drawing/2014/main" id="{00000000-0008-0000-0100-0000B3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48" name="Drop Down 1" hidden="1">
          <a:extLst>
            <a:ext uri="{FF2B5EF4-FFF2-40B4-BE49-F238E27FC236}">
              <a16:creationId xmlns:a16="http://schemas.microsoft.com/office/drawing/2014/main" id="{00000000-0008-0000-0100-0000B4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49" name="Drop Down 2" hidden="1">
          <a:extLst>
            <a:ext uri="{FF2B5EF4-FFF2-40B4-BE49-F238E27FC236}">
              <a16:creationId xmlns:a16="http://schemas.microsoft.com/office/drawing/2014/main" id="{00000000-0008-0000-0100-0000B5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50" name="Drop Down 1" hidden="1">
          <a:extLst>
            <a:ext uri="{FF2B5EF4-FFF2-40B4-BE49-F238E27FC236}">
              <a16:creationId xmlns:a16="http://schemas.microsoft.com/office/drawing/2014/main" id="{00000000-0008-0000-0100-0000B6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351" name="Drop Down -1022" hidden="1">
          <a:extLst>
            <a:ext uri="{FF2B5EF4-FFF2-40B4-BE49-F238E27FC236}">
              <a16:creationId xmlns:a16="http://schemas.microsoft.com/office/drawing/2014/main" id="{00000000-0008-0000-0100-0000B7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52" name="Drop Down 1" hidden="1">
          <a:extLst>
            <a:ext uri="{FF2B5EF4-FFF2-40B4-BE49-F238E27FC236}">
              <a16:creationId xmlns:a16="http://schemas.microsoft.com/office/drawing/2014/main" id="{00000000-0008-0000-0100-0000B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53" name="Drop Down 1" hidden="1">
          <a:extLst>
            <a:ext uri="{FF2B5EF4-FFF2-40B4-BE49-F238E27FC236}">
              <a16:creationId xmlns:a16="http://schemas.microsoft.com/office/drawing/2014/main" id="{00000000-0008-0000-0100-0000B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54" name="Drop Down 1" hidden="1">
          <a:extLst>
            <a:ext uri="{FF2B5EF4-FFF2-40B4-BE49-F238E27FC236}">
              <a16:creationId xmlns:a16="http://schemas.microsoft.com/office/drawing/2014/main" id="{00000000-0008-0000-0100-0000B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55" name="Drop Down 1" hidden="1">
          <a:extLst>
            <a:ext uri="{FF2B5EF4-FFF2-40B4-BE49-F238E27FC236}">
              <a16:creationId xmlns:a16="http://schemas.microsoft.com/office/drawing/2014/main" id="{00000000-0008-0000-0100-0000B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56" name="Drop Down 2" hidden="1">
          <a:extLst>
            <a:ext uri="{FF2B5EF4-FFF2-40B4-BE49-F238E27FC236}">
              <a16:creationId xmlns:a16="http://schemas.microsoft.com/office/drawing/2014/main" id="{00000000-0008-0000-0100-0000B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57" name="Drop Down 1" hidden="1">
          <a:extLst>
            <a:ext uri="{FF2B5EF4-FFF2-40B4-BE49-F238E27FC236}">
              <a16:creationId xmlns:a16="http://schemas.microsoft.com/office/drawing/2014/main" id="{00000000-0008-0000-0100-0000B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58" name="Drop Down -1022" hidden="1">
          <a:extLst>
            <a:ext uri="{FF2B5EF4-FFF2-40B4-BE49-F238E27FC236}">
              <a16:creationId xmlns:a16="http://schemas.microsoft.com/office/drawing/2014/main" id="{00000000-0008-0000-0100-0000B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59" name="Drop Down 1" hidden="1">
          <a:extLst>
            <a:ext uri="{FF2B5EF4-FFF2-40B4-BE49-F238E27FC236}">
              <a16:creationId xmlns:a16="http://schemas.microsoft.com/office/drawing/2014/main" id="{00000000-0008-0000-0100-0000B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60" name="Drop Down 1" hidden="1">
          <a:extLst>
            <a:ext uri="{FF2B5EF4-FFF2-40B4-BE49-F238E27FC236}">
              <a16:creationId xmlns:a16="http://schemas.microsoft.com/office/drawing/2014/main" id="{00000000-0008-0000-0100-0000C0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61" name="Drop Down 1" hidden="1">
          <a:extLst>
            <a:ext uri="{FF2B5EF4-FFF2-40B4-BE49-F238E27FC236}">
              <a16:creationId xmlns:a16="http://schemas.microsoft.com/office/drawing/2014/main" id="{00000000-0008-0000-0100-0000C1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62" name="Drop Down 1" hidden="1">
          <a:extLst>
            <a:ext uri="{FF2B5EF4-FFF2-40B4-BE49-F238E27FC236}">
              <a16:creationId xmlns:a16="http://schemas.microsoft.com/office/drawing/2014/main" id="{00000000-0008-0000-0100-0000C2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63" name="Drop Down 2" hidden="1">
          <a:extLst>
            <a:ext uri="{FF2B5EF4-FFF2-40B4-BE49-F238E27FC236}">
              <a16:creationId xmlns:a16="http://schemas.microsoft.com/office/drawing/2014/main" id="{00000000-0008-0000-0100-0000C3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64" name="Drop Down 1" hidden="1">
          <a:extLst>
            <a:ext uri="{FF2B5EF4-FFF2-40B4-BE49-F238E27FC236}">
              <a16:creationId xmlns:a16="http://schemas.microsoft.com/office/drawing/2014/main" id="{00000000-0008-0000-0100-0000C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65" name="Drop Down -1022" hidden="1">
          <a:extLst>
            <a:ext uri="{FF2B5EF4-FFF2-40B4-BE49-F238E27FC236}">
              <a16:creationId xmlns:a16="http://schemas.microsoft.com/office/drawing/2014/main" id="{00000000-0008-0000-0100-0000C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66" name="Drop Down 1" hidden="1">
          <a:extLst>
            <a:ext uri="{FF2B5EF4-FFF2-40B4-BE49-F238E27FC236}">
              <a16:creationId xmlns:a16="http://schemas.microsoft.com/office/drawing/2014/main" id="{00000000-0008-0000-0100-0000C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67" name="Drop Down 1" hidden="1">
          <a:extLst>
            <a:ext uri="{FF2B5EF4-FFF2-40B4-BE49-F238E27FC236}">
              <a16:creationId xmlns:a16="http://schemas.microsoft.com/office/drawing/2014/main" id="{00000000-0008-0000-0100-0000C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68" name="Drop Down 1" hidden="1">
          <a:extLst>
            <a:ext uri="{FF2B5EF4-FFF2-40B4-BE49-F238E27FC236}">
              <a16:creationId xmlns:a16="http://schemas.microsoft.com/office/drawing/2014/main" id="{00000000-0008-0000-0100-0000C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69" name="Drop Down 1" hidden="1">
          <a:extLst>
            <a:ext uri="{FF2B5EF4-FFF2-40B4-BE49-F238E27FC236}">
              <a16:creationId xmlns:a16="http://schemas.microsoft.com/office/drawing/2014/main" id="{00000000-0008-0000-0100-0000C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70" name="Drop Down 2" hidden="1">
          <a:extLst>
            <a:ext uri="{FF2B5EF4-FFF2-40B4-BE49-F238E27FC236}">
              <a16:creationId xmlns:a16="http://schemas.microsoft.com/office/drawing/2014/main" id="{00000000-0008-0000-0100-0000C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71" name="Drop Down 1" hidden="1">
          <a:extLst>
            <a:ext uri="{FF2B5EF4-FFF2-40B4-BE49-F238E27FC236}">
              <a16:creationId xmlns:a16="http://schemas.microsoft.com/office/drawing/2014/main" id="{00000000-0008-0000-0100-0000C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72" name="Drop Down -1022" hidden="1">
          <a:extLst>
            <a:ext uri="{FF2B5EF4-FFF2-40B4-BE49-F238E27FC236}">
              <a16:creationId xmlns:a16="http://schemas.microsoft.com/office/drawing/2014/main" id="{00000000-0008-0000-0100-0000C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73" name="Drop Down 1" hidden="1">
          <a:extLst>
            <a:ext uri="{FF2B5EF4-FFF2-40B4-BE49-F238E27FC236}">
              <a16:creationId xmlns:a16="http://schemas.microsoft.com/office/drawing/2014/main" id="{00000000-0008-0000-0100-0000C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74" name="Drop Down 1" hidden="1">
          <a:extLst>
            <a:ext uri="{FF2B5EF4-FFF2-40B4-BE49-F238E27FC236}">
              <a16:creationId xmlns:a16="http://schemas.microsoft.com/office/drawing/2014/main" id="{00000000-0008-0000-0100-0000C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75" name="Drop Down 1" hidden="1">
          <a:extLst>
            <a:ext uri="{FF2B5EF4-FFF2-40B4-BE49-F238E27FC236}">
              <a16:creationId xmlns:a16="http://schemas.microsoft.com/office/drawing/2014/main" id="{00000000-0008-0000-0100-0000C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76" name="Drop Down 1" hidden="1">
          <a:extLst>
            <a:ext uri="{FF2B5EF4-FFF2-40B4-BE49-F238E27FC236}">
              <a16:creationId xmlns:a16="http://schemas.microsoft.com/office/drawing/2014/main" id="{00000000-0008-0000-0100-0000D0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77" name="Drop Down 2" hidden="1">
          <a:extLst>
            <a:ext uri="{FF2B5EF4-FFF2-40B4-BE49-F238E27FC236}">
              <a16:creationId xmlns:a16="http://schemas.microsoft.com/office/drawing/2014/main" id="{00000000-0008-0000-0100-0000D1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78" name="Drop Down 1" hidden="1">
          <a:extLst>
            <a:ext uri="{FF2B5EF4-FFF2-40B4-BE49-F238E27FC236}">
              <a16:creationId xmlns:a16="http://schemas.microsoft.com/office/drawing/2014/main" id="{00000000-0008-0000-0100-0000D2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79" name="Drop Down -1022" hidden="1">
          <a:extLst>
            <a:ext uri="{FF2B5EF4-FFF2-40B4-BE49-F238E27FC236}">
              <a16:creationId xmlns:a16="http://schemas.microsoft.com/office/drawing/2014/main" id="{00000000-0008-0000-0100-0000D3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80" name="Drop Down 1" hidden="1">
          <a:extLst>
            <a:ext uri="{FF2B5EF4-FFF2-40B4-BE49-F238E27FC236}">
              <a16:creationId xmlns:a16="http://schemas.microsoft.com/office/drawing/2014/main" id="{00000000-0008-0000-0100-0000D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81" name="Drop Down 1" hidden="1">
          <a:extLst>
            <a:ext uri="{FF2B5EF4-FFF2-40B4-BE49-F238E27FC236}">
              <a16:creationId xmlns:a16="http://schemas.microsoft.com/office/drawing/2014/main" id="{00000000-0008-0000-0100-0000D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82" name="Drop Down 1" hidden="1">
          <a:extLst>
            <a:ext uri="{FF2B5EF4-FFF2-40B4-BE49-F238E27FC236}">
              <a16:creationId xmlns:a16="http://schemas.microsoft.com/office/drawing/2014/main" id="{00000000-0008-0000-0100-0000D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83" name="Drop Down 1" hidden="1">
          <a:extLst>
            <a:ext uri="{FF2B5EF4-FFF2-40B4-BE49-F238E27FC236}">
              <a16:creationId xmlns:a16="http://schemas.microsoft.com/office/drawing/2014/main" id="{00000000-0008-0000-0100-0000D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84" name="Drop Down 2" hidden="1">
          <a:extLst>
            <a:ext uri="{FF2B5EF4-FFF2-40B4-BE49-F238E27FC236}">
              <a16:creationId xmlns:a16="http://schemas.microsoft.com/office/drawing/2014/main" id="{00000000-0008-0000-0100-0000D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85" name="Drop Down 1" hidden="1">
          <a:extLst>
            <a:ext uri="{FF2B5EF4-FFF2-40B4-BE49-F238E27FC236}">
              <a16:creationId xmlns:a16="http://schemas.microsoft.com/office/drawing/2014/main" id="{00000000-0008-0000-0100-0000D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86" name="Drop Down -1022" hidden="1">
          <a:extLst>
            <a:ext uri="{FF2B5EF4-FFF2-40B4-BE49-F238E27FC236}">
              <a16:creationId xmlns:a16="http://schemas.microsoft.com/office/drawing/2014/main" id="{00000000-0008-0000-0100-0000D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87" name="Drop Down 1" hidden="1">
          <a:extLst>
            <a:ext uri="{FF2B5EF4-FFF2-40B4-BE49-F238E27FC236}">
              <a16:creationId xmlns:a16="http://schemas.microsoft.com/office/drawing/2014/main" id="{00000000-0008-0000-0100-0000D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88" name="Drop Down 1" hidden="1">
          <a:extLst>
            <a:ext uri="{FF2B5EF4-FFF2-40B4-BE49-F238E27FC236}">
              <a16:creationId xmlns:a16="http://schemas.microsoft.com/office/drawing/2014/main" id="{00000000-0008-0000-0100-0000D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89" name="Drop Down 1" hidden="1">
          <a:extLst>
            <a:ext uri="{FF2B5EF4-FFF2-40B4-BE49-F238E27FC236}">
              <a16:creationId xmlns:a16="http://schemas.microsoft.com/office/drawing/2014/main" id="{00000000-0008-0000-0100-0000D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90" name="Drop Down 1" hidden="1">
          <a:extLst>
            <a:ext uri="{FF2B5EF4-FFF2-40B4-BE49-F238E27FC236}">
              <a16:creationId xmlns:a16="http://schemas.microsoft.com/office/drawing/2014/main" id="{00000000-0008-0000-0100-0000D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91" name="Drop Down 2" hidden="1">
          <a:extLst>
            <a:ext uri="{FF2B5EF4-FFF2-40B4-BE49-F238E27FC236}">
              <a16:creationId xmlns:a16="http://schemas.microsoft.com/office/drawing/2014/main" id="{00000000-0008-0000-0100-0000D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92" name="Drop Down 1" hidden="1">
          <a:extLst>
            <a:ext uri="{FF2B5EF4-FFF2-40B4-BE49-F238E27FC236}">
              <a16:creationId xmlns:a16="http://schemas.microsoft.com/office/drawing/2014/main" id="{00000000-0008-0000-0100-0000E0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393" name="Drop Down -1022" hidden="1">
          <a:extLst>
            <a:ext uri="{FF2B5EF4-FFF2-40B4-BE49-F238E27FC236}">
              <a16:creationId xmlns:a16="http://schemas.microsoft.com/office/drawing/2014/main" id="{00000000-0008-0000-0100-0000E1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94" name="Drop Down 1" hidden="1">
          <a:extLst>
            <a:ext uri="{FF2B5EF4-FFF2-40B4-BE49-F238E27FC236}">
              <a16:creationId xmlns:a16="http://schemas.microsoft.com/office/drawing/2014/main" id="{00000000-0008-0000-0100-0000E2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95" name="Drop Down 1" hidden="1">
          <a:extLst>
            <a:ext uri="{FF2B5EF4-FFF2-40B4-BE49-F238E27FC236}">
              <a16:creationId xmlns:a16="http://schemas.microsoft.com/office/drawing/2014/main" id="{00000000-0008-0000-0100-0000E3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96" name="Drop Down 1" hidden="1">
          <a:extLst>
            <a:ext uri="{FF2B5EF4-FFF2-40B4-BE49-F238E27FC236}">
              <a16:creationId xmlns:a16="http://schemas.microsoft.com/office/drawing/2014/main" id="{00000000-0008-0000-0100-0000E4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97" name="Drop Down 1" hidden="1">
          <a:extLst>
            <a:ext uri="{FF2B5EF4-FFF2-40B4-BE49-F238E27FC236}">
              <a16:creationId xmlns:a16="http://schemas.microsoft.com/office/drawing/2014/main" id="{00000000-0008-0000-0100-0000E5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98" name="Drop Down 2" hidden="1">
          <a:extLst>
            <a:ext uri="{FF2B5EF4-FFF2-40B4-BE49-F238E27FC236}">
              <a16:creationId xmlns:a16="http://schemas.microsoft.com/office/drawing/2014/main" id="{00000000-0008-0000-0100-0000E6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399" name="Drop Down 1" hidden="1">
          <a:extLst>
            <a:ext uri="{FF2B5EF4-FFF2-40B4-BE49-F238E27FC236}">
              <a16:creationId xmlns:a16="http://schemas.microsoft.com/office/drawing/2014/main" id="{00000000-0008-0000-0100-0000E7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00" name="Drop Down -1022" hidden="1">
          <a:extLst>
            <a:ext uri="{FF2B5EF4-FFF2-40B4-BE49-F238E27FC236}">
              <a16:creationId xmlns:a16="http://schemas.microsoft.com/office/drawing/2014/main" id="{00000000-0008-0000-0100-0000E8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01" name="Drop Down 1" hidden="1">
          <a:extLst>
            <a:ext uri="{FF2B5EF4-FFF2-40B4-BE49-F238E27FC236}">
              <a16:creationId xmlns:a16="http://schemas.microsoft.com/office/drawing/2014/main" id="{00000000-0008-0000-0100-0000E9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02" name="Drop Down 1" hidden="1">
          <a:extLst>
            <a:ext uri="{FF2B5EF4-FFF2-40B4-BE49-F238E27FC236}">
              <a16:creationId xmlns:a16="http://schemas.microsoft.com/office/drawing/2014/main" id="{00000000-0008-0000-0100-0000EA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03" name="Drop Down 1" hidden="1">
          <a:extLst>
            <a:ext uri="{FF2B5EF4-FFF2-40B4-BE49-F238E27FC236}">
              <a16:creationId xmlns:a16="http://schemas.microsoft.com/office/drawing/2014/main" id="{00000000-0008-0000-0100-0000EB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04" name="Drop Down 1" hidden="1">
          <a:extLst>
            <a:ext uri="{FF2B5EF4-FFF2-40B4-BE49-F238E27FC236}">
              <a16:creationId xmlns:a16="http://schemas.microsoft.com/office/drawing/2014/main" id="{00000000-0008-0000-0100-0000EC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05" name="Drop Down 2" hidden="1">
          <a:extLst>
            <a:ext uri="{FF2B5EF4-FFF2-40B4-BE49-F238E27FC236}">
              <a16:creationId xmlns:a16="http://schemas.microsoft.com/office/drawing/2014/main" id="{00000000-0008-0000-0100-0000ED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06" name="Drop Down 1" hidden="1">
          <a:extLst>
            <a:ext uri="{FF2B5EF4-FFF2-40B4-BE49-F238E27FC236}">
              <a16:creationId xmlns:a16="http://schemas.microsoft.com/office/drawing/2014/main" id="{00000000-0008-0000-0100-0000EE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07" name="Drop Down -1022" hidden="1">
          <a:extLst>
            <a:ext uri="{FF2B5EF4-FFF2-40B4-BE49-F238E27FC236}">
              <a16:creationId xmlns:a16="http://schemas.microsoft.com/office/drawing/2014/main" id="{00000000-0008-0000-0100-0000EF1C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08" name="Drop Down 1" hidden="1">
          <a:extLst>
            <a:ext uri="{FF2B5EF4-FFF2-40B4-BE49-F238E27FC236}">
              <a16:creationId xmlns:a16="http://schemas.microsoft.com/office/drawing/2014/main" id="{00000000-0008-0000-0100-0000F0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09" name="Drop Down 1" hidden="1">
          <a:extLst>
            <a:ext uri="{FF2B5EF4-FFF2-40B4-BE49-F238E27FC236}">
              <a16:creationId xmlns:a16="http://schemas.microsoft.com/office/drawing/2014/main" id="{00000000-0008-0000-0100-0000F1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10" name="Drop Down 1" hidden="1">
          <a:extLst>
            <a:ext uri="{FF2B5EF4-FFF2-40B4-BE49-F238E27FC236}">
              <a16:creationId xmlns:a16="http://schemas.microsoft.com/office/drawing/2014/main" id="{00000000-0008-0000-0100-0000F2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11" name="Drop Down 1" hidden="1">
          <a:extLst>
            <a:ext uri="{FF2B5EF4-FFF2-40B4-BE49-F238E27FC236}">
              <a16:creationId xmlns:a16="http://schemas.microsoft.com/office/drawing/2014/main" id="{00000000-0008-0000-0100-0000F3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12" name="Drop Down 2" hidden="1">
          <a:extLst>
            <a:ext uri="{FF2B5EF4-FFF2-40B4-BE49-F238E27FC236}">
              <a16:creationId xmlns:a16="http://schemas.microsoft.com/office/drawing/2014/main" id="{00000000-0008-0000-0100-0000F4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13" name="Drop Down 1" hidden="1">
          <a:extLst>
            <a:ext uri="{FF2B5EF4-FFF2-40B4-BE49-F238E27FC236}">
              <a16:creationId xmlns:a16="http://schemas.microsoft.com/office/drawing/2014/main" id="{00000000-0008-0000-0100-0000F5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14" name="Drop Down -1022" hidden="1">
          <a:extLst>
            <a:ext uri="{FF2B5EF4-FFF2-40B4-BE49-F238E27FC236}">
              <a16:creationId xmlns:a16="http://schemas.microsoft.com/office/drawing/2014/main" id="{00000000-0008-0000-0100-0000F6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15" name="Drop Down 1" hidden="1">
          <a:extLst>
            <a:ext uri="{FF2B5EF4-FFF2-40B4-BE49-F238E27FC236}">
              <a16:creationId xmlns:a16="http://schemas.microsoft.com/office/drawing/2014/main" id="{00000000-0008-0000-0100-0000F7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16" name="Drop Down 1" hidden="1">
          <a:extLst>
            <a:ext uri="{FF2B5EF4-FFF2-40B4-BE49-F238E27FC236}">
              <a16:creationId xmlns:a16="http://schemas.microsoft.com/office/drawing/2014/main" id="{00000000-0008-0000-0100-0000F8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17" name="Drop Down 1" hidden="1">
          <a:extLst>
            <a:ext uri="{FF2B5EF4-FFF2-40B4-BE49-F238E27FC236}">
              <a16:creationId xmlns:a16="http://schemas.microsoft.com/office/drawing/2014/main" id="{00000000-0008-0000-0100-0000F9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18" name="Drop Down 1" hidden="1">
          <a:extLst>
            <a:ext uri="{FF2B5EF4-FFF2-40B4-BE49-F238E27FC236}">
              <a16:creationId xmlns:a16="http://schemas.microsoft.com/office/drawing/2014/main" id="{00000000-0008-0000-0100-0000FA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19" name="Drop Down 2" hidden="1">
          <a:extLst>
            <a:ext uri="{FF2B5EF4-FFF2-40B4-BE49-F238E27FC236}">
              <a16:creationId xmlns:a16="http://schemas.microsoft.com/office/drawing/2014/main" id="{00000000-0008-0000-0100-0000FB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20" name="Drop Down 1" hidden="1">
          <a:extLst>
            <a:ext uri="{FF2B5EF4-FFF2-40B4-BE49-F238E27FC236}">
              <a16:creationId xmlns:a16="http://schemas.microsoft.com/office/drawing/2014/main" id="{00000000-0008-0000-0100-0000FC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21" name="Drop Down -1022" hidden="1">
          <a:extLst>
            <a:ext uri="{FF2B5EF4-FFF2-40B4-BE49-F238E27FC236}">
              <a16:creationId xmlns:a16="http://schemas.microsoft.com/office/drawing/2014/main" id="{00000000-0008-0000-0100-0000FD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22" name="Drop Down 1" hidden="1">
          <a:extLst>
            <a:ext uri="{FF2B5EF4-FFF2-40B4-BE49-F238E27FC236}">
              <a16:creationId xmlns:a16="http://schemas.microsoft.com/office/drawing/2014/main" id="{00000000-0008-0000-0100-0000FE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23" name="Drop Down 1" hidden="1">
          <a:extLst>
            <a:ext uri="{FF2B5EF4-FFF2-40B4-BE49-F238E27FC236}">
              <a16:creationId xmlns:a16="http://schemas.microsoft.com/office/drawing/2014/main" id="{00000000-0008-0000-0100-0000FF1C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24" name="Drop Down 1" hidden="1">
          <a:extLst>
            <a:ext uri="{FF2B5EF4-FFF2-40B4-BE49-F238E27FC236}">
              <a16:creationId xmlns:a16="http://schemas.microsoft.com/office/drawing/2014/main" id="{00000000-0008-0000-0100-000000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25" name="Drop Down 1" hidden="1">
          <a:extLst>
            <a:ext uri="{FF2B5EF4-FFF2-40B4-BE49-F238E27FC236}">
              <a16:creationId xmlns:a16="http://schemas.microsoft.com/office/drawing/2014/main" id="{00000000-0008-0000-0100-000001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26" name="Drop Down 2" hidden="1">
          <a:extLst>
            <a:ext uri="{FF2B5EF4-FFF2-40B4-BE49-F238E27FC236}">
              <a16:creationId xmlns:a16="http://schemas.microsoft.com/office/drawing/2014/main" id="{00000000-0008-0000-0100-000002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27" name="Drop Down 1" hidden="1">
          <a:extLst>
            <a:ext uri="{FF2B5EF4-FFF2-40B4-BE49-F238E27FC236}">
              <a16:creationId xmlns:a16="http://schemas.microsoft.com/office/drawing/2014/main" id="{00000000-0008-0000-0100-000003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28" name="Drop Down -1022" hidden="1">
          <a:extLst>
            <a:ext uri="{FF2B5EF4-FFF2-40B4-BE49-F238E27FC236}">
              <a16:creationId xmlns:a16="http://schemas.microsoft.com/office/drawing/2014/main" id="{00000000-0008-0000-0100-000004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29" name="Drop Down 1" hidden="1">
          <a:extLst>
            <a:ext uri="{FF2B5EF4-FFF2-40B4-BE49-F238E27FC236}">
              <a16:creationId xmlns:a16="http://schemas.microsoft.com/office/drawing/2014/main" id="{00000000-0008-0000-0100-000005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30" name="Drop Down 1" hidden="1">
          <a:extLst>
            <a:ext uri="{FF2B5EF4-FFF2-40B4-BE49-F238E27FC236}">
              <a16:creationId xmlns:a16="http://schemas.microsoft.com/office/drawing/2014/main" id="{00000000-0008-0000-0100-000006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31" name="Drop Down 1" hidden="1">
          <a:extLst>
            <a:ext uri="{FF2B5EF4-FFF2-40B4-BE49-F238E27FC236}">
              <a16:creationId xmlns:a16="http://schemas.microsoft.com/office/drawing/2014/main" id="{00000000-0008-0000-0100-000007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32" name="Drop Down 1" hidden="1">
          <a:extLst>
            <a:ext uri="{FF2B5EF4-FFF2-40B4-BE49-F238E27FC236}">
              <a16:creationId xmlns:a16="http://schemas.microsoft.com/office/drawing/2014/main" id="{00000000-0008-0000-0100-000008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33" name="Drop Down 2" hidden="1">
          <a:extLst>
            <a:ext uri="{FF2B5EF4-FFF2-40B4-BE49-F238E27FC236}">
              <a16:creationId xmlns:a16="http://schemas.microsoft.com/office/drawing/2014/main" id="{00000000-0008-0000-0100-000009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34" name="Drop Down 1" hidden="1">
          <a:extLst>
            <a:ext uri="{FF2B5EF4-FFF2-40B4-BE49-F238E27FC236}">
              <a16:creationId xmlns:a16="http://schemas.microsoft.com/office/drawing/2014/main" id="{00000000-0008-0000-0100-00000A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35" name="Drop Down -1022" hidden="1">
          <a:extLst>
            <a:ext uri="{FF2B5EF4-FFF2-40B4-BE49-F238E27FC236}">
              <a16:creationId xmlns:a16="http://schemas.microsoft.com/office/drawing/2014/main" id="{00000000-0008-0000-0100-00000B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36" name="Drop Down 1" hidden="1">
          <a:extLst>
            <a:ext uri="{FF2B5EF4-FFF2-40B4-BE49-F238E27FC236}">
              <a16:creationId xmlns:a16="http://schemas.microsoft.com/office/drawing/2014/main" id="{00000000-0008-0000-0100-00000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37" name="Drop Down 1" hidden="1">
          <a:extLst>
            <a:ext uri="{FF2B5EF4-FFF2-40B4-BE49-F238E27FC236}">
              <a16:creationId xmlns:a16="http://schemas.microsoft.com/office/drawing/2014/main" id="{00000000-0008-0000-0100-00000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38" name="Drop Down 1" hidden="1">
          <a:extLst>
            <a:ext uri="{FF2B5EF4-FFF2-40B4-BE49-F238E27FC236}">
              <a16:creationId xmlns:a16="http://schemas.microsoft.com/office/drawing/2014/main" id="{00000000-0008-0000-0100-00000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39" name="Drop Down 1" hidden="1">
          <a:extLst>
            <a:ext uri="{FF2B5EF4-FFF2-40B4-BE49-F238E27FC236}">
              <a16:creationId xmlns:a16="http://schemas.microsoft.com/office/drawing/2014/main" id="{00000000-0008-0000-0100-00000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40" name="Drop Down 2" hidden="1">
          <a:extLst>
            <a:ext uri="{FF2B5EF4-FFF2-40B4-BE49-F238E27FC236}">
              <a16:creationId xmlns:a16="http://schemas.microsoft.com/office/drawing/2014/main" id="{00000000-0008-0000-0100-00001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41" name="Drop Down 1" hidden="1">
          <a:extLst>
            <a:ext uri="{FF2B5EF4-FFF2-40B4-BE49-F238E27FC236}">
              <a16:creationId xmlns:a16="http://schemas.microsoft.com/office/drawing/2014/main" id="{00000000-0008-0000-0100-00001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42" name="Drop Down -1022" hidden="1">
          <a:extLst>
            <a:ext uri="{FF2B5EF4-FFF2-40B4-BE49-F238E27FC236}">
              <a16:creationId xmlns:a16="http://schemas.microsoft.com/office/drawing/2014/main" id="{00000000-0008-0000-0100-00001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43" name="Drop Down 1" hidden="1">
          <a:extLst>
            <a:ext uri="{FF2B5EF4-FFF2-40B4-BE49-F238E27FC236}">
              <a16:creationId xmlns:a16="http://schemas.microsoft.com/office/drawing/2014/main" id="{00000000-0008-0000-0100-00001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44" name="Drop Down 1" hidden="1">
          <a:extLst>
            <a:ext uri="{FF2B5EF4-FFF2-40B4-BE49-F238E27FC236}">
              <a16:creationId xmlns:a16="http://schemas.microsoft.com/office/drawing/2014/main" id="{00000000-0008-0000-0100-00001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45" name="Drop Down 1" hidden="1">
          <a:extLst>
            <a:ext uri="{FF2B5EF4-FFF2-40B4-BE49-F238E27FC236}">
              <a16:creationId xmlns:a16="http://schemas.microsoft.com/office/drawing/2014/main" id="{00000000-0008-0000-0100-00001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46" name="Drop Down 1" hidden="1">
          <a:extLst>
            <a:ext uri="{FF2B5EF4-FFF2-40B4-BE49-F238E27FC236}">
              <a16:creationId xmlns:a16="http://schemas.microsoft.com/office/drawing/2014/main" id="{00000000-0008-0000-0100-00001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47" name="Drop Down 2" hidden="1">
          <a:extLst>
            <a:ext uri="{FF2B5EF4-FFF2-40B4-BE49-F238E27FC236}">
              <a16:creationId xmlns:a16="http://schemas.microsoft.com/office/drawing/2014/main" id="{00000000-0008-0000-0100-00001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48" name="Drop Down 1" hidden="1">
          <a:extLst>
            <a:ext uri="{FF2B5EF4-FFF2-40B4-BE49-F238E27FC236}">
              <a16:creationId xmlns:a16="http://schemas.microsoft.com/office/drawing/2014/main" id="{00000000-0008-0000-0100-00001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49" name="Drop Down -1022" hidden="1">
          <a:extLst>
            <a:ext uri="{FF2B5EF4-FFF2-40B4-BE49-F238E27FC236}">
              <a16:creationId xmlns:a16="http://schemas.microsoft.com/office/drawing/2014/main" id="{00000000-0008-0000-0100-00001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50" name="Drop Down 1" hidden="1">
          <a:extLst>
            <a:ext uri="{FF2B5EF4-FFF2-40B4-BE49-F238E27FC236}">
              <a16:creationId xmlns:a16="http://schemas.microsoft.com/office/drawing/2014/main" id="{00000000-0008-0000-0100-00001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51" name="Drop Down 1" hidden="1">
          <a:extLst>
            <a:ext uri="{FF2B5EF4-FFF2-40B4-BE49-F238E27FC236}">
              <a16:creationId xmlns:a16="http://schemas.microsoft.com/office/drawing/2014/main" id="{00000000-0008-0000-0100-00001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52" name="Drop Down 1" hidden="1">
          <a:extLst>
            <a:ext uri="{FF2B5EF4-FFF2-40B4-BE49-F238E27FC236}">
              <a16:creationId xmlns:a16="http://schemas.microsoft.com/office/drawing/2014/main" id="{00000000-0008-0000-0100-00001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53" name="Drop Down 1" hidden="1">
          <a:extLst>
            <a:ext uri="{FF2B5EF4-FFF2-40B4-BE49-F238E27FC236}">
              <a16:creationId xmlns:a16="http://schemas.microsoft.com/office/drawing/2014/main" id="{00000000-0008-0000-0100-00001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54" name="Drop Down 2" hidden="1">
          <a:extLst>
            <a:ext uri="{FF2B5EF4-FFF2-40B4-BE49-F238E27FC236}">
              <a16:creationId xmlns:a16="http://schemas.microsoft.com/office/drawing/2014/main" id="{00000000-0008-0000-0100-00001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55" name="Drop Down 1" hidden="1">
          <a:extLst>
            <a:ext uri="{FF2B5EF4-FFF2-40B4-BE49-F238E27FC236}">
              <a16:creationId xmlns:a16="http://schemas.microsoft.com/office/drawing/2014/main" id="{00000000-0008-0000-0100-00001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456" name="Drop Down -1022" hidden="1">
          <a:extLst>
            <a:ext uri="{FF2B5EF4-FFF2-40B4-BE49-F238E27FC236}">
              <a16:creationId xmlns:a16="http://schemas.microsoft.com/office/drawing/2014/main" id="{00000000-0008-0000-0100-00002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57" name="Drop Down 1" hidden="1">
          <a:extLst>
            <a:ext uri="{FF2B5EF4-FFF2-40B4-BE49-F238E27FC236}">
              <a16:creationId xmlns:a16="http://schemas.microsoft.com/office/drawing/2014/main" id="{00000000-0008-0000-0100-00002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58" name="Drop Down 1" hidden="1">
          <a:extLst>
            <a:ext uri="{FF2B5EF4-FFF2-40B4-BE49-F238E27FC236}">
              <a16:creationId xmlns:a16="http://schemas.microsoft.com/office/drawing/2014/main" id="{00000000-0008-0000-0100-00002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59" name="Drop Down 1" hidden="1">
          <a:extLst>
            <a:ext uri="{FF2B5EF4-FFF2-40B4-BE49-F238E27FC236}">
              <a16:creationId xmlns:a16="http://schemas.microsoft.com/office/drawing/2014/main" id="{00000000-0008-0000-0100-00002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60" name="Drop Down 1" hidden="1">
          <a:extLst>
            <a:ext uri="{FF2B5EF4-FFF2-40B4-BE49-F238E27FC236}">
              <a16:creationId xmlns:a16="http://schemas.microsoft.com/office/drawing/2014/main" id="{00000000-0008-0000-0100-00002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61" name="Drop Down 2" hidden="1">
          <a:extLst>
            <a:ext uri="{FF2B5EF4-FFF2-40B4-BE49-F238E27FC236}">
              <a16:creationId xmlns:a16="http://schemas.microsoft.com/office/drawing/2014/main" id="{00000000-0008-0000-0100-00002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62" name="Drop Down 1" hidden="1">
          <a:extLst>
            <a:ext uri="{FF2B5EF4-FFF2-40B4-BE49-F238E27FC236}">
              <a16:creationId xmlns:a16="http://schemas.microsoft.com/office/drawing/2014/main" id="{00000000-0008-0000-0100-00002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463" name="Drop Down -1022" hidden="1">
          <a:extLst>
            <a:ext uri="{FF2B5EF4-FFF2-40B4-BE49-F238E27FC236}">
              <a16:creationId xmlns:a16="http://schemas.microsoft.com/office/drawing/2014/main" id="{00000000-0008-0000-0100-00002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64" name="Drop Down 1" hidden="1">
          <a:extLst>
            <a:ext uri="{FF2B5EF4-FFF2-40B4-BE49-F238E27FC236}">
              <a16:creationId xmlns:a16="http://schemas.microsoft.com/office/drawing/2014/main" id="{00000000-0008-0000-0100-000028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65" name="Drop Down 1" hidden="1">
          <a:extLst>
            <a:ext uri="{FF2B5EF4-FFF2-40B4-BE49-F238E27FC236}">
              <a16:creationId xmlns:a16="http://schemas.microsoft.com/office/drawing/2014/main" id="{00000000-0008-0000-0100-000029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66" name="Drop Down 1" hidden="1">
          <a:extLst>
            <a:ext uri="{FF2B5EF4-FFF2-40B4-BE49-F238E27FC236}">
              <a16:creationId xmlns:a16="http://schemas.microsoft.com/office/drawing/2014/main" id="{00000000-0008-0000-0100-00002A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67" name="Drop Down 1" hidden="1">
          <a:extLst>
            <a:ext uri="{FF2B5EF4-FFF2-40B4-BE49-F238E27FC236}">
              <a16:creationId xmlns:a16="http://schemas.microsoft.com/office/drawing/2014/main" id="{00000000-0008-0000-0100-00002B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68" name="Drop Down 2" hidden="1">
          <a:extLst>
            <a:ext uri="{FF2B5EF4-FFF2-40B4-BE49-F238E27FC236}">
              <a16:creationId xmlns:a16="http://schemas.microsoft.com/office/drawing/2014/main" id="{00000000-0008-0000-0100-00002C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69" name="Drop Down 1" hidden="1">
          <a:extLst>
            <a:ext uri="{FF2B5EF4-FFF2-40B4-BE49-F238E27FC236}">
              <a16:creationId xmlns:a16="http://schemas.microsoft.com/office/drawing/2014/main" id="{00000000-0008-0000-0100-00002D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70" name="Drop Down -1022" hidden="1">
          <a:extLst>
            <a:ext uri="{FF2B5EF4-FFF2-40B4-BE49-F238E27FC236}">
              <a16:creationId xmlns:a16="http://schemas.microsoft.com/office/drawing/2014/main" id="{00000000-0008-0000-0100-00002E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71" name="Drop Down 1" hidden="1">
          <a:extLst>
            <a:ext uri="{FF2B5EF4-FFF2-40B4-BE49-F238E27FC236}">
              <a16:creationId xmlns:a16="http://schemas.microsoft.com/office/drawing/2014/main" id="{00000000-0008-0000-0100-00002F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72" name="Drop Down 1" hidden="1">
          <a:extLst>
            <a:ext uri="{FF2B5EF4-FFF2-40B4-BE49-F238E27FC236}">
              <a16:creationId xmlns:a16="http://schemas.microsoft.com/office/drawing/2014/main" id="{00000000-0008-0000-0100-000030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73" name="Drop Down 1" hidden="1">
          <a:extLst>
            <a:ext uri="{FF2B5EF4-FFF2-40B4-BE49-F238E27FC236}">
              <a16:creationId xmlns:a16="http://schemas.microsoft.com/office/drawing/2014/main" id="{00000000-0008-0000-0100-000031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74" name="Drop Down 1" hidden="1">
          <a:extLst>
            <a:ext uri="{FF2B5EF4-FFF2-40B4-BE49-F238E27FC236}">
              <a16:creationId xmlns:a16="http://schemas.microsoft.com/office/drawing/2014/main" id="{00000000-0008-0000-0100-000032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75" name="Drop Down 2" hidden="1">
          <a:extLst>
            <a:ext uri="{FF2B5EF4-FFF2-40B4-BE49-F238E27FC236}">
              <a16:creationId xmlns:a16="http://schemas.microsoft.com/office/drawing/2014/main" id="{00000000-0008-0000-0100-000033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76" name="Drop Down 1" hidden="1">
          <a:extLst>
            <a:ext uri="{FF2B5EF4-FFF2-40B4-BE49-F238E27FC236}">
              <a16:creationId xmlns:a16="http://schemas.microsoft.com/office/drawing/2014/main" id="{00000000-0008-0000-0100-000034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77" name="Drop Down -1022" hidden="1">
          <a:extLst>
            <a:ext uri="{FF2B5EF4-FFF2-40B4-BE49-F238E27FC236}">
              <a16:creationId xmlns:a16="http://schemas.microsoft.com/office/drawing/2014/main" id="{00000000-0008-0000-0100-000035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78" name="Drop Down 1" hidden="1">
          <a:extLst>
            <a:ext uri="{FF2B5EF4-FFF2-40B4-BE49-F238E27FC236}">
              <a16:creationId xmlns:a16="http://schemas.microsoft.com/office/drawing/2014/main" id="{00000000-0008-0000-0100-000036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79" name="Drop Down 1" hidden="1">
          <a:extLst>
            <a:ext uri="{FF2B5EF4-FFF2-40B4-BE49-F238E27FC236}">
              <a16:creationId xmlns:a16="http://schemas.microsoft.com/office/drawing/2014/main" id="{00000000-0008-0000-0100-000037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80" name="Drop Down 1" hidden="1">
          <a:extLst>
            <a:ext uri="{FF2B5EF4-FFF2-40B4-BE49-F238E27FC236}">
              <a16:creationId xmlns:a16="http://schemas.microsoft.com/office/drawing/2014/main" id="{00000000-0008-0000-0100-000038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81" name="Drop Down 1" hidden="1">
          <a:extLst>
            <a:ext uri="{FF2B5EF4-FFF2-40B4-BE49-F238E27FC236}">
              <a16:creationId xmlns:a16="http://schemas.microsoft.com/office/drawing/2014/main" id="{00000000-0008-0000-0100-000039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82" name="Drop Down 2" hidden="1">
          <a:extLst>
            <a:ext uri="{FF2B5EF4-FFF2-40B4-BE49-F238E27FC236}">
              <a16:creationId xmlns:a16="http://schemas.microsoft.com/office/drawing/2014/main" id="{00000000-0008-0000-0100-00003A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83" name="Drop Down 1" hidden="1">
          <a:extLst>
            <a:ext uri="{FF2B5EF4-FFF2-40B4-BE49-F238E27FC236}">
              <a16:creationId xmlns:a16="http://schemas.microsoft.com/office/drawing/2014/main" id="{00000000-0008-0000-0100-00003B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484" name="Drop Down -1022" hidden="1">
          <a:extLst>
            <a:ext uri="{FF2B5EF4-FFF2-40B4-BE49-F238E27FC236}">
              <a16:creationId xmlns:a16="http://schemas.microsoft.com/office/drawing/2014/main" id="{00000000-0008-0000-0100-00003C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85" name="Drop Down 1" hidden="1">
          <a:extLst>
            <a:ext uri="{FF2B5EF4-FFF2-40B4-BE49-F238E27FC236}">
              <a16:creationId xmlns:a16="http://schemas.microsoft.com/office/drawing/2014/main" id="{00000000-0008-0000-0100-00003D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86" name="Drop Down 1" hidden="1">
          <a:extLst>
            <a:ext uri="{FF2B5EF4-FFF2-40B4-BE49-F238E27FC236}">
              <a16:creationId xmlns:a16="http://schemas.microsoft.com/office/drawing/2014/main" id="{00000000-0008-0000-0100-00003E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87" name="Drop Down 1" hidden="1">
          <a:extLst>
            <a:ext uri="{FF2B5EF4-FFF2-40B4-BE49-F238E27FC236}">
              <a16:creationId xmlns:a16="http://schemas.microsoft.com/office/drawing/2014/main" id="{00000000-0008-0000-0100-00003F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88" name="Drop Down 1" hidden="1">
          <a:extLst>
            <a:ext uri="{FF2B5EF4-FFF2-40B4-BE49-F238E27FC236}">
              <a16:creationId xmlns:a16="http://schemas.microsoft.com/office/drawing/2014/main" id="{00000000-0008-0000-0100-000040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89" name="Drop Down 2" hidden="1">
          <a:extLst>
            <a:ext uri="{FF2B5EF4-FFF2-40B4-BE49-F238E27FC236}">
              <a16:creationId xmlns:a16="http://schemas.microsoft.com/office/drawing/2014/main" id="{00000000-0008-0000-0100-000041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90" name="Drop Down 1" hidden="1">
          <a:extLst>
            <a:ext uri="{FF2B5EF4-FFF2-40B4-BE49-F238E27FC236}">
              <a16:creationId xmlns:a16="http://schemas.microsoft.com/office/drawing/2014/main" id="{00000000-0008-0000-0100-000042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491" name="Drop Down -1022" hidden="1">
          <a:extLst>
            <a:ext uri="{FF2B5EF4-FFF2-40B4-BE49-F238E27FC236}">
              <a16:creationId xmlns:a16="http://schemas.microsoft.com/office/drawing/2014/main" id="{00000000-0008-0000-0100-000043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492" name="Drop Down 1" hidden="1">
          <a:extLst>
            <a:ext uri="{FF2B5EF4-FFF2-40B4-BE49-F238E27FC236}">
              <a16:creationId xmlns:a16="http://schemas.microsoft.com/office/drawing/2014/main" id="{00000000-0008-0000-0100-00004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493" name="Drop Down 1" hidden="1">
          <a:extLst>
            <a:ext uri="{FF2B5EF4-FFF2-40B4-BE49-F238E27FC236}">
              <a16:creationId xmlns:a16="http://schemas.microsoft.com/office/drawing/2014/main" id="{00000000-0008-0000-0100-00004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494" name="Drop Down 1" hidden="1">
          <a:extLst>
            <a:ext uri="{FF2B5EF4-FFF2-40B4-BE49-F238E27FC236}">
              <a16:creationId xmlns:a16="http://schemas.microsoft.com/office/drawing/2014/main" id="{00000000-0008-0000-0100-00004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495" name="Drop Down 1" hidden="1">
          <a:extLst>
            <a:ext uri="{FF2B5EF4-FFF2-40B4-BE49-F238E27FC236}">
              <a16:creationId xmlns:a16="http://schemas.microsoft.com/office/drawing/2014/main" id="{00000000-0008-0000-0100-00004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496" name="Drop Down 2" hidden="1">
          <a:extLst>
            <a:ext uri="{FF2B5EF4-FFF2-40B4-BE49-F238E27FC236}">
              <a16:creationId xmlns:a16="http://schemas.microsoft.com/office/drawing/2014/main" id="{00000000-0008-0000-0100-00004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497" name="Drop Down 1" hidden="1">
          <a:extLst>
            <a:ext uri="{FF2B5EF4-FFF2-40B4-BE49-F238E27FC236}">
              <a16:creationId xmlns:a16="http://schemas.microsoft.com/office/drawing/2014/main" id="{00000000-0008-0000-0100-00004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498" name="Drop Down -1022" hidden="1">
          <a:extLst>
            <a:ext uri="{FF2B5EF4-FFF2-40B4-BE49-F238E27FC236}">
              <a16:creationId xmlns:a16="http://schemas.microsoft.com/office/drawing/2014/main" id="{00000000-0008-0000-0100-00004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499" name="Drop Down 1" hidden="1">
          <a:extLst>
            <a:ext uri="{FF2B5EF4-FFF2-40B4-BE49-F238E27FC236}">
              <a16:creationId xmlns:a16="http://schemas.microsoft.com/office/drawing/2014/main" id="{00000000-0008-0000-0100-00004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00" name="Drop Down 1" hidden="1">
          <a:extLst>
            <a:ext uri="{FF2B5EF4-FFF2-40B4-BE49-F238E27FC236}">
              <a16:creationId xmlns:a16="http://schemas.microsoft.com/office/drawing/2014/main" id="{00000000-0008-0000-0100-00004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01" name="Drop Down 1" hidden="1">
          <a:extLst>
            <a:ext uri="{FF2B5EF4-FFF2-40B4-BE49-F238E27FC236}">
              <a16:creationId xmlns:a16="http://schemas.microsoft.com/office/drawing/2014/main" id="{00000000-0008-0000-0100-00004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02" name="Drop Down 1" hidden="1">
          <a:extLst>
            <a:ext uri="{FF2B5EF4-FFF2-40B4-BE49-F238E27FC236}">
              <a16:creationId xmlns:a16="http://schemas.microsoft.com/office/drawing/2014/main" id="{00000000-0008-0000-0100-00004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03" name="Drop Down 2" hidden="1">
          <a:extLst>
            <a:ext uri="{FF2B5EF4-FFF2-40B4-BE49-F238E27FC236}">
              <a16:creationId xmlns:a16="http://schemas.microsoft.com/office/drawing/2014/main" id="{00000000-0008-0000-0100-00004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04" name="Drop Down 1" hidden="1">
          <a:extLst>
            <a:ext uri="{FF2B5EF4-FFF2-40B4-BE49-F238E27FC236}">
              <a16:creationId xmlns:a16="http://schemas.microsoft.com/office/drawing/2014/main" id="{00000000-0008-0000-0100-00005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05" name="Drop Down -1022" hidden="1">
          <a:extLst>
            <a:ext uri="{FF2B5EF4-FFF2-40B4-BE49-F238E27FC236}">
              <a16:creationId xmlns:a16="http://schemas.microsoft.com/office/drawing/2014/main" id="{00000000-0008-0000-0100-00005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06" name="Drop Down 1" hidden="1">
          <a:extLst>
            <a:ext uri="{FF2B5EF4-FFF2-40B4-BE49-F238E27FC236}">
              <a16:creationId xmlns:a16="http://schemas.microsoft.com/office/drawing/2014/main" id="{00000000-0008-0000-0100-00005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07" name="Drop Down 1" hidden="1">
          <a:extLst>
            <a:ext uri="{FF2B5EF4-FFF2-40B4-BE49-F238E27FC236}">
              <a16:creationId xmlns:a16="http://schemas.microsoft.com/office/drawing/2014/main" id="{00000000-0008-0000-0100-00005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08" name="Drop Down 1" hidden="1">
          <a:extLst>
            <a:ext uri="{FF2B5EF4-FFF2-40B4-BE49-F238E27FC236}">
              <a16:creationId xmlns:a16="http://schemas.microsoft.com/office/drawing/2014/main" id="{00000000-0008-0000-0100-00005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09" name="Drop Down 1" hidden="1">
          <a:extLst>
            <a:ext uri="{FF2B5EF4-FFF2-40B4-BE49-F238E27FC236}">
              <a16:creationId xmlns:a16="http://schemas.microsoft.com/office/drawing/2014/main" id="{00000000-0008-0000-0100-00005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10" name="Drop Down 2" hidden="1">
          <a:extLst>
            <a:ext uri="{FF2B5EF4-FFF2-40B4-BE49-F238E27FC236}">
              <a16:creationId xmlns:a16="http://schemas.microsoft.com/office/drawing/2014/main" id="{00000000-0008-0000-0100-00005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11" name="Drop Down 1" hidden="1">
          <a:extLst>
            <a:ext uri="{FF2B5EF4-FFF2-40B4-BE49-F238E27FC236}">
              <a16:creationId xmlns:a16="http://schemas.microsoft.com/office/drawing/2014/main" id="{00000000-0008-0000-0100-00005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12" name="Drop Down -1022" hidden="1">
          <a:extLst>
            <a:ext uri="{FF2B5EF4-FFF2-40B4-BE49-F238E27FC236}">
              <a16:creationId xmlns:a16="http://schemas.microsoft.com/office/drawing/2014/main" id="{00000000-0008-0000-0100-00005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13" name="Drop Down 1" hidden="1">
          <a:extLst>
            <a:ext uri="{FF2B5EF4-FFF2-40B4-BE49-F238E27FC236}">
              <a16:creationId xmlns:a16="http://schemas.microsoft.com/office/drawing/2014/main" id="{00000000-0008-0000-0100-00005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14" name="Drop Down 1" hidden="1">
          <a:extLst>
            <a:ext uri="{FF2B5EF4-FFF2-40B4-BE49-F238E27FC236}">
              <a16:creationId xmlns:a16="http://schemas.microsoft.com/office/drawing/2014/main" id="{00000000-0008-0000-0100-00005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15" name="Drop Down 1" hidden="1">
          <a:extLst>
            <a:ext uri="{FF2B5EF4-FFF2-40B4-BE49-F238E27FC236}">
              <a16:creationId xmlns:a16="http://schemas.microsoft.com/office/drawing/2014/main" id="{00000000-0008-0000-0100-00005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16" name="Drop Down 1" hidden="1">
          <a:extLst>
            <a:ext uri="{FF2B5EF4-FFF2-40B4-BE49-F238E27FC236}">
              <a16:creationId xmlns:a16="http://schemas.microsoft.com/office/drawing/2014/main" id="{00000000-0008-0000-0100-00005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17" name="Drop Down 2" hidden="1">
          <a:extLst>
            <a:ext uri="{FF2B5EF4-FFF2-40B4-BE49-F238E27FC236}">
              <a16:creationId xmlns:a16="http://schemas.microsoft.com/office/drawing/2014/main" id="{00000000-0008-0000-0100-00005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18" name="Drop Down 1" hidden="1">
          <a:extLst>
            <a:ext uri="{FF2B5EF4-FFF2-40B4-BE49-F238E27FC236}">
              <a16:creationId xmlns:a16="http://schemas.microsoft.com/office/drawing/2014/main" id="{00000000-0008-0000-0100-00005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19" name="Drop Down -1022" hidden="1">
          <a:extLst>
            <a:ext uri="{FF2B5EF4-FFF2-40B4-BE49-F238E27FC236}">
              <a16:creationId xmlns:a16="http://schemas.microsoft.com/office/drawing/2014/main" id="{00000000-0008-0000-0100-00005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20" name="Drop Down 1" hidden="1">
          <a:extLst>
            <a:ext uri="{FF2B5EF4-FFF2-40B4-BE49-F238E27FC236}">
              <a16:creationId xmlns:a16="http://schemas.microsoft.com/office/drawing/2014/main" id="{00000000-0008-0000-0100-00006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21" name="Drop Down 1" hidden="1">
          <a:extLst>
            <a:ext uri="{FF2B5EF4-FFF2-40B4-BE49-F238E27FC236}">
              <a16:creationId xmlns:a16="http://schemas.microsoft.com/office/drawing/2014/main" id="{00000000-0008-0000-0100-00006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22" name="Drop Down 1" hidden="1">
          <a:extLst>
            <a:ext uri="{FF2B5EF4-FFF2-40B4-BE49-F238E27FC236}">
              <a16:creationId xmlns:a16="http://schemas.microsoft.com/office/drawing/2014/main" id="{00000000-0008-0000-0100-00006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23" name="Drop Down 1" hidden="1">
          <a:extLst>
            <a:ext uri="{FF2B5EF4-FFF2-40B4-BE49-F238E27FC236}">
              <a16:creationId xmlns:a16="http://schemas.microsoft.com/office/drawing/2014/main" id="{00000000-0008-0000-0100-00006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24" name="Drop Down 2" hidden="1">
          <a:extLst>
            <a:ext uri="{FF2B5EF4-FFF2-40B4-BE49-F238E27FC236}">
              <a16:creationId xmlns:a16="http://schemas.microsoft.com/office/drawing/2014/main" id="{00000000-0008-0000-0100-00006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25" name="Drop Down 1" hidden="1">
          <a:extLst>
            <a:ext uri="{FF2B5EF4-FFF2-40B4-BE49-F238E27FC236}">
              <a16:creationId xmlns:a16="http://schemas.microsoft.com/office/drawing/2014/main" id="{00000000-0008-0000-0100-00006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26" name="Drop Down -1022" hidden="1">
          <a:extLst>
            <a:ext uri="{FF2B5EF4-FFF2-40B4-BE49-F238E27FC236}">
              <a16:creationId xmlns:a16="http://schemas.microsoft.com/office/drawing/2014/main" id="{00000000-0008-0000-0100-00006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27" name="Drop Down 1" hidden="1">
          <a:extLst>
            <a:ext uri="{FF2B5EF4-FFF2-40B4-BE49-F238E27FC236}">
              <a16:creationId xmlns:a16="http://schemas.microsoft.com/office/drawing/2014/main" id="{00000000-0008-0000-0100-00006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28" name="Drop Down 1" hidden="1">
          <a:extLst>
            <a:ext uri="{FF2B5EF4-FFF2-40B4-BE49-F238E27FC236}">
              <a16:creationId xmlns:a16="http://schemas.microsoft.com/office/drawing/2014/main" id="{00000000-0008-0000-0100-00006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29" name="Drop Down 1" hidden="1">
          <a:extLst>
            <a:ext uri="{FF2B5EF4-FFF2-40B4-BE49-F238E27FC236}">
              <a16:creationId xmlns:a16="http://schemas.microsoft.com/office/drawing/2014/main" id="{00000000-0008-0000-0100-00006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30" name="Drop Down 1" hidden="1">
          <a:extLst>
            <a:ext uri="{FF2B5EF4-FFF2-40B4-BE49-F238E27FC236}">
              <a16:creationId xmlns:a16="http://schemas.microsoft.com/office/drawing/2014/main" id="{00000000-0008-0000-0100-00006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31" name="Drop Down 2" hidden="1">
          <a:extLst>
            <a:ext uri="{FF2B5EF4-FFF2-40B4-BE49-F238E27FC236}">
              <a16:creationId xmlns:a16="http://schemas.microsoft.com/office/drawing/2014/main" id="{00000000-0008-0000-0100-00006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32" name="Drop Down 1" hidden="1">
          <a:extLst>
            <a:ext uri="{FF2B5EF4-FFF2-40B4-BE49-F238E27FC236}">
              <a16:creationId xmlns:a16="http://schemas.microsoft.com/office/drawing/2014/main" id="{00000000-0008-0000-0100-00006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33" name="Drop Down -1022" hidden="1">
          <a:extLst>
            <a:ext uri="{FF2B5EF4-FFF2-40B4-BE49-F238E27FC236}">
              <a16:creationId xmlns:a16="http://schemas.microsoft.com/office/drawing/2014/main" id="{00000000-0008-0000-0100-00006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34" name="Drop Down 1" hidden="1">
          <a:extLst>
            <a:ext uri="{FF2B5EF4-FFF2-40B4-BE49-F238E27FC236}">
              <a16:creationId xmlns:a16="http://schemas.microsoft.com/office/drawing/2014/main" id="{00000000-0008-0000-0100-00006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35" name="Drop Down 1" hidden="1">
          <a:extLst>
            <a:ext uri="{FF2B5EF4-FFF2-40B4-BE49-F238E27FC236}">
              <a16:creationId xmlns:a16="http://schemas.microsoft.com/office/drawing/2014/main" id="{00000000-0008-0000-0100-00006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36" name="Drop Down 1" hidden="1">
          <a:extLst>
            <a:ext uri="{FF2B5EF4-FFF2-40B4-BE49-F238E27FC236}">
              <a16:creationId xmlns:a16="http://schemas.microsoft.com/office/drawing/2014/main" id="{00000000-0008-0000-0100-00007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37" name="Drop Down 1" hidden="1">
          <a:extLst>
            <a:ext uri="{FF2B5EF4-FFF2-40B4-BE49-F238E27FC236}">
              <a16:creationId xmlns:a16="http://schemas.microsoft.com/office/drawing/2014/main" id="{00000000-0008-0000-0100-00007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38" name="Drop Down 2" hidden="1">
          <a:extLst>
            <a:ext uri="{FF2B5EF4-FFF2-40B4-BE49-F238E27FC236}">
              <a16:creationId xmlns:a16="http://schemas.microsoft.com/office/drawing/2014/main" id="{00000000-0008-0000-0100-00007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39" name="Drop Down 1" hidden="1">
          <a:extLst>
            <a:ext uri="{FF2B5EF4-FFF2-40B4-BE49-F238E27FC236}">
              <a16:creationId xmlns:a16="http://schemas.microsoft.com/office/drawing/2014/main" id="{00000000-0008-0000-0100-00007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40" name="Drop Down -1022" hidden="1">
          <a:extLst>
            <a:ext uri="{FF2B5EF4-FFF2-40B4-BE49-F238E27FC236}">
              <a16:creationId xmlns:a16="http://schemas.microsoft.com/office/drawing/2014/main" id="{00000000-0008-0000-0100-00007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41" name="Drop Down 1" hidden="1">
          <a:extLst>
            <a:ext uri="{FF2B5EF4-FFF2-40B4-BE49-F238E27FC236}">
              <a16:creationId xmlns:a16="http://schemas.microsoft.com/office/drawing/2014/main" id="{00000000-0008-0000-0100-00007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42" name="Drop Down 1" hidden="1">
          <a:extLst>
            <a:ext uri="{FF2B5EF4-FFF2-40B4-BE49-F238E27FC236}">
              <a16:creationId xmlns:a16="http://schemas.microsoft.com/office/drawing/2014/main" id="{00000000-0008-0000-0100-00007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43" name="Drop Down 1" hidden="1">
          <a:extLst>
            <a:ext uri="{FF2B5EF4-FFF2-40B4-BE49-F238E27FC236}">
              <a16:creationId xmlns:a16="http://schemas.microsoft.com/office/drawing/2014/main" id="{00000000-0008-0000-0100-00007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44" name="Drop Down 1" hidden="1">
          <a:extLst>
            <a:ext uri="{FF2B5EF4-FFF2-40B4-BE49-F238E27FC236}">
              <a16:creationId xmlns:a16="http://schemas.microsoft.com/office/drawing/2014/main" id="{00000000-0008-0000-0100-00007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45" name="Drop Down 2" hidden="1">
          <a:extLst>
            <a:ext uri="{FF2B5EF4-FFF2-40B4-BE49-F238E27FC236}">
              <a16:creationId xmlns:a16="http://schemas.microsoft.com/office/drawing/2014/main" id="{00000000-0008-0000-0100-00007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46" name="Drop Down 1" hidden="1">
          <a:extLst>
            <a:ext uri="{FF2B5EF4-FFF2-40B4-BE49-F238E27FC236}">
              <a16:creationId xmlns:a16="http://schemas.microsoft.com/office/drawing/2014/main" id="{00000000-0008-0000-0100-00007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47" name="Drop Down -1022" hidden="1">
          <a:extLst>
            <a:ext uri="{FF2B5EF4-FFF2-40B4-BE49-F238E27FC236}">
              <a16:creationId xmlns:a16="http://schemas.microsoft.com/office/drawing/2014/main" id="{00000000-0008-0000-0100-00007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48" name="Drop Down 1" hidden="1">
          <a:extLst>
            <a:ext uri="{FF2B5EF4-FFF2-40B4-BE49-F238E27FC236}">
              <a16:creationId xmlns:a16="http://schemas.microsoft.com/office/drawing/2014/main" id="{00000000-0008-0000-0100-00007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49" name="Drop Down 1" hidden="1">
          <a:extLst>
            <a:ext uri="{FF2B5EF4-FFF2-40B4-BE49-F238E27FC236}">
              <a16:creationId xmlns:a16="http://schemas.microsoft.com/office/drawing/2014/main" id="{00000000-0008-0000-0100-00007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50" name="Drop Down 1" hidden="1">
          <a:extLst>
            <a:ext uri="{FF2B5EF4-FFF2-40B4-BE49-F238E27FC236}">
              <a16:creationId xmlns:a16="http://schemas.microsoft.com/office/drawing/2014/main" id="{00000000-0008-0000-0100-00007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51" name="Drop Down 1" hidden="1">
          <a:extLst>
            <a:ext uri="{FF2B5EF4-FFF2-40B4-BE49-F238E27FC236}">
              <a16:creationId xmlns:a16="http://schemas.microsoft.com/office/drawing/2014/main" id="{00000000-0008-0000-0100-00007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52" name="Drop Down 2" hidden="1">
          <a:extLst>
            <a:ext uri="{FF2B5EF4-FFF2-40B4-BE49-F238E27FC236}">
              <a16:creationId xmlns:a16="http://schemas.microsoft.com/office/drawing/2014/main" id="{00000000-0008-0000-0100-00008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53" name="Drop Down 1" hidden="1">
          <a:extLst>
            <a:ext uri="{FF2B5EF4-FFF2-40B4-BE49-F238E27FC236}">
              <a16:creationId xmlns:a16="http://schemas.microsoft.com/office/drawing/2014/main" id="{00000000-0008-0000-0100-00008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54" name="Drop Down -1022" hidden="1">
          <a:extLst>
            <a:ext uri="{FF2B5EF4-FFF2-40B4-BE49-F238E27FC236}">
              <a16:creationId xmlns:a16="http://schemas.microsoft.com/office/drawing/2014/main" id="{00000000-0008-0000-0100-00008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55" name="Drop Down 1" hidden="1">
          <a:extLst>
            <a:ext uri="{FF2B5EF4-FFF2-40B4-BE49-F238E27FC236}">
              <a16:creationId xmlns:a16="http://schemas.microsoft.com/office/drawing/2014/main" id="{00000000-0008-0000-0100-00008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56" name="Drop Down 1" hidden="1">
          <a:extLst>
            <a:ext uri="{FF2B5EF4-FFF2-40B4-BE49-F238E27FC236}">
              <a16:creationId xmlns:a16="http://schemas.microsoft.com/office/drawing/2014/main" id="{00000000-0008-0000-0100-00008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57" name="Drop Down 1" hidden="1">
          <a:extLst>
            <a:ext uri="{FF2B5EF4-FFF2-40B4-BE49-F238E27FC236}">
              <a16:creationId xmlns:a16="http://schemas.microsoft.com/office/drawing/2014/main" id="{00000000-0008-0000-0100-00008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58" name="Drop Down 1" hidden="1">
          <a:extLst>
            <a:ext uri="{FF2B5EF4-FFF2-40B4-BE49-F238E27FC236}">
              <a16:creationId xmlns:a16="http://schemas.microsoft.com/office/drawing/2014/main" id="{00000000-0008-0000-0100-00008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59" name="Drop Down 2" hidden="1">
          <a:extLst>
            <a:ext uri="{FF2B5EF4-FFF2-40B4-BE49-F238E27FC236}">
              <a16:creationId xmlns:a16="http://schemas.microsoft.com/office/drawing/2014/main" id="{00000000-0008-0000-0100-00008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60" name="Drop Down 1" hidden="1">
          <a:extLst>
            <a:ext uri="{FF2B5EF4-FFF2-40B4-BE49-F238E27FC236}">
              <a16:creationId xmlns:a16="http://schemas.microsoft.com/office/drawing/2014/main" id="{00000000-0008-0000-0100-00008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61" name="Drop Down -1022" hidden="1">
          <a:extLst>
            <a:ext uri="{FF2B5EF4-FFF2-40B4-BE49-F238E27FC236}">
              <a16:creationId xmlns:a16="http://schemas.microsoft.com/office/drawing/2014/main" id="{00000000-0008-0000-0100-00008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62" name="Drop Down 1" hidden="1">
          <a:extLst>
            <a:ext uri="{FF2B5EF4-FFF2-40B4-BE49-F238E27FC236}">
              <a16:creationId xmlns:a16="http://schemas.microsoft.com/office/drawing/2014/main" id="{00000000-0008-0000-0100-00008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63" name="Drop Down 1" hidden="1">
          <a:extLst>
            <a:ext uri="{FF2B5EF4-FFF2-40B4-BE49-F238E27FC236}">
              <a16:creationId xmlns:a16="http://schemas.microsoft.com/office/drawing/2014/main" id="{00000000-0008-0000-0100-00008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64" name="Drop Down 1" hidden="1">
          <a:extLst>
            <a:ext uri="{FF2B5EF4-FFF2-40B4-BE49-F238E27FC236}">
              <a16:creationId xmlns:a16="http://schemas.microsoft.com/office/drawing/2014/main" id="{00000000-0008-0000-0100-00008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65" name="Drop Down 1" hidden="1">
          <a:extLst>
            <a:ext uri="{FF2B5EF4-FFF2-40B4-BE49-F238E27FC236}">
              <a16:creationId xmlns:a16="http://schemas.microsoft.com/office/drawing/2014/main" id="{00000000-0008-0000-0100-00008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66" name="Drop Down 2" hidden="1">
          <a:extLst>
            <a:ext uri="{FF2B5EF4-FFF2-40B4-BE49-F238E27FC236}">
              <a16:creationId xmlns:a16="http://schemas.microsoft.com/office/drawing/2014/main" id="{00000000-0008-0000-0100-00008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67" name="Drop Down 1" hidden="1">
          <a:extLst>
            <a:ext uri="{FF2B5EF4-FFF2-40B4-BE49-F238E27FC236}">
              <a16:creationId xmlns:a16="http://schemas.microsoft.com/office/drawing/2014/main" id="{00000000-0008-0000-0100-00008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68" name="Drop Down -1022" hidden="1">
          <a:extLst>
            <a:ext uri="{FF2B5EF4-FFF2-40B4-BE49-F238E27FC236}">
              <a16:creationId xmlns:a16="http://schemas.microsoft.com/office/drawing/2014/main" id="{00000000-0008-0000-0100-00009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69" name="Drop Down 1" hidden="1">
          <a:extLst>
            <a:ext uri="{FF2B5EF4-FFF2-40B4-BE49-F238E27FC236}">
              <a16:creationId xmlns:a16="http://schemas.microsoft.com/office/drawing/2014/main" id="{00000000-0008-0000-0100-00009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70" name="Drop Down 1" hidden="1">
          <a:extLst>
            <a:ext uri="{FF2B5EF4-FFF2-40B4-BE49-F238E27FC236}">
              <a16:creationId xmlns:a16="http://schemas.microsoft.com/office/drawing/2014/main" id="{00000000-0008-0000-0100-00009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71" name="Drop Down 1" hidden="1">
          <a:extLst>
            <a:ext uri="{FF2B5EF4-FFF2-40B4-BE49-F238E27FC236}">
              <a16:creationId xmlns:a16="http://schemas.microsoft.com/office/drawing/2014/main" id="{00000000-0008-0000-0100-00009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72" name="Drop Down 1" hidden="1">
          <a:extLst>
            <a:ext uri="{FF2B5EF4-FFF2-40B4-BE49-F238E27FC236}">
              <a16:creationId xmlns:a16="http://schemas.microsoft.com/office/drawing/2014/main" id="{00000000-0008-0000-0100-00009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73" name="Drop Down 2" hidden="1">
          <a:extLst>
            <a:ext uri="{FF2B5EF4-FFF2-40B4-BE49-F238E27FC236}">
              <a16:creationId xmlns:a16="http://schemas.microsoft.com/office/drawing/2014/main" id="{00000000-0008-0000-0100-00009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74" name="Drop Down 1" hidden="1">
          <a:extLst>
            <a:ext uri="{FF2B5EF4-FFF2-40B4-BE49-F238E27FC236}">
              <a16:creationId xmlns:a16="http://schemas.microsoft.com/office/drawing/2014/main" id="{00000000-0008-0000-0100-00009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75" name="Drop Down -1022" hidden="1">
          <a:extLst>
            <a:ext uri="{FF2B5EF4-FFF2-40B4-BE49-F238E27FC236}">
              <a16:creationId xmlns:a16="http://schemas.microsoft.com/office/drawing/2014/main" id="{00000000-0008-0000-0100-00009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576" name="Drop Down 1" hidden="1">
          <a:extLst>
            <a:ext uri="{FF2B5EF4-FFF2-40B4-BE49-F238E27FC236}">
              <a16:creationId xmlns:a16="http://schemas.microsoft.com/office/drawing/2014/main" id="{00000000-0008-0000-0100-00009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577" name="Drop Down 1" hidden="1">
          <a:extLst>
            <a:ext uri="{FF2B5EF4-FFF2-40B4-BE49-F238E27FC236}">
              <a16:creationId xmlns:a16="http://schemas.microsoft.com/office/drawing/2014/main" id="{00000000-0008-0000-0100-00009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578" name="Drop Down 1" hidden="1">
          <a:extLst>
            <a:ext uri="{FF2B5EF4-FFF2-40B4-BE49-F238E27FC236}">
              <a16:creationId xmlns:a16="http://schemas.microsoft.com/office/drawing/2014/main" id="{00000000-0008-0000-0100-00009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579" name="Drop Down 1" hidden="1">
          <a:extLst>
            <a:ext uri="{FF2B5EF4-FFF2-40B4-BE49-F238E27FC236}">
              <a16:creationId xmlns:a16="http://schemas.microsoft.com/office/drawing/2014/main" id="{00000000-0008-0000-0100-00009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580" name="Drop Down 2" hidden="1">
          <a:extLst>
            <a:ext uri="{FF2B5EF4-FFF2-40B4-BE49-F238E27FC236}">
              <a16:creationId xmlns:a16="http://schemas.microsoft.com/office/drawing/2014/main" id="{00000000-0008-0000-0100-00009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581" name="Drop Down 1" hidden="1">
          <a:extLst>
            <a:ext uri="{FF2B5EF4-FFF2-40B4-BE49-F238E27FC236}">
              <a16:creationId xmlns:a16="http://schemas.microsoft.com/office/drawing/2014/main" id="{00000000-0008-0000-0100-00009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582" name="Drop Down -1022" hidden="1">
          <a:extLst>
            <a:ext uri="{FF2B5EF4-FFF2-40B4-BE49-F238E27FC236}">
              <a16:creationId xmlns:a16="http://schemas.microsoft.com/office/drawing/2014/main" id="{00000000-0008-0000-0100-00009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83" name="Drop Down 1" hidden="1">
          <a:extLst>
            <a:ext uri="{FF2B5EF4-FFF2-40B4-BE49-F238E27FC236}">
              <a16:creationId xmlns:a16="http://schemas.microsoft.com/office/drawing/2014/main" id="{00000000-0008-0000-0100-00009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84" name="Drop Down 1" hidden="1">
          <a:extLst>
            <a:ext uri="{FF2B5EF4-FFF2-40B4-BE49-F238E27FC236}">
              <a16:creationId xmlns:a16="http://schemas.microsoft.com/office/drawing/2014/main" id="{00000000-0008-0000-0100-0000A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85" name="Drop Down 1" hidden="1">
          <a:extLst>
            <a:ext uri="{FF2B5EF4-FFF2-40B4-BE49-F238E27FC236}">
              <a16:creationId xmlns:a16="http://schemas.microsoft.com/office/drawing/2014/main" id="{00000000-0008-0000-0100-0000A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86" name="Drop Down 1" hidden="1">
          <a:extLst>
            <a:ext uri="{FF2B5EF4-FFF2-40B4-BE49-F238E27FC236}">
              <a16:creationId xmlns:a16="http://schemas.microsoft.com/office/drawing/2014/main" id="{00000000-0008-0000-0100-0000A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87" name="Drop Down 2" hidden="1">
          <a:extLst>
            <a:ext uri="{FF2B5EF4-FFF2-40B4-BE49-F238E27FC236}">
              <a16:creationId xmlns:a16="http://schemas.microsoft.com/office/drawing/2014/main" id="{00000000-0008-0000-0100-0000A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88" name="Drop Down 1" hidden="1">
          <a:extLst>
            <a:ext uri="{FF2B5EF4-FFF2-40B4-BE49-F238E27FC236}">
              <a16:creationId xmlns:a16="http://schemas.microsoft.com/office/drawing/2014/main" id="{00000000-0008-0000-0100-0000A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7589" name="Drop Down -1022" hidden="1">
          <a:extLst>
            <a:ext uri="{FF2B5EF4-FFF2-40B4-BE49-F238E27FC236}">
              <a16:creationId xmlns:a16="http://schemas.microsoft.com/office/drawing/2014/main" id="{00000000-0008-0000-0100-0000A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90" name="Drop Down 1" hidden="1">
          <a:extLst>
            <a:ext uri="{FF2B5EF4-FFF2-40B4-BE49-F238E27FC236}">
              <a16:creationId xmlns:a16="http://schemas.microsoft.com/office/drawing/2014/main" id="{00000000-0008-0000-0100-0000A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91" name="Drop Down 1" hidden="1">
          <a:extLst>
            <a:ext uri="{FF2B5EF4-FFF2-40B4-BE49-F238E27FC236}">
              <a16:creationId xmlns:a16="http://schemas.microsoft.com/office/drawing/2014/main" id="{00000000-0008-0000-0100-0000A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92" name="Drop Down 1" hidden="1">
          <a:extLst>
            <a:ext uri="{FF2B5EF4-FFF2-40B4-BE49-F238E27FC236}">
              <a16:creationId xmlns:a16="http://schemas.microsoft.com/office/drawing/2014/main" id="{00000000-0008-0000-0100-0000A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93" name="Drop Down 1" hidden="1">
          <a:extLst>
            <a:ext uri="{FF2B5EF4-FFF2-40B4-BE49-F238E27FC236}">
              <a16:creationId xmlns:a16="http://schemas.microsoft.com/office/drawing/2014/main" id="{00000000-0008-0000-0100-0000A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94" name="Drop Down 2" hidden="1">
          <a:extLst>
            <a:ext uri="{FF2B5EF4-FFF2-40B4-BE49-F238E27FC236}">
              <a16:creationId xmlns:a16="http://schemas.microsoft.com/office/drawing/2014/main" id="{00000000-0008-0000-0100-0000A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95" name="Drop Down 1" hidden="1">
          <a:extLst>
            <a:ext uri="{FF2B5EF4-FFF2-40B4-BE49-F238E27FC236}">
              <a16:creationId xmlns:a16="http://schemas.microsoft.com/office/drawing/2014/main" id="{00000000-0008-0000-0100-0000A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596" name="Drop Down -1022" hidden="1">
          <a:extLst>
            <a:ext uri="{FF2B5EF4-FFF2-40B4-BE49-F238E27FC236}">
              <a16:creationId xmlns:a16="http://schemas.microsoft.com/office/drawing/2014/main" id="{00000000-0008-0000-0100-0000A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97" name="Drop Down 1" hidden="1">
          <a:extLst>
            <a:ext uri="{FF2B5EF4-FFF2-40B4-BE49-F238E27FC236}">
              <a16:creationId xmlns:a16="http://schemas.microsoft.com/office/drawing/2014/main" id="{00000000-0008-0000-0100-0000A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98" name="Drop Down 1" hidden="1">
          <a:extLst>
            <a:ext uri="{FF2B5EF4-FFF2-40B4-BE49-F238E27FC236}">
              <a16:creationId xmlns:a16="http://schemas.microsoft.com/office/drawing/2014/main" id="{00000000-0008-0000-0100-0000A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599" name="Drop Down 1" hidden="1">
          <a:extLst>
            <a:ext uri="{FF2B5EF4-FFF2-40B4-BE49-F238E27FC236}">
              <a16:creationId xmlns:a16="http://schemas.microsoft.com/office/drawing/2014/main" id="{00000000-0008-0000-0100-0000A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00" name="Drop Down 1" hidden="1">
          <a:extLst>
            <a:ext uri="{FF2B5EF4-FFF2-40B4-BE49-F238E27FC236}">
              <a16:creationId xmlns:a16="http://schemas.microsoft.com/office/drawing/2014/main" id="{00000000-0008-0000-0100-0000B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01" name="Drop Down 2" hidden="1">
          <a:extLst>
            <a:ext uri="{FF2B5EF4-FFF2-40B4-BE49-F238E27FC236}">
              <a16:creationId xmlns:a16="http://schemas.microsoft.com/office/drawing/2014/main" id="{00000000-0008-0000-0100-0000B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02" name="Drop Down 1" hidden="1">
          <a:extLst>
            <a:ext uri="{FF2B5EF4-FFF2-40B4-BE49-F238E27FC236}">
              <a16:creationId xmlns:a16="http://schemas.microsoft.com/office/drawing/2014/main" id="{00000000-0008-0000-0100-0000B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03" name="Drop Down -1022" hidden="1">
          <a:extLst>
            <a:ext uri="{FF2B5EF4-FFF2-40B4-BE49-F238E27FC236}">
              <a16:creationId xmlns:a16="http://schemas.microsoft.com/office/drawing/2014/main" id="{00000000-0008-0000-0100-0000B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04" name="Drop Down 1" hidden="1">
          <a:extLst>
            <a:ext uri="{FF2B5EF4-FFF2-40B4-BE49-F238E27FC236}">
              <a16:creationId xmlns:a16="http://schemas.microsoft.com/office/drawing/2014/main" id="{00000000-0008-0000-0100-0000B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05" name="Drop Down 1" hidden="1">
          <a:extLst>
            <a:ext uri="{FF2B5EF4-FFF2-40B4-BE49-F238E27FC236}">
              <a16:creationId xmlns:a16="http://schemas.microsoft.com/office/drawing/2014/main" id="{00000000-0008-0000-0100-0000B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06" name="Drop Down 1" hidden="1">
          <a:extLst>
            <a:ext uri="{FF2B5EF4-FFF2-40B4-BE49-F238E27FC236}">
              <a16:creationId xmlns:a16="http://schemas.microsoft.com/office/drawing/2014/main" id="{00000000-0008-0000-0100-0000B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07" name="Drop Down 1" hidden="1">
          <a:extLst>
            <a:ext uri="{FF2B5EF4-FFF2-40B4-BE49-F238E27FC236}">
              <a16:creationId xmlns:a16="http://schemas.microsoft.com/office/drawing/2014/main" id="{00000000-0008-0000-0100-0000B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08" name="Drop Down 2" hidden="1">
          <a:extLst>
            <a:ext uri="{FF2B5EF4-FFF2-40B4-BE49-F238E27FC236}">
              <a16:creationId xmlns:a16="http://schemas.microsoft.com/office/drawing/2014/main" id="{00000000-0008-0000-0100-0000B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09" name="Drop Down 1" hidden="1">
          <a:extLst>
            <a:ext uri="{FF2B5EF4-FFF2-40B4-BE49-F238E27FC236}">
              <a16:creationId xmlns:a16="http://schemas.microsoft.com/office/drawing/2014/main" id="{00000000-0008-0000-0100-0000B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10" name="Drop Down -1022" hidden="1">
          <a:extLst>
            <a:ext uri="{FF2B5EF4-FFF2-40B4-BE49-F238E27FC236}">
              <a16:creationId xmlns:a16="http://schemas.microsoft.com/office/drawing/2014/main" id="{00000000-0008-0000-0100-0000B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11" name="Drop Down 1" hidden="1">
          <a:extLst>
            <a:ext uri="{FF2B5EF4-FFF2-40B4-BE49-F238E27FC236}">
              <a16:creationId xmlns:a16="http://schemas.microsoft.com/office/drawing/2014/main" id="{00000000-0008-0000-0100-0000B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12" name="Drop Down 1" hidden="1">
          <a:extLst>
            <a:ext uri="{FF2B5EF4-FFF2-40B4-BE49-F238E27FC236}">
              <a16:creationId xmlns:a16="http://schemas.microsoft.com/office/drawing/2014/main" id="{00000000-0008-0000-0100-0000B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13" name="Drop Down 1" hidden="1">
          <a:extLst>
            <a:ext uri="{FF2B5EF4-FFF2-40B4-BE49-F238E27FC236}">
              <a16:creationId xmlns:a16="http://schemas.microsoft.com/office/drawing/2014/main" id="{00000000-0008-0000-0100-0000B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14" name="Drop Down 1" hidden="1">
          <a:extLst>
            <a:ext uri="{FF2B5EF4-FFF2-40B4-BE49-F238E27FC236}">
              <a16:creationId xmlns:a16="http://schemas.microsoft.com/office/drawing/2014/main" id="{00000000-0008-0000-0100-0000B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15" name="Drop Down 2" hidden="1">
          <a:extLst>
            <a:ext uri="{FF2B5EF4-FFF2-40B4-BE49-F238E27FC236}">
              <a16:creationId xmlns:a16="http://schemas.microsoft.com/office/drawing/2014/main" id="{00000000-0008-0000-0100-0000B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16" name="Drop Down 1" hidden="1">
          <a:extLst>
            <a:ext uri="{FF2B5EF4-FFF2-40B4-BE49-F238E27FC236}">
              <a16:creationId xmlns:a16="http://schemas.microsoft.com/office/drawing/2014/main" id="{00000000-0008-0000-0100-0000C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17" name="Drop Down -1022" hidden="1">
          <a:extLst>
            <a:ext uri="{FF2B5EF4-FFF2-40B4-BE49-F238E27FC236}">
              <a16:creationId xmlns:a16="http://schemas.microsoft.com/office/drawing/2014/main" id="{00000000-0008-0000-0100-0000C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18" name="Drop Down 1" hidden="1">
          <a:extLst>
            <a:ext uri="{FF2B5EF4-FFF2-40B4-BE49-F238E27FC236}">
              <a16:creationId xmlns:a16="http://schemas.microsoft.com/office/drawing/2014/main" id="{00000000-0008-0000-0100-0000C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19" name="Drop Down 1" hidden="1">
          <a:extLst>
            <a:ext uri="{FF2B5EF4-FFF2-40B4-BE49-F238E27FC236}">
              <a16:creationId xmlns:a16="http://schemas.microsoft.com/office/drawing/2014/main" id="{00000000-0008-0000-0100-0000C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20" name="Drop Down 1" hidden="1">
          <a:extLst>
            <a:ext uri="{FF2B5EF4-FFF2-40B4-BE49-F238E27FC236}">
              <a16:creationId xmlns:a16="http://schemas.microsoft.com/office/drawing/2014/main" id="{00000000-0008-0000-0100-0000C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21" name="Drop Down 1" hidden="1">
          <a:extLst>
            <a:ext uri="{FF2B5EF4-FFF2-40B4-BE49-F238E27FC236}">
              <a16:creationId xmlns:a16="http://schemas.microsoft.com/office/drawing/2014/main" id="{00000000-0008-0000-0100-0000C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22" name="Drop Down 2" hidden="1">
          <a:extLst>
            <a:ext uri="{FF2B5EF4-FFF2-40B4-BE49-F238E27FC236}">
              <a16:creationId xmlns:a16="http://schemas.microsoft.com/office/drawing/2014/main" id="{00000000-0008-0000-0100-0000C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23" name="Drop Down 1" hidden="1">
          <a:extLst>
            <a:ext uri="{FF2B5EF4-FFF2-40B4-BE49-F238E27FC236}">
              <a16:creationId xmlns:a16="http://schemas.microsoft.com/office/drawing/2014/main" id="{00000000-0008-0000-0100-0000C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24" name="Drop Down -1022" hidden="1">
          <a:extLst>
            <a:ext uri="{FF2B5EF4-FFF2-40B4-BE49-F238E27FC236}">
              <a16:creationId xmlns:a16="http://schemas.microsoft.com/office/drawing/2014/main" id="{00000000-0008-0000-0100-0000C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25" name="Drop Down 1" hidden="1">
          <a:extLst>
            <a:ext uri="{FF2B5EF4-FFF2-40B4-BE49-F238E27FC236}">
              <a16:creationId xmlns:a16="http://schemas.microsoft.com/office/drawing/2014/main" id="{00000000-0008-0000-0100-0000C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26" name="Drop Down 1" hidden="1">
          <a:extLst>
            <a:ext uri="{FF2B5EF4-FFF2-40B4-BE49-F238E27FC236}">
              <a16:creationId xmlns:a16="http://schemas.microsoft.com/office/drawing/2014/main" id="{00000000-0008-0000-0100-0000C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27" name="Drop Down 1" hidden="1">
          <a:extLst>
            <a:ext uri="{FF2B5EF4-FFF2-40B4-BE49-F238E27FC236}">
              <a16:creationId xmlns:a16="http://schemas.microsoft.com/office/drawing/2014/main" id="{00000000-0008-0000-0100-0000C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28" name="Drop Down 1" hidden="1">
          <a:extLst>
            <a:ext uri="{FF2B5EF4-FFF2-40B4-BE49-F238E27FC236}">
              <a16:creationId xmlns:a16="http://schemas.microsoft.com/office/drawing/2014/main" id="{00000000-0008-0000-0100-0000C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29" name="Drop Down 2" hidden="1">
          <a:extLst>
            <a:ext uri="{FF2B5EF4-FFF2-40B4-BE49-F238E27FC236}">
              <a16:creationId xmlns:a16="http://schemas.microsoft.com/office/drawing/2014/main" id="{00000000-0008-0000-0100-0000C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30" name="Drop Down 1" hidden="1">
          <a:extLst>
            <a:ext uri="{FF2B5EF4-FFF2-40B4-BE49-F238E27FC236}">
              <a16:creationId xmlns:a16="http://schemas.microsoft.com/office/drawing/2014/main" id="{00000000-0008-0000-0100-0000C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31" name="Drop Down -1022" hidden="1">
          <a:extLst>
            <a:ext uri="{FF2B5EF4-FFF2-40B4-BE49-F238E27FC236}">
              <a16:creationId xmlns:a16="http://schemas.microsoft.com/office/drawing/2014/main" id="{00000000-0008-0000-0100-0000C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32" name="Drop Down 1" hidden="1">
          <a:extLst>
            <a:ext uri="{FF2B5EF4-FFF2-40B4-BE49-F238E27FC236}">
              <a16:creationId xmlns:a16="http://schemas.microsoft.com/office/drawing/2014/main" id="{00000000-0008-0000-0100-0000D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33" name="Drop Down 1" hidden="1">
          <a:extLst>
            <a:ext uri="{FF2B5EF4-FFF2-40B4-BE49-F238E27FC236}">
              <a16:creationId xmlns:a16="http://schemas.microsoft.com/office/drawing/2014/main" id="{00000000-0008-0000-0100-0000D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34" name="Drop Down 1" hidden="1">
          <a:extLst>
            <a:ext uri="{FF2B5EF4-FFF2-40B4-BE49-F238E27FC236}">
              <a16:creationId xmlns:a16="http://schemas.microsoft.com/office/drawing/2014/main" id="{00000000-0008-0000-0100-0000D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35" name="Drop Down 1" hidden="1">
          <a:extLst>
            <a:ext uri="{FF2B5EF4-FFF2-40B4-BE49-F238E27FC236}">
              <a16:creationId xmlns:a16="http://schemas.microsoft.com/office/drawing/2014/main" id="{00000000-0008-0000-0100-0000D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36" name="Drop Down 2" hidden="1">
          <a:extLst>
            <a:ext uri="{FF2B5EF4-FFF2-40B4-BE49-F238E27FC236}">
              <a16:creationId xmlns:a16="http://schemas.microsoft.com/office/drawing/2014/main" id="{00000000-0008-0000-0100-0000D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37" name="Drop Down 1" hidden="1">
          <a:extLst>
            <a:ext uri="{FF2B5EF4-FFF2-40B4-BE49-F238E27FC236}">
              <a16:creationId xmlns:a16="http://schemas.microsoft.com/office/drawing/2014/main" id="{00000000-0008-0000-0100-0000D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38" name="Drop Down -1022" hidden="1">
          <a:extLst>
            <a:ext uri="{FF2B5EF4-FFF2-40B4-BE49-F238E27FC236}">
              <a16:creationId xmlns:a16="http://schemas.microsoft.com/office/drawing/2014/main" id="{00000000-0008-0000-0100-0000D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39" name="Drop Down 1" hidden="1">
          <a:extLst>
            <a:ext uri="{FF2B5EF4-FFF2-40B4-BE49-F238E27FC236}">
              <a16:creationId xmlns:a16="http://schemas.microsoft.com/office/drawing/2014/main" id="{00000000-0008-0000-0100-0000D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40" name="Drop Down 1" hidden="1">
          <a:extLst>
            <a:ext uri="{FF2B5EF4-FFF2-40B4-BE49-F238E27FC236}">
              <a16:creationId xmlns:a16="http://schemas.microsoft.com/office/drawing/2014/main" id="{00000000-0008-0000-0100-0000D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41" name="Drop Down 1" hidden="1">
          <a:extLst>
            <a:ext uri="{FF2B5EF4-FFF2-40B4-BE49-F238E27FC236}">
              <a16:creationId xmlns:a16="http://schemas.microsoft.com/office/drawing/2014/main" id="{00000000-0008-0000-0100-0000D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42" name="Drop Down 1" hidden="1">
          <a:extLst>
            <a:ext uri="{FF2B5EF4-FFF2-40B4-BE49-F238E27FC236}">
              <a16:creationId xmlns:a16="http://schemas.microsoft.com/office/drawing/2014/main" id="{00000000-0008-0000-0100-0000D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43" name="Drop Down 2" hidden="1">
          <a:extLst>
            <a:ext uri="{FF2B5EF4-FFF2-40B4-BE49-F238E27FC236}">
              <a16:creationId xmlns:a16="http://schemas.microsoft.com/office/drawing/2014/main" id="{00000000-0008-0000-0100-0000D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44" name="Drop Down 1" hidden="1">
          <a:extLst>
            <a:ext uri="{FF2B5EF4-FFF2-40B4-BE49-F238E27FC236}">
              <a16:creationId xmlns:a16="http://schemas.microsoft.com/office/drawing/2014/main" id="{00000000-0008-0000-0100-0000DC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45" name="Drop Down -1022" hidden="1">
          <a:extLst>
            <a:ext uri="{FF2B5EF4-FFF2-40B4-BE49-F238E27FC236}">
              <a16:creationId xmlns:a16="http://schemas.microsoft.com/office/drawing/2014/main" id="{00000000-0008-0000-0100-0000DD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46" name="Drop Down 1" hidden="1">
          <a:extLst>
            <a:ext uri="{FF2B5EF4-FFF2-40B4-BE49-F238E27FC236}">
              <a16:creationId xmlns:a16="http://schemas.microsoft.com/office/drawing/2014/main" id="{00000000-0008-0000-0100-0000DE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47" name="Drop Down 1" hidden="1">
          <a:extLst>
            <a:ext uri="{FF2B5EF4-FFF2-40B4-BE49-F238E27FC236}">
              <a16:creationId xmlns:a16="http://schemas.microsoft.com/office/drawing/2014/main" id="{00000000-0008-0000-0100-0000DF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48" name="Drop Down 1" hidden="1">
          <a:extLst>
            <a:ext uri="{FF2B5EF4-FFF2-40B4-BE49-F238E27FC236}">
              <a16:creationId xmlns:a16="http://schemas.microsoft.com/office/drawing/2014/main" id="{00000000-0008-0000-0100-0000E0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49" name="Drop Down 1" hidden="1">
          <a:extLst>
            <a:ext uri="{FF2B5EF4-FFF2-40B4-BE49-F238E27FC236}">
              <a16:creationId xmlns:a16="http://schemas.microsoft.com/office/drawing/2014/main" id="{00000000-0008-0000-0100-0000E1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50" name="Drop Down 2" hidden="1">
          <a:extLst>
            <a:ext uri="{FF2B5EF4-FFF2-40B4-BE49-F238E27FC236}">
              <a16:creationId xmlns:a16="http://schemas.microsoft.com/office/drawing/2014/main" id="{00000000-0008-0000-0100-0000E2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51" name="Drop Down 1" hidden="1">
          <a:extLst>
            <a:ext uri="{FF2B5EF4-FFF2-40B4-BE49-F238E27FC236}">
              <a16:creationId xmlns:a16="http://schemas.microsoft.com/office/drawing/2014/main" id="{00000000-0008-0000-0100-0000E3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52" name="Drop Down -1022" hidden="1">
          <a:extLst>
            <a:ext uri="{FF2B5EF4-FFF2-40B4-BE49-F238E27FC236}">
              <a16:creationId xmlns:a16="http://schemas.microsoft.com/office/drawing/2014/main" id="{00000000-0008-0000-0100-0000E4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53" name="Drop Down 1" hidden="1">
          <a:extLst>
            <a:ext uri="{FF2B5EF4-FFF2-40B4-BE49-F238E27FC236}">
              <a16:creationId xmlns:a16="http://schemas.microsoft.com/office/drawing/2014/main" id="{00000000-0008-0000-0100-0000E5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54" name="Drop Down 1" hidden="1">
          <a:extLst>
            <a:ext uri="{FF2B5EF4-FFF2-40B4-BE49-F238E27FC236}">
              <a16:creationId xmlns:a16="http://schemas.microsoft.com/office/drawing/2014/main" id="{00000000-0008-0000-0100-0000E6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55" name="Drop Down 1" hidden="1">
          <a:extLst>
            <a:ext uri="{FF2B5EF4-FFF2-40B4-BE49-F238E27FC236}">
              <a16:creationId xmlns:a16="http://schemas.microsoft.com/office/drawing/2014/main" id="{00000000-0008-0000-0100-0000E7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56" name="Drop Down 1" hidden="1">
          <a:extLst>
            <a:ext uri="{FF2B5EF4-FFF2-40B4-BE49-F238E27FC236}">
              <a16:creationId xmlns:a16="http://schemas.microsoft.com/office/drawing/2014/main" id="{00000000-0008-0000-0100-0000E8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57" name="Drop Down 2" hidden="1">
          <a:extLst>
            <a:ext uri="{FF2B5EF4-FFF2-40B4-BE49-F238E27FC236}">
              <a16:creationId xmlns:a16="http://schemas.microsoft.com/office/drawing/2014/main" id="{00000000-0008-0000-0100-0000E9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58" name="Drop Down 1" hidden="1">
          <a:extLst>
            <a:ext uri="{FF2B5EF4-FFF2-40B4-BE49-F238E27FC236}">
              <a16:creationId xmlns:a16="http://schemas.microsoft.com/office/drawing/2014/main" id="{00000000-0008-0000-0100-0000EA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59" name="Drop Down -1022" hidden="1">
          <a:extLst>
            <a:ext uri="{FF2B5EF4-FFF2-40B4-BE49-F238E27FC236}">
              <a16:creationId xmlns:a16="http://schemas.microsoft.com/office/drawing/2014/main" id="{00000000-0008-0000-0100-0000EB1D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660" name="Drop Down 1" hidden="1">
          <a:extLst>
            <a:ext uri="{FF2B5EF4-FFF2-40B4-BE49-F238E27FC236}">
              <a16:creationId xmlns:a16="http://schemas.microsoft.com/office/drawing/2014/main" id="{00000000-0008-0000-0100-0000EC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661" name="Drop Down 1" hidden="1">
          <a:extLst>
            <a:ext uri="{FF2B5EF4-FFF2-40B4-BE49-F238E27FC236}">
              <a16:creationId xmlns:a16="http://schemas.microsoft.com/office/drawing/2014/main" id="{00000000-0008-0000-0100-0000ED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662" name="Drop Down 1" hidden="1">
          <a:extLst>
            <a:ext uri="{FF2B5EF4-FFF2-40B4-BE49-F238E27FC236}">
              <a16:creationId xmlns:a16="http://schemas.microsoft.com/office/drawing/2014/main" id="{00000000-0008-0000-0100-0000EE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663" name="Drop Down 1" hidden="1">
          <a:extLst>
            <a:ext uri="{FF2B5EF4-FFF2-40B4-BE49-F238E27FC236}">
              <a16:creationId xmlns:a16="http://schemas.microsoft.com/office/drawing/2014/main" id="{00000000-0008-0000-0100-0000EF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664" name="Drop Down 2" hidden="1">
          <a:extLst>
            <a:ext uri="{FF2B5EF4-FFF2-40B4-BE49-F238E27FC236}">
              <a16:creationId xmlns:a16="http://schemas.microsoft.com/office/drawing/2014/main" id="{00000000-0008-0000-0100-0000F0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665" name="Drop Down 1" hidden="1">
          <a:extLst>
            <a:ext uri="{FF2B5EF4-FFF2-40B4-BE49-F238E27FC236}">
              <a16:creationId xmlns:a16="http://schemas.microsoft.com/office/drawing/2014/main" id="{00000000-0008-0000-0100-0000F1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666" name="Drop Down -1022" hidden="1">
          <a:extLst>
            <a:ext uri="{FF2B5EF4-FFF2-40B4-BE49-F238E27FC236}">
              <a16:creationId xmlns:a16="http://schemas.microsoft.com/office/drawing/2014/main" id="{00000000-0008-0000-0100-0000F2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667" name="Drop Down 1" hidden="1">
          <a:extLst>
            <a:ext uri="{FF2B5EF4-FFF2-40B4-BE49-F238E27FC236}">
              <a16:creationId xmlns:a16="http://schemas.microsoft.com/office/drawing/2014/main" id="{00000000-0008-0000-0100-0000F3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668" name="Drop Down 1" hidden="1">
          <a:extLst>
            <a:ext uri="{FF2B5EF4-FFF2-40B4-BE49-F238E27FC236}">
              <a16:creationId xmlns:a16="http://schemas.microsoft.com/office/drawing/2014/main" id="{00000000-0008-0000-0100-0000F4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669" name="Drop Down 1" hidden="1">
          <a:extLst>
            <a:ext uri="{FF2B5EF4-FFF2-40B4-BE49-F238E27FC236}">
              <a16:creationId xmlns:a16="http://schemas.microsoft.com/office/drawing/2014/main" id="{00000000-0008-0000-0100-0000F5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670" name="Drop Down 1" hidden="1">
          <a:extLst>
            <a:ext uri="{FF2B5EF4-FFF2-40B4-BE49-F238E27FC236}">
              <a16:creationId xmlns:a16="http://schemas.microsoft.com/office/drawing/2014/main" id="{00000000-0008-0000-0100-0000F6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671" name="Drop Down 2" hidden="1">
          <a:extLst>
            <a:ext uri="{FF2B5EF4-FFF2-40B4-BE49-F238E27FC236}">
              <a16:creationId xmlns:a16="http://schemas.microsoft.com/office/drawing/2014/main" id="{00000000-0008-0000-0100-0000F7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672" name="Drop Down 1" hidden="1">
          <a:extLst>
            <a:ext uri="{FF2B5EF4-FFF2-40B4-BE49-F238E27FC236}">
              <a16:creationId xmlns:a16="http://schemas.microsoft.com/office/drawing/2014/main" id="{00000000-0008-0000-0100-0000F8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673" name="Drop Down -1022" hidden="1">
          <a:extLst>
            <a:ext uri="{FF2B5EF4-FFF2-40B4-BE49-F238E27FC236}">
              <a16:creationId xmlns:a16="http://schemas.microsoft.com/office/drawing/2014/main" id="{00000000-0008-0000-0100-0000F9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74" name="Drop Down 1" hidden="1">
          <a:extLst>
            <a:ext uri="{FF2B5EF4-FFF2-40B4-BE49-F238E27FC236}">
              <a16:creationId xmlns:a16="http://schemas.microsoft.com/office/drawing/2014/main" id="{00000000-0008-0000-0100-0000FA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75" name="Drop Down 1" hidden="1">
          <a:extLst>
            <a:ext uri="{FF2B5EF4-FFF2-40B4-BE49-F238E27FC236}">
              <a16:creationId xmlns:a16="http://schemas.microsoft.com/office/drawing/2014/main" id="{00000000-0008-0000-0100-0000FB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76" name="Drop Down 1" hidden="1">
          <a:extLst>
            <a:ext uri="{FF2B5EF4-FFF2-40B4-BE49-F238E27FC236}">
              <a16:creationId xmlns:a16="http://schemas.microsoft.com/office/drawing/2014/main" id="{00000000-0008-0000-0100-0000FC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77" name="Drop Down 1" hidden="1">
          <a:extLst>
            <a:ext uri="{FF2B5EF4-FFF2-40B4-BE49-F238E27FC236}">
              <a16:creationId xmlns:a16="http://schemas.microsoft.com/office/drawing/2014/main" id="{00000000-0008-0000-0100-0000FD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78" name="Drop Down 2" hidden="1">
          <a:extLst>
            <a:ext uri="{FF2B5EF4-FFF2-40B4-BE49-F238E27FC236}">
              <a16:creationId xmlns:a16="http://schemas.microsoft.com/office/drawing/2014/main" id="{00000000-0008-0000-0100-0000FE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79" name="Drop Down 1" hidden="1">
          <a:extLst>
            <a:ext uri="{FF2B5EF4-FFF2-40B4-BE49-F238E27FC236}">
              <a16:creationId xmlns:a16="http://schemas.microsoft.com/office/drawing/2014/main" id="{00000000-0008-0000-0100-0000FF1D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680" name="Drop Down -1022" hidden="1">
          <a:extLst>
            <a:ext uri="{FF2B5EF4-FFF2-40B4-BE49-F238E27FC236}">
              <a16:creationId xmlns:a16="http://schemas.microsoft.com/office/drawing/2014/main" id="{00000000-0008-0000-0100-000000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81" name="Drop Down 1" hidden="1">
          <a:extLst>
            <a:ext uri="{FF2B5EF4-FFF2-40B4-BE49-F238E27FC236}">
              <a16:creationId xmlns:a16="http://schemas.microsoft.com/office/drawing/2014/main" id="{00000000-0008-0000-0100-000001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82" name="Drop Down 1" hidden="1">
          <a:extLst>
            <a:ext uri="{FF2B5EF4-FFF2-40B4-BE49-F238E27FC236}">
              <a16:creationId xmlns:a16="http://schemas.microsoft.com/office/drawing/2014/main" id="{00000000-0008-0000-0100-000002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83" name="Drop Down 1" hidden="1">
          <a:extLst>
            <a:ext uri="{FF2B5EF4-FFF2-40B4-BE49-F238E27FC236}">
              <a16:creationId xmlns:a16="http://schemas.microsoft.com/office/drawing/2014/main" id="{00000000-0008-0000-0100-000003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84" name="Drop Down 1" hidden="1">
          <a:extLst>
            <a:ext uri="{FF2B5EF4-FFF2-40B4-BE49-F238E27FC236}">
              <a16:creationId xmlns:a16="http://schemas.microsoft.com/office/drawing/2014/main" id="{00000000-0008-0000-0100-000004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85" name="Drop Down 2" hidden="1">
          <a:extLst>
            <a:ext uri="{FF2B5EF4-FFF2-40B4-BE49-F238E27FC236}">
              <a16:creationId xmlns:a16="http://schemas.microsoft.com/office/drawing/2014/main" id="{00000000-0008-0000-0100-000005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86" name="Drop Down 1" hidden="1">
          <a:extLst>
            <a:ext uri="{FF2B5EF4-FFF2-40B4-BE49-F238E27FC236}">
              <a16:creationId xmlns:a16="http://schemas.microsoft.com/office/drawing/2014/main" id="{00000000-0008-0000-0100-000006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687" name="Drop Down -1022" hidden="1">
          <a:extLst>
            <a:ext uri="{FF2B5EF4-FFF2-40B4-BE49-F238E27FC236}">
              <a16:creationId xmlns:a16="http://schemas.microsoft.com/office/drawing/2014/main" id="{00000000-0008-0000-0100-000007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88" name="Drop Down 1" hidden="1">
          <a:extLst>
            <a:ext uri="{FF2B5EF4-FFF2-40B4-BE49-F238E27FC236}">
              <a16:creationId xmlns:a16="http://schemas.microsoft.com/office/drawing/2014/main" id="{00000000-0008-0000-0100-000008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89" name="Drop Down 1" hidden="1">
          <a:extLst>
            <a:ext uri="{FF2B5EF4-FFF2-40B4-BE49-F238E27FC236}">
              <a16:creationId xmlns:a16="http://schemas.microsoft.com/office/drawing/2014/main" id="{00000000-0008-0000-0100-000009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90" name="Drop Down 1" hidden="1">
          <a:extLst>
            <a:ext uri="{FF2B5EF4-FFF2-40B4-BE49-F238E27FC236}">
              <a16:creationId xmlns:a16="http://schemas.microsoft.com/office/drawing/2014/main" id="{00000000-0008-0000-0100-00000A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91" name="Drop Down 1" hidden="1">
          <a:extLst>
            <a:ext uri="{FF2B5EF4-FFF2-40B4-BE49-F238E27FC236}">
              <a16:creationId xmlns:a16="http://schemas.microsoft.com/office/drawing/2014/main" id="{00000000-0008-0000-0100-00000B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92" name="Drop Down 2" hidden="1">
          <a:extLst>
            <a:ext uri="{FF2B5EF4-FFF2-40B4-BE49-F238E27FC236}">
              <a16:creationId xmlns:a16="http://schemas.microsoft.com/office/drawing/2014/main" id="{00000000-0008-0000-0100-00000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93" name="Drop Down 1" hidden="1">
          <a:extLst>
            <a:ext uri="{FF2B5EF4-FFF2-40B4-BE49-F238E27FC236}">
              <a16:creationId xmlns:a16="http://schemas.microsoft.com/office/drawing/2014/main" id="{00000000-0008-0000-0100-00000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694" name="Drop Down -1022" hidden="1">
          <a:extLst>
            <a:ext uri="{FF2B5EF4-FFF2-40B4-BE49-F238E27FC236}">
              <a16:creationId xmlns:a16="http://schemas.microsoft.com/office/drawing/2014/main" id="{00000000-0008-0000-0100-00000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95" name="Drop Down 1" hidden="1">
          <a:extLst>
            <a:ext uri="{FF2B5EF4-FFF2-40B4-BE49-F238E27FC236}">
              <a16:creationId xmlns:a16="http://schemas.microsoft.com/office/drawing/2014/main" id="{00000000-0008-0000-0100-00000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96" name="Drop Down 1" hidden="1">
          <a:extLst>
            <a:ext uri="{FF2B5EF4-FFF2-40B4-BE49-F238E27FC236}">
              <a16:creationId xmlns:a16="http://schemas.microsoft.com/office/drawing/2014/main" id="{00000000-0008-0000-0100-00001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97" name="Drop Down 1" hidden="1">
          <a:extLst>
            <a:ext uri="{FF2B5EF4-FFF2-40B4-BE49-F238E27FC236}">
              <a16:creationId xmlns:a16="http://schemas.microsoft.com/office/drawing/2014/main" id="{00000000-0008-0000-0100-00001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98" name="Drop Down 1" hidden="1">
          <a:extLst>
            <a:ext uri="{FF2B5EF4-FFF2-40B4-BE49-F238E27FC236}">
              <a16:creationId xmlns:a16="http://schemas.microsoft.com/office/drawing/2014/main" id="{00000000-0008-0000-0100-00001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699" name="Drop Down 2" hidden="1">
          <a:extLst>
            <a:ext uri="{FF2B5EF4-FFF2-40B4-BE49-F238E27FC236}">
              <a16:creationId xmlns:a16="http://schemas.microsoft.com/office/drawing/2014/main" id="{00000000-0008-0000-0100-00001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00" name="Drop Down 1" hidden="1">
          <a:extLst>
            <a:ext uri="{FF2B5EF4-FFF2-40B4-BE49-F238E27FC236}">
              <a16:creationId xmlns:a16="http://schemas.microsoft.com/office/drawing/2014/main" id="{00000000-0008-0000-0100-00001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01" name="Drop Down -1022" hidden="1">
          <a:extLst>
            <a:ext uri="{FF2B5EF4-FFF2-40B4-BE49-F238E27FC236}">
              <a16:creationId xmlns:a16="http://schemas.microsoft.com/office/drawing/2014/main" id="{00000000-0008-0000-0100-00001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02" name="Drop Down 1" hidden="1">
          <a:extLst>
            <a:ext uri="{FF2B5EF4-FFF2-40B4-BE49-F238E27FC236}">
              <a16:creationId xmlns:a16="http://schemas.microsoft.com/office/drawing/2014/main" id="{00000000-0008-0000-0100-00001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03" name="Drop Down 1" hidden="1">
          <a:extLst>
            <a:ext uri="{FF2B5EF4-FFF2-40B4-BE49-F238E27FC236}">
              <a16:creationId xmlns:a16="http://schemas.microsoft.com/office/drawing/2014/main" id="{00000000-0008-0000-0100-00001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04" name="Drop Down 1" hidden="1">
          <a:extLst>
            <a:ext uri="{FF2B5EF4-FFF2-40B4-BE49-F238E27FC236}">
              <a16:creationId xmlns:a16="http://schemas.microsoft.com/office/drawing/2014/main" id="{00000000-0008-0000-0100-000018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05" name="Drop Down 1" hidden="1">
          <a:extLst>
            <a:ext uri="{FF2B5EF4-FFF2-40B4-BE49-F238E27FC236}">
              <a16:creationId xmlns:a16="http://schemas.microsoft.com/office/drawing/2014/main" id="{00000000-0008-0000-0100-000019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06" name="Drop Down 2" hidden="1">
          <a:extLst>
            <a:ext uri="{FF2B5EF4-FFF2-40B4-BE49-F238E27FC236}">
              <a16:creationId xmlns:a16="http://schemas.microsoft.com/office/drawing/2014/main" id="{00000000-0008-0000-0100-00001A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07" name="Drop Down 1" hidden="1">
          <a:extLst>
            <a:ext uri="{FF2B5EF4-FFF2-40B4-BE49-F238E27FC236}">
              <a16:creationId xmlns:a16="http://schemas.microsoft.com/office/drawing/2014/main" id="{00000000-0008-0000-0100-00001B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08" name="Drop Down -1022" hidden="1">
          <a:extLst>
            <a:ext uri="{FF2B5EF4-FFF2-40B4-BE49-F238E27FC236}">
              <a16:creationId xmlns:a16="http://schemas.microsoft.com/office/drawing/2014/main" id="{00000000-0008-0000-0100-00001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09" name="Drop Down 1" hidden="1">
          <a:extLst>
            <a:ext uri="{FF2B5EF4-FFF2-40B4-BE49-F238E27FC236}">
              <a16:creationId xmlns:a16="http://schemas.microsoft.com/office/drawing/2014/main" id="{00000000-0008-0000-0100-00001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10" name="Drop Down 1" hidden="1">
          <a:extLst>
            <a:ext uri="{FF2B5EF4-FFF2-40B4-BE49-F238E27FC236}">
              <a16:creationId xmlns:a16="http://schemas.microsoft.com/office/drawing/2014/main" id="{00000000-0008-0000-0100-00001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11" name="Drop Down 1" hidden="1">
          <a:extLst>
            <a:ext uri="{FF2B5EF4-FFF2-40B4-BE49-F238E27FC236}">
              <a16:creationId xmlns:a16="http://schemas.microsoft.com/office/drawing/2014/main" id="{00000000-0008-0000-0100-00001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12" name="Drop Down 1" hidden="1">
          <a:extLst>
            <a:ext uri="{FF2B5EF4-FFF2-40B4-BE49-F238E27FC236}">
              <a16:creationId xmlns:a16="http://schemas.microsoft.com/office/drawing/2014/main" id="{00000000-0008-0000-0100-00002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13" name="Drop Down 2" hidden="1">
          <a:extLst>
            <a:ext uri="{FF2B5EF4-FFF2-40B4-BE49-F238E27FC236}">
              <a16:creationId xmlns:a16="http://schemas.microsoft.com/office/drawing/2014/main" id="{00000000-0008-0000-0100-00002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14" name="Drop Down 1" hidden="1">
          <a:extLst>
            <a:ext uri="{FF2B5EF4-FFF2-40B4-BE49-F238E27FC236}">
              <a16:creationId xmlns:a16="http://schemas.microsoft.com/office/drawing/2014/main" id="{00000000-0008-0000-0100-00002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15" name="Drop Down -1022" hidden="1">
          <a:extLst>
            <a:ext uri="{FF2B5EF4-FFF2-40B4-BE49-F238E27FC236}">
              <a16:creationId xmlns:a16="http://schemas.microsoft.com/office/drawing/2014/main" id="{00000000-0008-0000-0100-00002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16" name="Drop Down 1" hidden="1">
          <a:extLst>
            <a:ext uri="{FF2B5EF4-FFF2-40B4-BE49-F238E27FC236}">
              <a16:creationId xmlns:a16="http://schemas.microsoft.com/office/drawing/2014/main" id="{00000000-0008-0000-0100-00002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17" name="Drop Down 1" hidden="1">
          <a:extLst>
            <a:ext uri="{FF2B5EF4-FFF2-40B4-BE49-F238E27FC236}">
              <a16:creationId xmlns:a16="http://schemas.microsoft.com/office/drawing/2014/main" id="{00000000-0008-0000-0100-00002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18" name="Drop Down 1" hidden="1">
          <a:extLst>
            <a:ext uri="{FF2B5EF4-FFF2-40B4-BE49-F238E27FC236}">
              <a16:creationId xmlns:a16="http://schemas.microsoft.com/office/drawing/2014/main" id="{00000000-0008-0000-0100-00002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19" name="Drop Down 1" hidden="1">
          <a:extLst>
            <a:ext uri="{FF2B5EF4-FFF2-40B4-BE49-F238E27FC236}">
              <a16:creationId xmlns:a16="http://schemas.microsoft.com/office/drawing/2014/main" id="{00000000-0008-0000-0100-00002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20" name="Drop Down 2" hidden="1">
          <a:extLst>
            <a:ext uri="{FF2B5EF4-FFF2-40B4-BE49-F238E27FC236}">
              <a16:creationId xmlns:a16="http://schemas.microsoft.com/office/drawing/2014/main" id="{00000000-0008-0000-0100-000028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21" name="Drop Down 1" hidden="1">
          <a:extLst>
            <a:ext uri="{FF2B5EF4-FFF2-40B4-BE49-F238E27FC236}">
              <a16:creationId xmlns:a16="http://schemas.microsoft.com/office/drawing/2014/main" id="{00000000-0008-0000-0100-000029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22" name="Drop Down -1022" hidden="1">
          <a:extLst>
            <a:ext uri="{FF2B5EF4-FFF2-40B4-BE49-F238E27FC236}">
              <a16:creationId xmlns:a16="http://schemas.microsoft.com/office/drawing/2014/main" id="{00000000-0008-0000-0100-00002A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23" name="Drop Down 1" hidden="1">
          <a:extLst>
            <a:ext uri="{FF2B5EF4-FFF2-40B4-BE49-F238E27FC236}">
              <a16:creationId xmlns:a16="http://schemas.microsoft.com/office/drawing/2014/main" id="{00000000-0008-0000-0100-00002B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24" name="Drop Down 1" hidden="1">
          <a:extLst>
            <a:ext uri="{FF2B5EF4-FFF2-40B4-BE49-F238E27FC236}">
              <a16:creationId xmlns:a16="http://schemas.microsoft.com/office/drawing/2014/main" id="{00000000-0008-0000-0100-00002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25" name="Drop Down 1" hidden="1">
          <a:extLst>
            <a:ext uri="{FF2B5EF4-FFF2-40B4-BE49-F238E27FC236}">
              <a16:creationId xmlns:a16="http://schemas.microsoft.com/office/drawing/2014/main" id="{00000000-0008-0000-0100-00002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26" name="Drop Down 1" hidden="1">
          <a:extLst>
            <a:ext uri="{FF2B5EF4-FFF2-40B4-BE49-F238E27FC236}">
              <a16:creationId xmlns:a16="http://schemas.microsoft.com/office/drawing/2014/main" id="{00000000-0008-0000-0100-00002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27" name="Drop Down 2" hidden="1">
          <a:extLst>
            <a:ext uri="{FF2B5EF4-FFF2-40B4-BE49-F238E27FC236}">
              <a16:creationId xmlns:a16="http://schemas.microsoft.com/office/drawing/2014/main" id="{00000000-0008-0000-0100-00002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28" name="Drop Down 1" hidden="1">
          <a:extLst>
            <a:ext uri="{FF2B5EF4-FFF2-40B4-BE49-F238E27FC236}">
              <a16:creationId xmlns:a16="http://schemas.microsoft.com/office/drawing/2014/main" id="{00000000-0008-0000-0100-00003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29" name="Drop Down -1022" hidden="1">
          <a:extLst>
            <a:ext uri="{FF2B5EF4-FFF2-40B4-BE49-F238E27FC236}">
              <a16:creationId xmlns:a16="http://schemas.microsoft.com/office/drawing/2014/main" id="{00000000-0008-0000-0100-00003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30" name="Drop Down 1" hidden="1">
          <a:extLst>
            <a:ext uri="{FF2B5EF4-FFF2-40B4-BE49-F238E27FC236}">
              <a16:creationId xmlns:a16="http://schemas.microsoft.com/office/drawing/2014/main" id="{00000000-0008-0000-0100-00003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31" name="Drop Down 1" hidden="1">
          <a:extLst>
            <a:ext uri="{FF2B5EF4-FFF2-40B4-BE49-F238E27FC236}">
              <a16:creationId xmlns:a16="http://schemas.microsoft.com/office/drawing/2014/main" id="{00000000-0008-0000-0100-00003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32" name="Drop Down 1" hidden="1">
          <a:extLst>
            <a:ext uri="{FF2B5EF4-FFF2-40B4-BE49-F238E27FC236}">
              <a16:creationId xmlns:a16="http://schemas.microsoft.com/office/drawing/2014/main" id="{00000000-0008-0000-0100-00003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33" name="Drop Down 1" hidden="1">
          <a:extLst>
            <a:ext uri="{FF2B5EF4-FFF2-40B4-BE49-F238E27FC236}">
              <a16:creationId xmlns:a16="http://schemas.microsoft.com/office/drawing/2014/main" id="{00000000-0008-0000-0100-00003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34" name="Drop Down 2" hidden="1">
          <a:extLst>
            <a:ext uri="{FF2B5EF4-FFF2-40B4-BE49-F238E27FC236}">
              <a16:creationId xmlns:a16="http://schemas.microsoft.com/office/drawing/2014/main" id="{00000000-0008-0000-0100-00003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35" name="Drop Down 1" hidden="1">
          <a:extLst>
            <a:ext uri="{FF2B5EF4-FFF2-40B4-BE49-F238E27FC236}">
              <a16:creationId xmlns:a16="http://schemas.microsoft.com/office/drawing/2014/main" id="{00000000-0008-0000-0100-00003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36" name="Drop Down -1022" hidden="1">
          <a:extLst>
            <a:ext uri="{FF2B5EF4-FFF2-40B4-BE49-F238E27FC236}">
              <a16:creationId xmlns:a16="http://schemas.microsoft.com/office/drawing/2014/main" id="{00000000-0008-0000-0100-000038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37" name="Drop Down 1" hidden="1">
          <a:extLst>
            <a:ext uri="{FF2B5EF4-FFF2-40B4-BE49-F238E27FC236}">
              <a16:creationId xmlns:a16="http://schemas.microsoft.com/office/drawing/2014/main" id="{00000000-0008-0000-0100-000039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38" name="Drop Down 1" hidden="1">
          <a:extLst>
            <a:ext uri="{FF2B5EF4-FFF2-40B4-BE49-F238E27FC236}">
              <a16:creationId xmlns:a16="http://schemas.microsoft.com/office/drawing/2014/main" id="{00000000-0008-0000-0100-00003A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39" name="Drop Down 1" hidden="1">
          <a:extLst>
            <a:ext uri="{FF2B5EF4-FFF2-40B4-BE49-F238E27FC236}">
              <a16:creationId xmlns:a16="http://schemas.microsoft.com/office/drawing/2014/main" id="{00000000-0008-0000-0100-00003B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40" name="Drop Down 1" hidden="1">
          <a:extLst>
            <a:ext uri="{FF2B5EF4-FFF2-40B4-BE49-F238E27FC236}">
              <a16:creationId xmlns:a16="http://schemas.microsoft.com/office/drawing/2014/main" id="{00000000-0008-0000-0100-00003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41" name="Drop Down 2" hidden="1">
          <a:extLst>
            <a:ext uri="{FF2B5EF4-FFF2-40B4-BE49-F238E27FC236}">
              <a16:creationId xmlns:a16="http://schemas.microsoft.com/office/drawing/2014/main" id="{00000000-0008-0000-0100-00003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42" name="Drop Down 1" hidden="1">
          <a:extLst>
            <a:ext uri="{FF2B5EF4-FFF2-40B4-BE49-F238E27FC236}">
              <a16:creationId xmlns:a16="http://schemas.microsoft.com/office/drawing/2014/main" id="{00000000-0008-0000-0100-00003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43" name="Drop Down -1022" hidden="1">
          <a:extLst>
            <a:ext uri="{FF2B5EF4-FFF2-40B4-BE49-F238E27FC236}">
              <a16:creationId xmlns:a16="http://schemas.microsoft.com/office/drawing/2014/main" id="{00000000-0008-0000-0100-00003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44" name="Drop Down 1" hidden="1">
          <a:extLst>
            <a:ext uri="{FF2B5EF4-FFF2-40B4-BE49-F238E27FC236}">
              <a16:creationId xmlns:a16="http://schemas.microsoft.com/office/drawing/2014/main" id="{00000000-0008-0000-0100-000040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45" name="Drop Down 1" hidden="1">
          <a:extLst>
            <a:ext uri="{FF2B5EF4-FFF2-40B4-BE49-F238E27FC236}">
              <a16:creationId xmlns:a16="http://schemas.microsoft.com/office/drawing/2014/main" id="{00000000-0008-0000-0100-000041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46" name="Drop Down 1" hidden="1">
          <a:extLst>
            <a:ext uri="{FF2B5EF4-FFF2-40B4-BE49-F238E27FC236}">
              <a16:creationId xmlns:a16="http://schemas.microsoft.com/office/drawing/2014/main" id="{00000000-0008-0000-0100-000042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47" name="Drop Down 1" hidden="1">
          <a:extLst>
            <a:ext uri="{FF2B5EF4-FFF2-40B4-BE49-F238E27FC236}">
              <a16:creationId xmlns:a16="http://schemas.microsoft.com/office/drawing/2014/main" id="{00000000-0008-0000-0100-000043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48" name="Drop Down 2" hidden="1">
          <a:extLst>
            <a:ext uri="{FF2B5EF4-FFF2-40B4-BE49-F238E27FC236}">
              <a16:creationId xmlns:a16="http://schemas.microsoft.com/office/drawing/2014/main" id="{00000000-0008-0000-0100-000044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49" name="Drop Down 1" hidden="1">
          <a:extLst>
            <a:ext uri="{FF2B5EF4-FFF2-40B4-BE49-F238E27FC236}">
              <a16:creationId xmlns:a16="http://schemas.microsoft.com/office/drawing/2014/main" id="{00000000-0008-0000-0100-000045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50" name="Drop Down -1022" hidden="1">
          <a:extLst>
            <a:ext uri="{FF2B5EF4-FFF2-40B4-BE49-F238E27FC236}">
              <a16:creationId xmlns:a16="http://schemas.microsoft.com/office/drawing/2014/main" id="{00000000-0008-0000-0100-000046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51" name="Drop Down 1" hidden="1">
          <a:extLst>
            <a:ext uri="{FF2B5EF4-FFF2-40B4-BE49-F238E27FC236}">
              <a16:creationId xmlns:a16="http://schemas.microsoft.com/office/drawing/2014/main" id="{00000000-0008-0000-0100-000047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52" name="Drop Down 1" hidden="1">
          <a:extLst>
            <a:ext uri="{FF2B5EF4-FFF2-40B4-BE49-F238E27FC236}">
              <a16:creationId xmlns:a16="http://schemas.microsoft.com/office/drawing/2014/main" id="{00000000-0008-0000-0100-000048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53" name="Drop Down 1" hidden="1">
          <a:extLst>
            <a:ext uri="{FF2B5EF4-FFF2-40B4-BE49-F238E27FC236}">
              <a16:creationId xmlns:a16="http://schemas.microsoft.com/office/drawing/2014/main" id="{00000000-0008-0000-0100-000049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54" name="Drop Down 1" hidden="1">
          <a:extLst>
            <a:ext uri="{FF2B5EF4-FFF2-40B4-BE49-F238E27FC236}">
              <a16:creationId xmlns:a16="http://schemas.microsoft.com/office/drawing/2014/main" id="{00000000-0008-0000-0100-00004A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55" name="Drop Down 2" hidden="1">
          <a:extLst>
            <a:ext uri="{FF2B5EF4-FFF2-40B4-BE49-F238E27FC236}">
              <a16:creationId xmlns:a16="http://schemas.microsoft.com/office/drawing/2014/main" id="{00000000-0008-0000-0100-00004B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56" name="Drop Down 1" hidden="1">
          <a:extLst>
            <a:ext uri="{FF2B5EF4-FFF2-40B4-BE49-F238E27FC236}">
              <a16:creationId xmlns:a16="http://schemas.microsoft.com/office/drawing/2014/main" id="{00000000-0008-0000-0100-00004C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57" name="Drop Down -1022" hidden="1">
          <a:extLst>
            <a:ext uri="{FF2B5EF4-FFF2-40B4-BE49-F238E27FC236}">
              <a16:creationId xmlns:a16="http://schemas.microsoft.com/office/drawing/2014/main" id="{00000000-0008-0000-0100-00004D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58" name="Drop Down 1" hidden="1">
          <a:extLst>
            <a:ext uri="{FF2B5EF4-FFF2-40B4-BE49-F238E27FC236}">
              <a16:creationId xmlns:a16="http://schemas.microsoft.com/office/drawing/2014/main" id="{00000000-0008-0000-0100-00004E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59" name="Drop Down 1" hidden="1">
          <a:extLst>
            <a:ext uri="{FF2B5EF4-FFF2-40B4-BE49-F238E27FC236}">
              <a16:creationId xmlns:a16="http://schemas.microsoft.com/office/drawing/2014/main" id="{00000000-0008-0000-0100-00004F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60" name="Drop Down 1" hidden="1">
          <a:extLst>
            <a:ext uri="{FF2B5EF4-FFF2-40B4-BE49-F238E27FC236}">
              <a16:creationId xmlns:a16="http://schemas.microsoft.com/office/drawing/2014/main" id="{00000000-0008-0000-0100-000050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61" name="Drop Down 1" hidden="1">
          <a:extLst>
            <a:ext uri="{FF2B5EF4-FFF2-40B4-BE49-F238E27FC236}">
              <a16:creationId xmlns:a16="http://schemas.microsoft.com/office/drawing/2014/main" id="{00000000-0008-0000-0100-000051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62" name="Drop Down 2" hidden="1">
          <a:extLst>
            <a:ext uri="{FF2B5EF4-FFF2-40B4-BE49-F238E27FC236}">
              <a16:creationId xmlns:a16="http://schemas.microsoft.com/office/drawing/2014/main" id="{00000000-0008-0000-0100-000052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63" name="Drop Down 1" hidden="1">
          <a:extLst>
            <a:ext uri="{FF2B5EF4-FFF2-40B4-BE49-F238E27FC236}">
              <a16:creationId xmlns:a16="http://schemas.microsoft.com/office/drawing/2014/main" id="{00000000-0008-0000-0100-000053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764" name="Drop Down -1022" hidden="1">
          <a:extLst>
            <a:ext uri="{FF2B5EF4-FFF2-40B4-BE49-F238E27FC236}">
              <a16:creationId xmlns:a16="http://schemas.microsoft.com/office/drawing/2014/main" id="{00000000-0008-0000-0100-000054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65" name="Drop Down 1" hidden="1">
          <a:extLst>
            <a:ext uri="{FF2B5EF4-FFF2-40B4-BE49-F238E27FC236}">
              <a16:creationId xmlns:a16="http://schemas.microsoft.com/office/drawing/2014/main" id="{00000000-0008-0000-0100-000055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66" name="Drop Down 1" hidden="1">
          <a:extLst>
            <a:ext uri="{FF2B5EF4-FFF2-40B4-BE49-F238E27FC236}">
              <a16:creationId xmlns:a16="http://schemas.microsoft.com/office/drawing/2014/main" id="{00000000-0008-0000-0100-000056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67" name="Drop Down 1" hidden="1">
          <a:extLst>
            <a:ext uri="{FF2B5EF4-FFF2-40B4-BE49-F238E27FC236}">
              <a16:creationId xmlns:a16="http://schemas.microsoft.com/office/drawing/2014/main" id="{00000000-0008-0000-0100-000057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68" name="Drop Down 1" hidden="1">
          <a:extLst>
            <a:ext uri="{FF2B5EF4-FFF2-40B4-BE49-F238E27FC236}">
              <a16:creationId xmlns:a16="http://schemas.microsoft.com/office/drawing/2014/main" id="{00000000-0008-0000-0100-000058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69" name="Drop Down 2" hidden="1">
          <a:extLst>
            <a:ext uri="{FF2B5EF4-FFF2-40B4-BE49-F238E27FC236}">
              <a16:creationId xmlns:a16="http://schemas.microsoft.com/office/drawing/2014/main" id="{00000000-0008-0000-0100-000059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70" name="Drop Down 1" hidden="1">
          <a:extLst>
            <a:ext uri="{FF2B5EF4-FFF2-40B4-BE49-F238E27FC236}">
              <a16:creationId xmlns:a16="http://schemas.microsoft.com/office/drawing/2014/main" id="{00000000-0008-0000-0100-00005A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771" name="Drop Down -1022" hidden="1">
          <a:extLst>
            <a:ext uri="{FF2B5EF4-FFF2-40B4-BE49-F238E27FC236}">
              <a16:creationId xmlns:a16="http://schemas.microsoft.com/office/drawing/2014/main" id="{00000000-0008-0000-0100-00005B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72" name="Drop Down 1" hidden="1">
          <a:extLst>
            <a:ext uri="{FF2B5EF4-FFF2-40B4-BE49-F238E27FC236}">
              <a16:creationId xmlns:a16="http://schemas.microsoft.com/office/drawing/2014/main" id="{00000000-0008-0000-0100-00005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73" name="Drop Down 1" hidden="1">
          <a:extLst>
            <a:ext uri="{FF2B5EF4-FFF2-40B4-BE49-F238E27FC236}">
              <a16:creationId xmlns:a16="http://schemas.microsoft.com/office/drawing/2014/main" id="{00000000-0008-0000-0100-00005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74" name="Drop Down 1" hidden="1">
          <a:extLst>
            <a:ext uri="{FF2B5EF4-FFF2-40B4-BE49-F238E27FC236}">
              <a16:creationId xmlns:a16="http://schemas.microsoft.com/office/drawing/2014/main" id="{00000000-0008-0000-0100-00005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75" name="Drop Down 1" hidden="1">
          <a:extLst>
            <a:ext uri="{FF2B5EF4-FFF2-40B4-BE49-F238E27FC236}">
              <a16:creationId xmlns:a16="http://schemas.microsoft.com/office/drawing/2014/main" id="{00000000-0008-0000-0100-00005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76" name="Drop Down 2" hidden="1">
          <a:extLst>
            <a:ext uri="{FF2B5EF4-FFF2-40B4-BE49-F238E27FC236}">
              <a16:creationId xmlns:a16="http://schemas.microsoft.com/office/drawing/2014/main" id="{00000000-0008-0000-0100-00006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77" name="Drop Down 1" hidden="1">
          <a:extLst>
            <a:ext uri="{FF2B5EF4-FFF2-40B4-BE49-F238E27FC236}">
              <a16:creationId xmlns:a16="http://schemas.microsoft.com/office/drawing/2014/main" id="{00000000-0008-0000-0100-00006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78" name="Drop Down -1022" hidden="1">
          <a:extLst>
            <a:ext uri="{FF2B5EF4-FFF2-40B4-BE49-F238E27FC236}">
              <a16:creationId xmlns:a16="http://schemas.microsoft.com/office/drawing/2014/main" id="{00000000-0008-0000-0100-00006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79" name="Drop Down 1" hidden="1">
          <a:extLst>
            <a:ext uri="{FF2B5EF4-FFF2-40B4-BE49-F238E27FC236}">
              <a16:creationId xmlns:a16="http://schemas.microsoft.com/office/drawing/2014/main" id="{00000000-0008-0000-0100-00006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80" name="Drop Down 1" hidden="1">
          <a:extLst>
            <a:ext uri="{FF2B5EF4-FFF2-40B4-BE49-F238E27FC236}">
              <a16:creationId xmlns:a16="http://schemas.microsoft.com/office/drawing/2014/main" id="{00000000-0008-0000-0100-00006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81" name="Drop Down 1" hidden="1">
          <a:extLst>
            <a:ext uri="{FF2B5EF4-FFF2-40B4-BE49-F238E27FC236}">
              <a16:creationId xmlns:a16="http://schemas.microsoft.com/office/drawing/2014/main" id="{00000000-0008-0000-0100-00006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82" name="Drop Down 1" hidden="1">
          <a:extLst>
            <a:ext uri="{FF2B5EF4-FFF2-40B4-BE49-F238E27FC236}">
              <a16:creationId xmlns:a16="http://schemas.microsoft.com/office/drawing/2014/main" id="{00000000-0008-0000-0100-00006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83" name="Drop Down 2" hidden="1">
          <a:extLst>
            <a:ext uri="{FF2B5EF4-FFF2-40B4-BE49-F238E27FC236}">
              <a16:creationId xmlns:a16="http://schemas.microsoft.com/office/drawing/2014/main" id="{00000000-0008-0000-0100-00006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84" name="Drop Down 1" hidden="1">
          <a:extLst>
            <a:ext uri="{FF2B5EF4-FFF2-40B4-BE49-F238E27FC236}">
              <a16:creationId xmlns:a16="http://schemas.microsoft.com/office/drawing/2014/main" id="{00000000-0008-0000-0100-000068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85" name="Drop Down -1022" hidden="1">
          <a:extLst>
            <a:ext uri="{FF2B5EF4-FFF2-40B4-BE49-F238E27FC236}">
              <a16:creationId xmlns:a16="http://schemas.microsoft.com/office/drawing/2014/main" id="{00000000-0008-0000-0100-000069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86" name="Drop Down 1" hidden="1">
          <a:extLst>
            <a:ext uri="{FF2B5EF4-FFF2-40B4-BE49-F238E27FC236}">
              <a16:creationId xmlns:a16="http://schemas.microsoft.com/office/drawing/2014/main" id="{00000000-0008-0000-0100-00006A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87" name="Drop Down 1" hidden="1">
          <a:extLst>
            <a:ext uri="{FF2B5EF4-FFF2-40B4-BE49-F238E27FC236}">
              <a16:creationId xmlns:a16="http://schemas.microsoft.com/office/drawing/2014/main" id="{00000000-0008-0000-0100-00006B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88" name="Drop Down 1" hidden="1">
          <a:extLst>
            <a:ext uri="{FF2B5EF4-FFF2-40B4-BE49-F238E27FC236}">
              <a16:creationId xmlns:a16="http://schemas.microsoft.com/office/drawing/2014/main" id="{00000000-0008-0000-0100-00006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89" name="Drop Down 1" hidden="1">
          <a:extLst>
            <a:ext uri="{FF2B5EF4-FFF2-40B4-BE49-F238E27FC236}">
              <a16:creationId xmlns:a16="http://schemas.microsoft.com/office/drawing/2014/main" id="{00000000-0008-0000-0100-00006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90" name="Drop Down 2" hidden="1">
          <a:extLst>
            <a:ext uri="{FF2B5EF4-FFF2-40B4-BE49-F238E27FC236}">
              <a16:creationId xmlns:a16="http://schemas.microsoft.com/office/drawing/2014/main" id="{00000000-0008-0000-0100-00006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91" name="Drop Down 1" hidden="1">
          <a:extLst>
            <a:ext uri="{FF2B5EF4-FFF2-40B4-BE49-F238E27FC236}">
              <a16:creationId xmlns:a16="http://schemas.microsoft.com/office/drawing/2014/main" id="{00000000-0008-0000-0100-00006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792" name="Drop Down -1022" hidden="1">
          <a:extLst>
            <a:ext uri="{FF2B5EF4-FFF2-40B4-BE49-F238E27FC236}">
              <a16:creationId xmlns:a16="http://schemas.microsoft.com/office/drawing/2014/main" id="{00000000-0008-0000-0100-00007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93" name="Drop Down 1" hidden="1">
          <a:extLst>
            <a:ext uri="{FF2B5EF4-FFF2-40B4-BE49-F238E27FC236}">
              <a16:creationId xmlns:a16="http://schemas.microsoft.com/office/drawing/2014/main" id="{00000000-0008-0000-0100-00007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94" name="Drop Down 1" hidden="1">
          <a:extLst>
            <a:ext uri="{FF2B5EF4-FFF2-40B4-BE49-F238E27FC236}">
              <a16:creationId xmlns:a16="http://schemas.microsoft.com/office/drawing/2014/main" id="{00000000-0008-0000-0100-00007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95" name="Drop Down 1" hidden="1">
          <a:extLst>
            <a:ext uri="{FF2B5EF4-FFF2-40B4-BE49-F238E27FC236}">
              <a16:creationId xmlns:a16="http://schemas.microsoft.com/office/drawing/2014/main" id="{00000000-0008-0000-0100-00007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96" name="Drop Down 1" hidden="1">
          <a:extLst>
            <a:ext uri="{FF2B5EF4-FFF2-40B4-BE49-F238E27FC236}">
              <a16:creationId xmlns:a16="http://schemas.microsoft.com/office/drawing/2014/main" id="{00000000-0008-0000-0100-00007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97" name="Drop Down 2" hidden="1">
          <a:extLst>
            <a:ext uri="{FF2B5EF4-FFF2-40B4-BE49-F238E27FC236}">
              <a16:creationId xmlns:a16="http://schemas.microsoft.com/office/drawing/2014/main" id="{00000000-0008-0000-0100-00007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98" name="Drop Down 1" hidden="1">
          <a:extLst>
            <a:ext uri="{FF2B5EF4-FFF2-40B4-BE49-F238E27FC236}">
              <a16:creationId xmlns:a16="http://schemas.microsoft.com/office/drawing/2014/main" id="{00000000-0008-0000-0100-00007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799" name="Drop Down -1022" hidden="1">
          <a:extLst>
            <a:ext uri="{FF2B5EF4-FFF2-40B4-BE49-F238E27FC236}">
              <a16:creationId xmlns:a16="http://schemas.microsoft.com/office/drawing/2014/main" id="{00000000-0008-0000-0100-00007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00" name="Drop Down 1" hidden="1">
          <a:extLst>
            <a:ext uri="{FF2B5EF4-FFF2-40B4-BE49-F238E27FC236}">
              <a16:creationId xmlns:a16="http://schemas.microsoft.com/office/drawing/2014/main" id="{00000000-0008-0000-0100-000078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01" name="Drop Down 1" hidden="1">
          <a:extLst>
            <a:ext uri="{FF2B5EF4-FFF2-40B4-BE49-F238E27FC236}">
              <a16:creationId xmlns:a16="http://schemas.microsoft.com/office/drawing/2014/main" id="{00000000-0008-0000-0100-000079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02" name="Drop Down 1" hidden="1">
          <a:extLst>
            <a:ext uri="{FF2B5EF4-FFF2-40B4-BE49-F238E27FC236}">
              <a16:creationId xmlns:a16="http://schemas.microsoft.com/office/drawing/2014/main" id="{00000000-0008-0000-0100-00007A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03" name="Drop Down 1" hidden="1">
          <a:extLst>
            <a:ext uri="{FF2B5EF4-FFF2-40B4-BE49-F238E27FC236}">
              <a16:creationId xmlns:a16="http://schemas.microsoft.com/office/drawing/2014/main" id="{00000000-0008-0000-0100-00007B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04" name="Drop Down 2" hidden="1">
          <a:extLst>
            <a:ext uri="{FF2B5EF4-FFF2-40B4-BE49-F238E27FC236}">
              <a16:creationId xmlns:a16="http://schemas.microsoft.com/office/drawing/2014/main" id="{00000000-0008-0000-0100-00007C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05" name="Drop Down 1" hidden="1">
          <a:extLst>
            <a:ext uri="{FF2B5EF4-FFF2-40B4-BE49-F238E27FC236}">
              <a16:creationId xmlns:a16="http://schemas.microsoft.com/office/drawing/2014/main" id="{00000000-0008-0000-0100-00007D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06" name="Drop Down -1022" hidden="1">
          <a:extLst>
            <a:ext uri="{FF2B5EF4-FFF2-40B4-BE49-F238E27FC236}">
              <a16:creationId xmlns:a16="http://schemas.microsoft.com/office/drawing/2014/main" id="{00000000-0008-0000-0100-00007E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07" name="Drop Down 1" hidden="1">
          <a:extLst>
            <a:ext uri="{FF2B5EF4-FFF2-40B4-BE49-F238E27FC236}">
              <a16:creationId xmlns:a16="http://schemas.microsoft.com/office/drawing/2014/main" id="{00000000-0008-0000-0100-00007F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08" name="Drop Down 1" hidden="1">
          <a:extLst>
            <a:ext uri="{FF2B5EF4-FFF2-40B4-BE49-F238E27FC236}">
              <a16:creationId xmlns:a16="http://schemas.microsoft.com/office/drawing/2014/main" id="{00000000-0008-0000-0100-000080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09" name="Drop Down 1" hidden="1">
          <a:extLst>
            <a:ext uri="{FF2B5EF4-FFF2-40B4-BE49-F238E27FC236}">
              <a16:creationId xmlns:a16="http://schemas.microsoft.com/office/drawing/2014/main" id="{00000000-0008-0000-0100-000081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10" name="Drop Down 1" hidden="1">
          <a:extLst>
            <a:ext uri="{FF2B5EF4-FFF2-40B4-BE49-F238E27FC236}">
              <a16:creationId xmlns:a16="http://schemas.microsoft.com/office/drawing/2014/main" id="{00000000-0008-0000-0100-000082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11" name="Drop Down 2" hidden="1">
          <a:extLst>
            <a:ext uri="{FF2B5EF4-FFF2-40B4-BE49-F238E27FC236}">
              <a16:creationId xmlns:a16="http://schemas.microsoft.com/office/drawing/2014/main" id="{00000000-0008-0000-0100-000083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12" name="Drop Down 1" hidden="1">
          <a:extLst>
            <a:ext uri="{FF2B5EF4-FFF2-40B4-BE49-F238E27FC236}">
              <a16:creationId xmlns:a16="http://schemas.microsoft.com/office/drawing/2014/main" id="{00000000-0008-0000-0100-000084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13" name="Drop Down -1022" hidden="1">
          <a:extLst>
            <a:ext uri="{FF2B5EF4-FFF2-40B4-BE49-F238E27FC236}">
              <a16:creationId xmlns:a16="http://schemas.microsoft.com/office/drawing/2014/main" id="{00000000-0008-0000-0100-000085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14" name="Drop Down 1" hidden="1">
          <a:extLst>
            <a:ext uri="{FF2B5EF4-FFF2-40B4-BE49-F238E27FC236}">
              <a16:creationId xmlns:a16="http://schemas.microsoft.com/office/drawing/2014/main" id="{00000000-0008-0000-0100-000086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15" name="Drop Down 1" hidden="1">
          <a:extLst>
            <a:ext uri="{FF2B5EF4-FFF2-40B4-BE49-F238E27FC236}">
              <a16:creationId xmlns:a16="http://schemas.microsoft.com/office/drawing/2014/main" id="{00000000-0008-0000-0100-000087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16" name="Drop Down 1" hidden="1">
          <a:extLst>
            <a:ext uri="{FF2B5EF4-FFF2-40B4-BE49-F238E27FC236}">
              <a16:creationId xmlns:a16="http://schemas.microsoft.com/office/drawing/2014/main" id="{00000000-0008-0000-0100-000088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17" name="Drop Down 1" hidden="1">
          <a:extLst>
            <a:ext uri="{FF2B5EF4-FFF2-40B4-BE49-F238E27FC236}">
              <a16:creationId xmlns:a16="http://schemas.microsoft.com/office/drawing/2014/main" id="{00000000-0008-0000-0100-000089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18" name="Drop Down 2" hidden="1">
          <a:extLst>
            <a:ext uri="{FF2B5EF4-FFF2-40B4-BE49-F238E27FC236}">
              <a16:creationId xmlns:a16="http://schemas.microsoft.com/office/drawing/2014/main" id="{00000000-0008-0000-0100-00008A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19" name="Drop Down 1" hidden="1">
          <a:extLst>
            <a:ext uri="{FF2B5EF4-FFF2-40B4-BE49-F238E27FC236}">
              <a16:creationId xmlns:a16="http://schemas.microsoft.com/office/drawing/2014/main" id="{00000000-0008-0000-0100-00008B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20" name="Drop Down -1022" hidden="1">
          <a:extLst>
            <a:ext uri="{FF2B5EF4-FFF2-40B4-BE49-F238E27FC236}">
              <a16:creationId xmlns:a16="http://schemas.microsoft.com/office/drawing/2014/main" id="{00000000-0008-0000-0100-00008C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21" name="Drop Down 1" hidden="1">
          <a:extLst>
            <a:ext uri="{FF2B5EF4-FFF2-40B4-BE49-F238E27FC236}">
              <a16:creationId xmlns:a16="http://schemas.microsoft.com/office/drawing/2014/main" id="{00000000-0008-0000-0100-00008D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22" name="Drop Down 1" hidden="1">
          <a:extLst>
            <a:ext uri="{FF2B5EF4-FFF2-40B4-BE49-F238E27FC236}">
              <a16:creationId xmlns:a16="http://schemas.microsoft.com/office/drawing/2014/main" id="{00000000-0008-0000-0100-00008E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23" name="Drop Down 1" hidden="1">
          <a:extLst>
            <a:ext uri="{FF2B5EF4-FFF2-40B4-BE49-F238E27FC236}">
              <a16:creationId xmlns:a16="http://schemas.microsoft.com/office/drawing/2014/main" id="{00000000-0008-0000-0100-00008F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24" name="Drop Down 1" hidden="1">
          <a:extLst>
            <a:ext uri="{FF2B5EF4-FFF2-40B4-BE49-F238E27FC236}">
              <a16:creationId xmlns:a16="http://schemas.microsoft.com/office/drawing/2014/main" id="{00000000-0008-0000-0100-000090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25" name="Drop Down 2" hidden="1">
          <a:extLst>
            <a:ext uri="{FF2B5EF4-FFF2-40B4-BE49-F238E27FC236}">
              <a16:creationId xmlns:a16="http://schemas.microsoft.com/office/drawing/2014/main" id="{00000000-0008-0000-0100-000091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26" name="Drop Down 1" hidden="1">
          <a:extLst>
            <a:ext uri="{FF2B5EF4-FFF2-40B4-BE49-F238E27FC236}">
              <a16:creationId xmlns:a16="http://schemas.microsoft.com/office/drawing/2014/main" id="{00000000-0008-0000-0100-000092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27" name="Drop Down -1022" hidden="1">
          <a:extLst>
            <a:ext uri="{FF2B5EF4-FFF2-40B4-BE49-F238E27FC236}">
              <a16:creationId xmlns:a16="http://schemas.microsoft.com/office/drawing/2014/main" id="{00000000-0008-0000-0100-000093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828" name="Drop Down 1" hidden="1">
          <a:extLst>
            <a:ext uri="{FF2B5EF4-FFF2-40B4-BE49-F238E27FC236}">
              <a16:creationId xmlns:a16="http://schemas.microsoft.com/office/drawing/2014/main" id="{00000000-0008-0000-0100-000094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829" name="Drop Down 1" hidden="1">
          <a:extLst>
            <a:ext uri="{FF2B5EF4-FFF2-40B4-BE49-F238E27FC236}">
              <a16:creationId xmlns:a16="http://schemas.microsoft.com/office/drawing/2014/main" id="{00000000-0008-0000-0100-000095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830" name="Drop Down 1" hidden="1">
          <a:extLst>
            <a:ext uri="{FF2B5EF4-FFF2-40B4-BE49-F238E27FC236}">
              <a16:creationId xmlns:a16="http://schemas.microsoft.com/office/drawing/2014/main" id="{00000000-0008-0000-0100-000096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831" name="Drop Down 1" hidden="1">
          <a:extLst>
            <a:ext uri="{FF2B5EF4-FFF2-40B4-BE49-F238E27FC236}">
              <a16:creationId xmlns:a16="http://schemas.microsoft.com/office/drawing/2014/main" id="{00000000-0008-0000-0100-000097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832" name="Drop Down 2" hidden="1">
          <a:extLst>
            <a:ext uri="{FF2B5EF4-FFF2-40B4-BE49-F238E27FC236}">
              <a16:creationId xmlns:a16="http://schemas.microsoft.com/office/drawing/2014/main" id="{00000000-0008-0000-0100-000098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833" name="Drop Down 1" hidden="1">
          <a:extLst>
            <a:ext uri="{FF2B5EF4-FFF2-40B4-BE49-F238E27FC236}">
              <a16:creationId xmlns:a16="http://schemas.microsoft.com/office/drawing/2014/main" id="{00000000-0008-0000-0100-000099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9004"/>
    <xdr:sp macro="" textlink="">
      <xdr:nvSpPr>
        <xdr:cNvPr id="7834" name="Drop Down -1022" hidden="1">
          <a:extLst>
            <a:ext uri="{FF2B5EF4-FFF2-40B4-BE49-F238E27FC236}">
              <a16:creationId xmlns:a16="http://schemas.microsoft.com/office/drawing/2014/main" id="{00000000-0008-0000-0100-00009A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835" name="Drop Down 1" hidden="1">
          <a:extLst>
            <a:ext uri="{FF2B5EF4-FFF2-40B4-BE49-F238E27FC236}">
              <a16:creationId xmlns:a16="http://schemas.microsoft.com/office/drawing/2014/main" id="{00000000-0008-0000-0100-00009B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836" name="Drop Down 1" hidden="1">
          <a:extLst>
            <a:ext uri="{FF2B5EF4-FFF2-40B4-BE49-F238E27FC236}">
              <a16:creationId xmlns:a16="http://schemas.microsoft.com/office/drawing/2014/main" id="{00000000-0008-0000-0100-00009C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837" name="Drop Down 1" hidden="1">
          <a:extLst>
            <a:ext uri="{FF2B5EF4-FFF2-40B4-BE49-F238E27FC236}">
              <a16:creationId xmlns:a16="http://schemas.microsoft.com/office/drawing/2014/main" id="{00000000-0008-0000-0100-00009D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838" name="Drop Down 1" hidden="1">
          <a:extLst>
            <a:ext uri="{FF2B5EF4-FFF2-40B4-BE49-F238E27FC236}">
              <a16:creationId xmlns:a16="http://schemas.microsoft.com/office/drawing/2014/main" id="{00000000-0008-0000-0100-00009E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839" name="Drop Down 2" hidden="1">
          <a:extLst>
            <a:ext uri="{FF2B5EF4-FFF2-40B4-BE49-F238E27FC236}">
              <a16:creationId xmlns:a16="http://schemas.microsoft.com/office/drawing/2014/main" id="{00000000-0008-0000-0100-00009F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840" name="Drop Down 1" hidden="1">
          <a:extLst>
            <a:ext uri="{FF2B5EF4-FFF2-40B4-BE49-F238E27FC236}">
              <a16:creationId xmlns:a16="http://schemas.microsoft.com/office/drawing/2014/main" id="{00000000-0008-0000-0100-0000A0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4240" cy="207245"/>
    <xdr:sp macro="" textlink="">
      <xdr:nvSpPr>
        <xdr:cNvPr id="7841" name="Drop Down -1022" hidden="1">
          <a:extLst>
            <a:ext uri="{FF2B5EF4-FFF2-40B4-BE49-F238E27FC236}">
              <a16:creationId xmlns:a16="http://schemas.microsoft.com/office/drawing/2014/main" id="{00000000-0008-0000-0100-0000A1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42" name="Drop Down 1" hidden="1">
          <a:extLst>
            <a:ext uri="{FF2B5EF4-FFF2-40B4-BE49-F238E27FC236}">
              <a16:creationId xmlns:a16="http://schemas.microsoft.com/office/drawing/2014/main" id="{00000000-0008-0000-0100-0000A2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43" name="Drop Down 1" hidden="1">
          <a:extLst>
            <a:ext uri="{FF2B5EF4-FFF2-40B4-BE49-F238E27FC236}">
              <a16:creationId xmlns:a16="http://schemas.microsoft.com/office/drawing/2014/main" id="{00000000-0008-0000-0100-0000A3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44" name="Drop Down 1" hidden="1">
          <a:extLst>
            <a:ext uri="{FF2B5EF4-FFF2-40B4-BE49-F238E27FC236}">
              <a16:creationId xmlns:a16="http://schemas.microsoft.com/office/drawing/2014/main" id="{00000000-0008-0000-0100-0000A4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45" name="Drop Down 1" hidden="1">
          <a:extLst>
            <a:ext uri="{FF2B5EF4-FFF2-40B4-BE49-F238E27FC236}">
              <a16:creationId xmlns:a16="http://schemas.microsoft.com/office/drawing/2014/main" id="{00000000-0008-0000-0100-0000A5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46" name="Drop Down 2" hidden="1">
          <a:extLst>
            <a:ext uri="{FF2B5EF4-FFF2-40B4-BE49-F238E27FC236}">
              <a16:creationId xmlns:a16="http://schemas.microsoft.com/office/drawing/2014/main" id="{00000000-0008-0000-0100-0000A6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47" name="Drop Down 1" hidden="1">
          <a:extLst>
            <a:ext uri="{FF2B5EF4-FFF2-40B4-BE49-F238E27FC236}">
              <a16:creationId xmlns:a16="http://schemas.microsoft.com/office/drawing/2014/main" id="{00000000-0008-0000-0100-0000A7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848" name="Drop Down -1022" hidden="1">
          <a:extLst>
            <a:ext uri="{FF2B5EF4-FFF2-40B4-BE49-F238E27FC236}">
              <a16:creationId xmlns:a16="http://schemas.microsoft.com/office/drawing/2014/main" id="{00000000-0008-0000-0100-0000A8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49" name="Drop Down 1" hidden="1">
          <a:extLst>
            <a:ext uri="{FF2B5EF4-FFF2-40B4-BE49-F238E27FC236}">
              <a16:creationId xmlns:a16="http://schemas.microsoft.com/office/drawing/2014/main" id="{00000000-0008-0000-0100-0000A9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50" name="Drop Down 1" hidden="1">
          <a:extLst>
            <a:ext uri="{FF2B5EF4-FFF2-40B4-BE49-F238E27FC236}">
              <a16:creationId xmlns:a16="http://schemas.microsoft.com/office/drawing/2014/main" id="{00000000-0008-0000-0100-0000AA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51" name="Drop Down 1" hidden="1">
          <a:extLst>
            <a:ext uri="{FF2B5EF4-FFF2-40B4-BE49-F238E27FC236}">
              <a16:creationId xmlns:a16="http://schemas.microsoft.com/office/drawing/2014/main" id="{00000000-0008-0000-0100-0000AB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52" name="Drop Down 1" hidden="1">
          <a:extLst>
            <a:ext uri="{FF2B5EF4-FFF2-40B4-BE49-F238E27FC236}">
              <a16:creationId xmlns:a16="http://schemas.microsoft.com/office/drawing/2014/main" id="{00000000-0008-0000-0100-0000AC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53" name="Drop Down 2" hidden="1">
          <a:extLst>
            <a:ext uri="{FF2B5EF4-FFF2-40B4-BE49-F238E27FC236}">
              <a16:creationId xmlns:a16="http://schemas.microsoft.com/office/drawing/2014/main" id="{00000000-0008-0000-0100-0000AD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54" name="Drop Down 1" hidden="1">
          <a:extLst>
            <a:ext uri="{FF2B5EF4-FFF2-40B4-BE49-F238E27FC236}">
              <a16:creationId xmlns:a16="http://schemas.microsoft.com/office/drawing/2014/main" id="{00000000-0008-0000-0100-0000AE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855" name="Drop Down -1022" hidden="1">
          <a:extLst>
            <a:ext uri="{FF2B5EF4-FFF2-40B4-BE49-F238E27FC236}">
              <a16:creationId xmlns:a16="http://schemas.microsoft.com/office/drawing/2014/main" id="{00000000-0008-0000-0100-0000AF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56" name="Drop Down 1" hidden="1">
          <a:extLst>
            <a:ext uri="{FF2B5EF4-FFF2-40B4-BE49-F238E27FC236}">
              <a16:creationId xmlns:a16="http://schemas.microsoft.com/office/drawing/2014/main" id="{00000000-0008-0000-0100-0000B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57" name="Drop Down 1" hidden="1">
          <a:extLst>
            <a:ext uri="{FF2B5EF4-FFF2-40B4-BE49-F238E27FC236}">
              <a16:creationId xmlns:a16="http://schemas.microsoft.com/office/drawing/2014/main" id="{00000000-0008-0000-0100-0000B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58" name="Drop Down 1" hidden="1">
          <a:extLst>
            <a:ext uri="{FF2B5EF4-FFF2-40B4-BE49-F238E27FC236}">
              <a16:creationId xmlns:a16="http://schemas.microsoft.com/office/drawing/2014/main" id="{00000000-0008-0000-0100-0000B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59" name="Drop Down 1" hidden="1">
          <a:extLst>
            <a:ext uri="{FF2B5EF4-FFF2-40B4-BE49-F238E27FC236}">
              <a16:creationId xmlns:a16="http://schemas.microsoft.com/office/drawing/2014/main" id="{00000000-0008-0000-0100-0000B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60" name="Drop Down 2" hidden="1">
          <a:extLst>
            <a:ext uri="{FF2B5EF4-FFF2-40B4-BE49-F238E27FC236}">
              <a16:creationId xmlns:a16="http://schemas.microsoft.com/office/drawing/2014/main" id="{00000000-0008-0000-0100-0000B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61" name="Drop Down 1" hidden="1">
          <a:extLst>
            <a:ext uri="{FF2B5EF4-FFF2-40B4-BE49-F238E27FC236}">
              <a16:creationId xmlns:a16="http://schemas.microsoft.com/office/drawing/2014/main" id="{00000000-0008-0000-0100-0000B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62" name="Drop Down -1022" hidden="1">
          <a:extLst>
            <a:ext uri="{FF2B5EF4-FFF2-40B4-BE49-F238E27FC236}">
              <a16:creationId xmlns:a16="http://schemas.microsoft.com/office/drawing/2014/main" id="{00000000-0008-0000-0100-0000B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63" name="Drop Down 1" hidden="1">
          <a:extLst>
            <a:ext uri="{FF2B5EF4-FFF2-40B4-BE49-F238E27FC236}">
              <a16:creationId xmlns:a16="http://schemas.microsoft.com/office/drawing/2014/main" id="{00000000-0008-0000-0100-0000B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64" name="Drop Down 1" hidden="1">
          <a:extLst>
            <a:ext uri="{FF2B5EF4-FFF2-40B4-BE49-F238E27FC236}">
              <a16:creationId xmlns:a16="http://schemas.microsoft.com/office/drawing/2014/main" id="{00000000-0008-0000-0100-0000B8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65" name="Drop Down 1" hidden="1">
          <a:extLst>
            <a:ext uri="{FF2B5EF4-FFF2-40B4-BE49-F238E27FC236}">
              <a16:creationId xmlns:a16="http://schemas.microsoft.com/office/drawing/2014/main" id="{00000000-0008-0000-0100-0000B9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66" name="Drop Down 1" hidden="1">
          <a:extLst>
            <a:ext uri="{FF2B5EF4-FFF2-40B4-BE49-F238E27FC236}">
              <a16:creationId xmlns:a16="http://schemas.microsoft.com/office/drawing/2014/main" id="{00000000-0008-0000-0100-0000BA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67" name="Drop Down 2" hidden="1">
          <a:extLst>
            <a:ext uri="{FF2B5EF4-FFF2-40B4-BE49-F238E27FC236}">
              <a16:creationId xmlns:a16="http://schemas.microsoft.com/office/drawing/2014/main" id="{00000000-0008-0000-0100-0000BB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68" name="Drop Down 1" hidden="1">
          <a:extLst>
            <a:ext uri="{FF2B5EF4-FFF2-40B4-BE49-F238E27FC236}">
              <a16:creationId xmlns:a16="http://schemas.microsoft.com/office/drawing/2014/main" id="{00000000-0008-0000-0100-0000B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69" name="Drop Down -1022" hidden="1">
          <a:extLst>
            <a:ext uri="{FF2B5EF4-FFF2-40B4-BE49-F238E27FC236}">
              <a16:creationId xmlns:a16="http://schemas.microsoft.com/office/drawing/2014/main" id="{00000000-0008-0000-0100-0000B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70" name="Drop Down 1" hidden="1">
          <a:extLst>
            <a:ext uri="{FF2B5EF4-FFF2-40B4-BE49-F238E27FC236}">
              <a16:creationId xmlns:a16="http://schemas.microsoft.com/office/drawing/2014/main" id="{00000000-0008-0000-0100-0000B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71" name="Drop Down 1" hidden="1">
          <a:extLst>
            <a:ext uri="{FF2B5EF4-FFF2-40B4-BE49-F238E27FC236}">
              <a16:creationId xmlns:a16="http://schemas.microsoft.com/office/drawing/2014/main" id="{00000000-0008-0000-0100-0000B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72" name="Drop Down 1" hidden="1">
          <a:extLst>
            <a:ext uri="{FF2B5EF4-FFF2-40B4-BE49-F238E27FC236}">
              <a16:creationId xmlns:a16="http://schemas.microsoft.com/office/drawing/2014/main" id="{00000000-0008-0000-0100-0000C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73" name="Drop Down 1" hidden="1">
          <a:extLst>
            <a:ext uri="{FF2B5EF4-FFF2-40B4-BE49-F238E27FC236}">
              <a16:creationId xmlns:a16="http://schemas.microsoft.com/office/drawing/2014/main" id="{00000000-0008-0000-0100-0000C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74" name="Drop Down 2" hidden="1">
          <a:extLst>
            <a:ext uri="{FF2B5EF4-FFF2-40B4-BE49-F238E27FC236}">
              <a16:creationId xmlns:a16="http://schemas.microsoft.com/office/drawing/2014/main" id="{00000000-0008-0000-0100-0000C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75" name="Drop Down 1" hidden="1">
          <a:extLst>
            <a:ext uri="{FF2B5EF4-FFF2-40B4-BE49-F238E27FC236}">
              <a16:creationId xmlns:a16="http://schemas.microsoft.com/office/drawing/2014/main" id="{00000000-0008-0000-0100-0000C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76" name="Drop Down -1022" hidden="1">
          <a:extLst>
            <a:ext uri="{FF2B5EF4-FFF2-40B4-BE49-F238E27FC236}">
              <a16:creationId xmlns:a16="http://schemas.microsoft.com/office/drawing/2014/main" id="{00000000-0008-0000-0100-0000C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77" name="Drop Down 1" hidden="1">
          <a:extLst>
            <a:ext uri="{FF2B5EF4-FFF2-40B4-BE49-F238E27FC236}">
              <a16:creationId xmlns:a16="http://schemas.microsoft.com/office/drawing/2014/main" id="{00000000-0008-0000-0100-0000C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78" name="Drop Down 1" hidden="1">
          <a:extLst>
            <a:ext uri="{FF2B5EF4-FFF2-40B4-BE49-F238E27FC236}">
              <a16:creationId xmlns:a16="http://schemas.microsoft.com/office/drawing/2014/main" id="{00000000-0008-0000-0100-0000C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79" name="Drop Down 1" hidden="1">
          <a:extLst>
            <a:ext uri="{FF2B5EF4-FFF2-40B4-BE49-F238E27FC236}">
              <a16:creationId xmlns:a16="http://schemas.microsoft.com/office/drawing/2014/main" id="{00000000-0008-0000-0100-0000C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80" name="Drop Down 1" hidden="1">
          <a:extLst>
            <a:ext uri="{FF2B5EF4-FFF2-40B4-BE49-F238E27FC236}">
              <a16:creationId xmlns:a16="http://schemas.microsoft.com/office/drawing/2014/main" id="{00000000-0008-0000-0100-0000C8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81" name="Drop Down 2" hidden="1">
          <a:extLst>
            <a:ext uri="{FF2B5EF4-FFF2-40B4-BE49-F238E27FC236}">
              <a16:creationId xmlns:a16="http://schemas.microsoft.com/office/drawing/2014/main" id="{00000000-0008-0000-0100-0000C9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82" name="Drop Down 1" hidden="1">
          <a:extLst>
            <a:ext uri="{FF2B5EF4-FFF2-40B4-BE49-F238E27FC236}">
              <a16:creationId xmlns:a16="http://schemas.microsoft.com/office/drawing/2014/main" id="{00000000-0008-0000-0100-0000CA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83" name="Drop Down -1022" hidden="1">
          <a:extLst>
            <a:ext uri="{FF2B5EF4-FFF2-40B4-BE49-F238E27FC236}">
              <a16:creationId xmlns:a16="http://schemas.microsoft.com/office/drawing/2014/main" id="{00000000-0008-0000-0100-0000CB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84" name="Drop Down 1" hidden="1">
          <a:extLst>
            <a:ext uri="{FF2B5EF4-FFF2-40B4-BE49-F238E27FC236}">
              <a16:creationId xmlns:a16="http://schemas.microsoft.com/office/drawing/2014/main" id="{00000000-0008-0000-0100-0000C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85" name="Drop Down 1" hidden="1">
          <a:extLst>
            <a:ext uri="{FF2B5EF4-FFF2-40B4-BE49-F238E27FC236}">
              <a16:creationId xmlns:a16="http://schemas.microsoft.com/office/drawing/2014/main" id="{00000000-0008-0000-0100-0000C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86" name="Drop Down 1" hidden="1">
          <a:extLst>
            <a:ext uri="{FF2B5EF4-FFF2-40B4-BE49-F238E27FC236}">
              <a16:creationId xmlns:a16="http://schemas.microsoft.com/office/drawing/2014/main" id="{00000000-0008-0000-0100-0000C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87" name="Drop Down 1" hidden="1">
          <a:extLst>
            <a:ext uri="{FF2B5EF4-FFF2-40B4-BE49-F238E27FC236}">
              <a16:creationId xmlns:a16="http://schemas.microsoft.com/office/drawing/2014/main" id="{00000000-0008-0000-0100-0000C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88" name="Drop Down 2" hidden="1">
          <a:extLst>
            <a:ext uri="{FF2B5EF4-FFF2-40B4-BE49-F238E27FC236}">
              <a16:creationId xmlns:a16="http://schemas.microsoft.com/office/drawing/2014/main" id="{00000000-0008-0000-0100-0000D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89" name="Drop Down 1" hidden="1">
          <a:extLst>
            <a:ext uri="{FF2B5EF4-FFF2-40B4-BE49-F238E27FC236}">
              <a16:creationId xmlns:a16="http://schemas.microsoft.com/office/drawing/2014/main" id="{00000000-0008-0000-0100-0000D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90" name="Drop Down -1022" hidden="1">
          <a:extLst>
            <a:ext uri="{FF2B5EF4-FFF2-40B4-BE49-F238E27FC236}">
              <a16:creationId xmlns:a16="http://schemas.microsoft.com/office/drawing/2014/main" id="{00000000-0008-0000-0100-0000D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91" name="Drop Down 1" hidden="1">
          <a:extLst>
            <a:ext uri="{FF2B5EF4-FFF2-40B4-BE49-F238E27FC236}">
              <a16:creationId xmlns:a16="http://schemas.microsoft.com/office/drawing/2014/main" id="{00000000-0008-0000-0100-0000D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92" name="Drop Down 1" hidden="1">
          <a:extLst>
            <a:ext uri="{FF2B5EF4-FFF2-40B4-BE49-F238E27FC236}">
              <a16:creationId xmlns:a16="http://schemas.microsoft.com/office/drawing/2014/main" id="{00000000-0008-0000-0100-0000D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93" name="Drop Down 1" hidden="1">
          <a:extLst>
            <a:ext uri="{FF2B5EF4-FFF2-40B4-BE49-F238E27FC236}">
              <a16:creationId xmlns:a16="http://schemas.microsoft.com/office/drawing/2014/main" id="{00000000-0008-0000-0100-0000D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94" name="Drop Down 1" hidden="1">
          <a:extLst>
            <a:ext uri="{FF2B5EF4-FFF2-40B4-BE49-F238E27FC236}">
              <a16:creationId xmlns:a16="http://schemas.microsoft.com/office/drawing/2014/main" id="{00000000-0008-0000-0100-0000D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95" name="Drop Down 2" hidden="1">
          <a:extLst>
            <a:ext uri="{FF2B5EF4-FFF2-40B4-BE49-F238E27FC236}">
              <a16:creationId xmlns:a16="http://schemas.microsoft.com/office/drawing/2014/main" id="{00000000-0008-0000-0100-0000D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96" name="Drop Down 1" hidden="1">
          <a:extLst>
            <a:ext uri="{FF2B5EF4-FFF2-40B4-BE49-F238E27FC236}">
              <a16:creationId xmlns:a16="http://schemas.microsoft.com/office/drawing/2014/main" id="{00000000-0008-0000-0100-0000D8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897" name="Drop Down -1022" hidden="1">
          <a:extLst>
            <a:ext uri="{FF2B5EF4-FFF2-40B4-BE49-F238E27FC236}">
              <a16:creationId xmlns:a16="http://schemas.microsoft.com/office/drawing/2014/main" id="{00000000-0008-0000-0100-0000D9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98" name="Drop Down 1" hidden="1">
          <a:extLst>
            <a:ext uri="{FF2B5EF4-FFF2-40B4-BE49-F238E27FC236}">
              <a16:creationId xmlns:a16="http://schemas.microsoft.com/office/drawing/2014/main" id="{00000000-0008-0000-0100-0000DA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899" name="Drop Down 1" hidden="1">
          <a:extLst>
            <a:ext uri="{FF2B5EF4-FFF2-40B4-BE49-F238E27FC236}">
              <a16:creationId xmlns:a16="http://schemas.microsoft.com/office/drawing/2014/main" id="{00000000-0008-0000-0100-0000DB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00" name="Drop Down 1" hidden="1">
          <a:extLst>
            <a:ext uri="{FF2B5EF4-FFF2-40B4-BE49-F238E27FC236}">
              <a16:creationId xmlns:a16="http://schemas.microsoft.com/office/drawing/2014/main" id="{00000000-0008-0000-0100-0000DC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01" name="Drop Down 1" hidden="1">
          <a:extLst>
            <a:ext uri="{FF2B5EF4-FFF2-40B4-BE49-F238E27FC236}">
              <a16:creationId xmlns:a16="http://schemas.microsoft.com/office/drawing/2014/main" id="{00000000-0008-0000-0100-0000DD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02" name="Drop Down 2" hidden="1">
          <a:extLst>
            <a:ext uri="{FF2B5EF4-FFF2-40B4-BE49-F238E27FC236}">
              <a16:creationId xmlns:a16="http://schemas.microsoft.com/office/drawing/2014/main" id="{00000000-0008-0000-0100-0000DE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03" name="Drop Down 1" hidden="1">
          <a:extLst>
            <a:ext uri="{FF2B5EF4-FFF2-40B4-BE49-F238E27FC236}">
              <a16:creationId xmlns:a16="http://schemas.microsoft.com/office/drawing/2014/main" id="{00000000-0008-0000-0100-0000DF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04" name="Drop Down -1022" hidden="1">
          <a:extLst>
            <a:ext uri="{FF2B5EF4-FFF2-40B4-BE49-F238E27FC236}">
              <a16:creationId xmlns:a16="http://schemas.microsoft.com/office/drawing/2014/main" id="{00000000-0008-0000-0100-0000E0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05" name="Drop Down 1" hidden="1">
          <a:extLst>
            <a:ext uri="{FF2B5EF4-FFF2-40B4-BE49-F238E27FC236}">
              <a16:creationId xmlns:a16="http://schemas.microsoft.com/office/drawing/2014/main" id="{00000000-0008-0000-0100-0000E1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06" name="Drop Down 1" hidden="1">
          <a:extLst>
            <a:ext uri="{FF2B5EF4-FFF2-40B4-BE49-F238E27FC236}">
              <a16:creationId xmlns:a16="http://schemas.microsoft.com/office/drawing/2014/main" id="{00000000-0008-0000-0100-0000E2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07" name="Drop Down 1" hidden="1">
          <a:extLst>
            <a:ext uri="{FF2B5EF4-FFF2-40B4-BE49-F238E27FC236}">
              <a16:creationId xmlns:a16="http://schemas.microsoft.com/office/drawing/2014/main" id="{00000000-0008-0000-0100-0000E3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08" name="Drop Down 1" hidden="1">
          <a:extLst>
            <a:ext uri="{FF2B5EF4-FFF2-40B4-BE49-F238E27FC236}">
              <a16:creationId xmlns:a16="http://schemas.microsoft.com/office/drawing/2014/main" id="{00000000-0008-0000-0100-0000E4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09" name="Drop Down 2" hidden="1">
          <a:extLst>
            <a:ext uri="{FF2B5EF4-FFF2-40B4-BE49-F238E27FC236}">
              <a16:creationId xmlns:a16="http://schemas.microsoft.com/office/drawing/2014/main" id="{00000000-0008-0000-0100-0000E5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10" name="Drop Down 1" hidden="1">
          <a:extLst>
            <a:ext uri="{FF2B5EF4-FFF2-40B4-BE49-F238E27FC236}">
              <a16:creationId xmlns:a16="http://schemas.microsoft.com/office/drawing/2014/main" id="{00000000-0008-0000-0100-0000E6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11" name="Drop Down -1022" hidden="1">
          <a:extLst>
            <a:ext uri="{FF2B5EF4-FFF2-40B4-BE49-F238E27FC236}">
              <a16:creationId xmlns:a16="http://schemas.microsoft.com/office/drawing/2014/main" id="{00000000-0008-0000-0100-0000E71E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12" name="Drop Down 1" hidden="1">
          <a:extLst>
            <a:ext uri="{FF2B5EF4-FFF2-40B4-BE49-F238E27FC236}">
              <a16:creationId xmlns:a16="http://schemas.microsoft.com/office/drawing/2014/main" id="{00000000-0008-0000-0100-0000E8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13" name="Drop Down 1" hidden="1">
          <a:extLst>
            <a:ext uri="{FF2B5EF4-FFF2-40B4-BE49-F238E27FC236}">
              <a16:creationId xmlns:a16="http://schemas.microsoft.com/office/drawing/2014/main" id="{00000000-0008-0000-0100-0000E9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14" name="Drop Down 1" hidden="1">
          <a:extLst>
            <a:ext uri="{FF2B5EF4-FFF2-40B4-BE49-F238E27FC236}">
              <a16:creationId xmlns:a16="http://schemas.microsoft.com/office/drawing/2014/main" id="{00000000-0008-0000-0100-0000EA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15" name="Drop Down 1" hidden="1">
          <a:extLst>
            <a:ext uri="{FF2B5EF4-FFF2-40B4-BE49-F238E27FC236}">
              <a16:creationId xmlns:a16="http://schemas.microsoft.com/office/drawing/2014/main" id="{00000000-0008-0000-0100-0000EB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16" name="Drop Down 2" hidden="1">
          <a:extLst>
            <a:ext uri="{FF2B5EF4-FFF2-40B4-BE49-F238E27FC236}">
              <a16:creationId xmlns:a16="http://schemas.microsoft.com/office/drawing/2014/main" id="{00000000-0008-0000-0100-0000EC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17" name="Drop Down 1" hidden="1">
          <a:extLst>
            <a:ext uri="{FF2B5EF4-FFF2-40B4-BE49-F238E27FC236}">
              <a16:creationId xmlns:a16="http://schemas.microsoft.com/office/drawing/2014/main" id="{00000000-0008-0000-0100-0000ED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18" name="Drop Down -1022" hidden="1">
          <a:extLst>
            <a:ext uri="{FF2B5EF4-FFF2-40B4-BE49-F238E27FC236}">
              <a16:creationId xmlns:a16="http://schemas.microsoft.com/office/drawing/2014/main" id="{00000000-0008-0000-0100-0000EE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19" name="Drop Down 1" hidden="1">
          <a:extLst>
            <a:ext uri="{FF2B5EF4-FFF2-40B4-BE49-F238E27FC236}">
              <a16:creationId xmlns:a16="http://schemas.microsoft.com/office/drawing/2014/main" id="{00000000-0008-0000-0100-0000EF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20" name="Drop Down 1" hidden="1">
          <a:extLst>
            <a:ext uri="{FF2B5EF4-FFF2-40B4-BE49-F238E27FC236}">
              <a16:creationId xmlns:a16="http://schemas.microsoft.com/office/drawing/2014/main" id="{00000000-0008-0000-0100-0000F0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21" name="Drop Down 1" hidden="1">
          <a:extLst>
            <a:ext uri="{FF2B5EF4-FFF2-40B4-BE49-F238E27FC236}">
              <a16:creationId xmlns:a16="http://schemas.microsoft.com/office/drawing/2014/main" id="{00000000-0008-0000-0100-0000F1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22" name="Drop Down 1" hidden="1">
          <a:extLst>
            <a:ext uri="{FF2B5EF4-FFF2-40B4-BE49-F238E27FC236}">
              <a16:creationId xmlns:a16="http://schemas.microsoft.com/office/drawing/2014/main" id="{00000000-0008-0000-0100-0000F2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23" name="Drop Down 2" hidden="1">
          <a:extLst>
            <a:ext uri="{FF2B5EF4-FFF2-40B4-BE49-F238E27FC236}">
              <a16:creationId xmlns:a16="http://schemas.microsoft.com/office/drawing/2014/main" id="{00000000-0008-0000-0100-0000F3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24" name="Drop Down 1" hidden="1">
          <a:extLst>
            <a:ext uri="{FF2B5EF4-FFF2-40B4-BE49-F238E27FC236}">
              <a16:creationId xmlns:a16="http://schemas.microsoft.com/office/drawing/2014/main" id="{00000000-0008-0000-0100-0000F4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25" name="Drop Down -1022" hidden="1">
          <a:extLst>
            <a:ext uri="{FF2B5EF4-FFF2-40B4-BE49-F238E27FC236}">
              <a16:creationId xmlns:a16="http://schemas.microsoft.com/office/drawing/2014/main" id="{00000000-0008-0000-0100-0000F5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26" name="Drop Down 1" hidden="1">
          <a:extLst>
            <a:ext uri="{FF2B5EF4-FFF2-40B4-BE49-F238E27FC236}">
              <a16:creationId xmlns:a16="http://schemas.microsoft.com/office/drawing/2014/main" id="{00000000-0008-0000-0100-0000F6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27" name="Drop Down 1" hidden="1">
          <a:extLst>
            <a:ext uri="{FF2B5EF4-FFF2-40B4-BE49-F238E27FC236}">
              <a16:creationId xmlns:a16="http://schemas.microsoft.com/office/drawing/2014/main" id="{00000000-0008-0000-0100-0000F7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28" name="Drop Down 1" hidden="1">
          <a:extLst>
            <a:ext uri="{FF2B5EF4-FFF2-40B4-BE49-F238E27FC236}">
              <a16:creationId xmlns:a16="http://schemas.microsoft.com/office/drawing/2014/main" id="{00000000-0008-0000-0100-0000F8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29" name="Drop Down 1" hidden="1">
          <a:extLst>
            <a:ext uri="{FF2B5EF4-FFF2-40B4-BE49-F238E27FC236}">
              <a16:creationId xmlns:a16="http://schemas.microsoft.com/office/drawing/2014/main" id="{00000000-0008-0000-0100-0000F9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30" name="Drop Down 2" hidden="1">
          <a:extLst>
            <a:ext uri="{FF2B5EF4-FFF2-40B4-BE49-F238E27FC236}">
              <a16:creationId xmlns:a16="http://schemas.microsoft.com/office/drawing/2014/main" id="{00000000-0008-0000-0100-0000FA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31" name="Drop Down 1" hidden="1">
          <a:extLst>
            <a:ext uri="{FF2B5EF4-FFF2-40B4-BE49-F238E27FC236}">
              <a16:creationId xmlns:a16="http://schemas.microsoft.com/office/drawing/2014/main" id="{00000000-0008-0000-0100-0000FB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32" name="Drop Down -1022" hidden="1">
          <a:extLst>
            <a:ext uri="{FF2B5EF4-FFF2-40B4-BE49-F238E27FC236}">
              <a16:creationId xmlns:a16="http://schemas.microsoft.com/office/drawing/2014/main" id="{00000000-0008-0000-0100-0000FC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33" name="Drop Down 1" hidden="1">
          <a:extLst>
            <a:ext uri="{FF2B5EF4-FFF2-40B4-BE49-F238E27FC236}">
              <a16:creationId xmlns:a16="http://schemas.microsoft.com/office/drawing/2014/main" id="{00000000-0008-0000-0100-0000FD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34" name="Drop Down 1" hidden="1">
          <a:extLst>
            <a:ext uri="{FF2B5EF4-FFF2-40B4-BE49-F238E27FC236}">
              <a16:creationId xmlns:a16="http://schemas.microsoft.com/office/drawing/2014/main" id="{00000000-0008-0000-0100-0000FE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35" name="Drop Down 1" hidden="1">
          <a:extLst>
            <a:ext uri="{FF2B5EF4-FFF2-40B4-BE49-F238E27FC236}">
              <a16:creationId xmlns:a16="http://schemas.microsoft.com/office/drawing/2014/main" id="{00000000-0008-0000-0100-0000FF1E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36" name="Drop Down 1" hidden="1">
          <a:extLst>
            <a:ext uri="{FF2B5EF4-FFF2-40B4-BE49-F238E27FC236}">
              <a16:creationId xmlns:a16="http://schemas.microsoft.com/office/drawing/2014/main" id="{00000000-0008-0000-0100-000000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37" name="Drop Down 2" hidden="1">
          <a:extLst>
            <a:ext uri="{FF2B5EF4-FFF2-40B4-BE49-F238E27FC236}">
              <a16:creationId xmlns:a16="http://schemas.microsoft.com/office/drawing/2014/main" id="{00000000-0008-0000-0100-000001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38" name="Drop Down 1" hidden="1">
          <a:extLst>
            <a:ext uri="{FF2B5EF4-FFF2-40B4-BE49-F238E27FC236}">
              <a16:creationId xmlns:a16="http://schemas.microsoft.com/office/drawing/2014/main" id="{00000000-0008-0000-0100-000002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39" name="Drop Down -1022" hidden="1">
          <a:extLst>
            <a:ext uri="{FF2B5EF4-FFF2-40B4-BE49-F238E27FC236}">
              <a16:creationId xmlns:a16="http://schemas.microsoft.com/office/drawing/2014/main" id="{00000000-0008-0000-0100-000003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40" name="Drop Down 1" hidden="1">
          <a:extLst>
            <a:ext uri="{FF2B5EF4-FFF2-40B4-BE49-F238E27FC236}">
              <a16:creationId xmlns:a16="http://schemas.microsoft.com/office/drawing/2014/main" id="{00000000-0008-0000-0100-00000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41" name="Drop Down 1" hidden="1">
          <a:extLst>
            <a:ext uri="{FF2B5EF4-FFF2-40B4-BE49-F238E27FC236}">
              <a16:creationId xmlns:a16="http://schemas.microsoft.com/office/drawing/2014/main" id="{00000000-0008-0000-0100-00000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42" name="Drop Down 1" hidden="1">
          <a:extLst>
            <a:ext uri="{FF2B5EF4-FFF2-40B4-BE49-F238E27FC236}">
              <a16:creationId xmlns:a16="http://schemas.microsoft.com/office/drawing/2014/main" id="{00000000-0008-0000-0100-00000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43" name="Drop Down 1" hidden="1">
          <a:extLst>
            <a:ext uri="{FF2B5EF4-FFF2-40B4-BE49-F238E27FC236}">
              <a16:creationId xmlns:a16="http://schemas.microsoft.com/office/drawing/2014/main" id="{00000000-0008-0000-0100-00000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44" name="Drop Down 2" hidden="1">
          <a:extLst>
            <a:ext uri="{FF2B5EF4-FFF2-40B4-BE49-F238E27FC236}">
              <a16:creationId xmlns:a16="http://schemas.microsoft.com/office/drawing/2014/main" id="{00000000-0008-0000-0100-00000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45" name="Drop Down 1" hidden="1">
          <a:extLst>
            <a:ext uri="{FF2B5EF4-FFF2-40B4-BE49-F238E27FC236}">
              <a16:creationId xmlns:a16="http://schemas.microsoft.com/office/drawing/2014/main" id="{00000000-0008-0000-0100-00000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46" name="Drop Down -1022" hidden="1">
          <a:extLst>
            <a:ext uri="{FF2B5EF4-FFF2-40B4-BE49-F238E27FC236}">
              <a16:creationId xmlns:a16="http://schemas.microsoft.com/office/drawing/2014/main" id="{00000000-0008-0000-0100-00000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47" name="Drop Down 1" hidden="1">
          <a:extLst>
            <a:ext uri="{FF2B5EF4-FFF2-40B4-BE49-F238E27FC236}">
              <a16:creationId xmlns:a16="http://schemas.microsoft.com/office/drawing/2014/main" id="{00000000-0008-0000-0100-00000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48" name="Drop Down 1" hidden="1">
          <a:extLst>
            <a:ext uri="{FF2B5EF4-FFF2-40B4-BE49-F238E27FC236}">
              <a16:creationId xmlns:a16="http://schemas.microsoft.com/office/drawing/2014/main" id="{00000000-0008-0000-0100-00000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49" name="Drop Down 1" hidden="1">
          <a:extLst>
            <a:ext uri="{FF2B5EF4-FFF2-40B4-BE49-F238E27FC236}">
              <a16:creationId xmlns:a16="http://schemas.microsoft.com/office/drawing/2014/main" id="{00000000-0008-0000-0100-00000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50" name="Drop Down 1" hidden="1">
          <a:extLst>
            <a:ext uri="{FF2B5EF4-FFF2-40B4-BE49-F238E27FC236}">
              <a16:creationId xmlns:a16="http://schemas.microsoft.com/office/drawing/2014/main" id="{00000000-0008-0000-0100-00000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51" name="Drop Down 2" hidden="1">
          <a:extLst>
            <a:ext uri="{FF2B5EF4-FFF2-40B4-BE49-F238E27FC236}">
              <a16:creationId xmlns:a16="http://schemas.microsoft.com/office/drawing/2014/main" id="{00000000-0008-0000-0100-00000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52" name="Drop Down 1" hidden="1">
          <a:extLst>
            <a:ext uri="{FF2B5EF4-FFF2-40B4-BE49-F238E27FC236}">
              <a16:creationId xmlns:a16="http://schemas.microsoft.com/office/drawing/2014/main" id="{00000000-0008-0000-0100-00001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53" name="Drop Down -1022" hidden="1">
          <a:extLst>
            <a:ext uri="{FF2B5EF4-FFF2-40B4-BE49-F238E27FC236}">
              <a16:creationId xmlns:a16="http://schemas.microsoft.com/office/drawing/2014/main" id="{00000000-0008-0000-0100-00001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54" name="Drop Down 1" hidden="1">
          <a:extLst>
            <a:ext uri="{FF2B5EF4-FFF2-40B4-BE49-F238E27FC236}">
              <a16:creationId xmlns:a16="http://schemas.microsoft.com/office/drawing/2014/main" id="{00000000-0008-0000-0100-00001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55" name="Drop Down 1" hidden="1">
          <a:extLst>
            <a:ext uri="{FF2B5EF4-FFF2-40B4-BE49-F238E27FC236}">
              <a16:creationId xmlns:a16="http://schemas.microsoft.com/office/drawing/2014/main" id="{00000000-0008-0000-0100-00001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56" name="Drop Down 1" hidden="1">
          <a:extLst>
            <a:ext uri="{FF2B5EF4-FFF2-40B4-BE49-F238E27FC236}">
              <a16:creationId xmlns:a16="http://schemas.microsoft.com/office/drawing/2014/main" id="{00000000-0008-0000-0100-00001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57" name="Drop Down 1" hidden="1">
          <a:extLst>
            <a:ext uri="{FF2B5EF4-FFF2-40B4-BE49-F238E27FC236}">
              <a16:creationId xmlns:a16="http://schemas.microsoft.com/office/drawing/2014/main" id="{00000000-0008-0000-0100-00001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58" name="Drop Down 2" hidden="1">
          <a:extLst>
            <a:ext uri="{FF2B5EF4-FFF2-40B4-BE49-F238E27FC236}">
              <a16:creationId xmlns:a16="http://schemas.microsoft.com/office/drawing/2014/main" id="{00000000-0008-0000-0100-00001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59" name="Drop Down 1" hidden="1">
          <a:extLst>
            <a:ext uri="{FF2B5EF4-FFF2-40B4-BE49-F238E27FC236}">
              <a16:creationId xmlns:a16="http://schemas.microsoft.com/office/drawing/2014/main" id="{00000000-0008-0000-0100-00001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7960" name="Drop Down -1022" hidden="1">
          <a:extLst>
            <a:ext uri="{FF2B5EF4-FFF2-40B4-BE49-F238E27FC236}">
              <a16:creationId xmlns:a16="http://schemas.microsoft.com/office/drawing/2014/main" id="{00000000-0008-0000-0100-00001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61" name="Drop Down 1" hidden="1">
          <a:extLst>
            <a:ext uri="{FF2B5EF4-FFF2-40B4-BE49-F238E27FC236}">
              <a16:creationId xmlns:a16="http://schemas.microsoft.com/office/drawing/2014/main" id="{00000000-0008-0000-0100-00001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62" name="Drop Down 1" hidden="1">
          <a:extLst>
            <a:ext uri="{FF2B5EF4-FFF2-40B4-BE49-F238E27FC236}">
              <a16:creationId xmlns:a16="http://schemas.microsoft.com/office/drawing/2014/main" id="{00000000-0008-0000-0100-00001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63" name="Drop Down 1" hidden="1">
          <a:extLst>
            <a:ext uri="{FF2B5EF4-FFF2-40B4-BE49-F238E27FC236}">
              <a16:creationId xmlns:a16="http://schemas.microsoft.com/office/drawing/2014/main" id="{00000000-0008-0000-0100-00001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64" name="Drop Down 1" hidden="1">
          <a:extLst>
            <a:ext uri="{FF2B5EF4-FFF2-40B4-BE49-F238E27FC236}">
              <a16:creationId xmlns:a16="http://schemas.microsoft.com/office/drawing/2014/main" id="{00000000-0008-0000-0100-00001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65" name="Drop Down 2" hidden="1">
          <a:extLst>
            <a:ext uri="{FF2B5EF4-FFF2-40B4-BE49-F238E27FC236}">
              <a16:creationId xmlns:a16="http://schemas.microsoft.com/office/drawing/2014/main" id="{00000000-0008-0000-0100-00001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66" name="Drop Down 1" hidden="1">
          <a:extLst>
            <a:ext uri="{FF2B5EF4-FFF2-40B4-BE49-F238E27FC236}">
              <a16:creationId xmlns:a16="http://schemas.microsoft.com/office/drawing/2014/main" id="{00000000-0008-0000-0100-00001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7967" name="Drop Down -1022" hidden="1">
          <a:extLst>
            <a:ext uri="{FF2B5EF4-FFF2-40B4-BE49-F238E27FC236}">
              <a16:creationId xmlns:a16="http://schemas.microsoft.com/office/drawing/2014/main" id="{00000000-0008-0000-0100-00001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68" name="Drop Down 1" hidden="1">
          <a:extLst>
            <a:ext uri="{FF2B5EF4-FFF2-40B4-BE49-F238E27FC236}">
              <a16:creationId xmlns:a16="http://schemas.microsoft.com/office/drawing/2014/main" id="{00000000-0008-0000-0100-000020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69" name="Drop Down 1" hidden="1">
          <a:extLst>
            <a:ext uri="{FF2B5EF4-FFF2-40B4-BE49-F238E27FC236}">
              <a16:creationId xmlns:a16="http://schemas.microsoft.com/office/drawing/2014/main" id="{00000000-0008-0000-0100-000021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70" name="Drop Down 1" hidden="1">
          <a:extLst>
            <a:ext uri="{FF2B5EF4-FFF2-40B4-BE49-F238E27FC236}">
              <a16:creationId xmlns:a16="http://schemas.microsoft.com/office/drawing/2014/main" id="{00000000-0008-0000-0100-000022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71" name="Drop Down 1" hidden="1">
          <a:extLst>
            <a:ext uri="{FF2B5EF4-FFF2-40B4-BE49-F238E27FC236}">
              <a16:creationId xmlns:a16="http://schemas.microsoft.com/office/drawing/2014/main" id="{00000000-0008-0000-0100-000023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72" name="Drop Down 2" hidden="1">
          <a:extLst>
            <a:ext uri="{FF2B5EF4-FFF2-40B4-BE49-F238E27FC236}">
              <a16:creationId xmlns:a16="http://schemas.microsoft.com/office/drawing/2014/main" id="{00000000-0008-0000-0100-000024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73" name="Drop Down 1" hidden="1">
          <a:extLst>
            <a:ext uri="{FF2B5EF4-FFF2-40B4-BE49-F238E27FC236}">
              <a16:creationId xmlns:a16="http://schemas.microsoft.com/office/drawing/2014/main" id="{00000000-0008-0000-0100-000025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74" name="Drop Down -1022" hidden="1">
          <a:extLst>
            <a:ext uri="{FF2B5EF4-FFF2-40B4-BE49-F238E27FC236}">
              <a16:creationId xmlns:a16="http://schemas.microsoft.com/office/drawing/2014/main" id="{00000000-0008-0000-0100-000026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75" name="Drop Down 1" hidden="1">
          <a:extLst>
            <a:ext uri="{FF2B5EF4-FFF2-40B4-BE49-F238E27FC236}">
              <a16:creationId xmlns:a16="http://schemas.microsoft.com/office/drawing/2014/main" id="{00000000-0008-0000-0100-000027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76" name="Drop Down 1" hidden="1">
          <a:extLst>
            <a:ext uri="{FF2B5EF4-FFF2-40B4-BE49-F238E27FC236}">
              <a16:creationId xmlns:a16="http://schemas.microsoft.com/office/drawing/2014/main" id="{00000000-0008-0000-0100-000028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77" name="Drop Down 1" hidden="1">
          <a:extLst>
            <a:ext uri="{FF2B5EF4-FFF2-40B4-BE49-F238E27FC236}">
              <a16:creationId xmlns:a16="http://schemas.microsoft.com/office/drawing/2014/main" id="{00000000-0008-0000-0100-000029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78" name="Drop Down 1" hidden="1">
          <a:extLst>
            <a:ext uri="{FF2B5EF4-FFF2-40B4-BE49-F238E27FC236}">
              <a16:creationId xmlns:a16="http://schemas.microsoft.com/office/drawing/2014/main" id="{00000000-0008-0000-0100-00002A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79" name="Drop Down 2" hidden="1">
          <a:extLst>
            <a:ext uri="{FF2B5EF4-FFF2-40B4-BE49-F238E27FC236}">
              <a16:creationId xmlns:a16="http://schemas.microsoft.com/office/drawing/2014/main" id="{00000000-0008-0000-0100-00002B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80" name="Drop Down 1" hidden="1">
          <a:extLst>
            <a:ext uri="{FF2B5EF4-FFF2-40B4-BE49-F238E27FC236}">
              <a16:creationId xmlns:a16="http://schemas.microsoft.com/office/drawing/2014/main" id="{00000000-0008-0000-0100-00002C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81" name="Drop Down -1022" hidden="1">
          <a:extLst>
            <a:ext uri="{FF2B5EF4-FFF2-40B4-BE49-F238E27FC236}">
              <a16:creationId xmlns:a16="http://schemas.microsoft.com/office/drawing/2014/main" id="{00000000-0008-0000-0100-00002D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82" name="Drop Down 1" hidden="1">
          <a:extLst>
            <a:ext uri="{FF2B5EF4-FFF2-40B4-BE49-F238E27FC236}">
              <a16:creationId xmlns:a16="http://schemas.microsoft.com/office/drawing/2014/main" id="{00000000-0008-0000-0100-00002E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83" name="Drop Down 1" hidden="1">
          <a:extLst>
            <a:ext uri="{FF2B5EF4-FFF2-40B4-BE49-F238E27FC236}">
              <a16:creationId xmlns:a16="http://schemas.microsoft.com/office/drawing/2014/main" id="{00000000-0008-0000-0100-00002F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84" name="Drop Down 1" hidden="1">
          <a:extLst>
            <a:ext uri="{FF2B5EF4-FFF2-40B4-BE49-F238E27FC236}">
              <a16:creationId xmlns:a16="http://schemas.microsoft.com/office/drawing/2014/main" id="{00000000-0008-0000-0100-000030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85" name="Drop Down 1" hidden="1">
          <a:extLst>
            <a:ext uri="{FF2B5EF4-FFF2-40B4-BE49-F238E27FC236}">
              <a16:creationId xmlns:a16="http://schemas.microsoft.com/office/drawing/2014/main" id="{00000000-0008-0000-0100-000031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86" name="Drop Down 2" hidden="1">
          <a:extLst>
            <a:ext uri="{FF2B5EF4-FFF2-40B4-BE49-F238E27FC236}">
              <a16:creationId xmlns:a16="http://schemas.microsoft.com/office/drawing/2014/main" id="{00000000-0008-0000-0100-000032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87" name="Drop Down 1" hidden="1">
          <a:extLst>
            <a:ext uri="{FF2B5EF4-FFF2-40B4-BE49-F238E27FC236}">
              <a16:creationId xmlns:a16="http://schemas.microsoft.com/office/drawing/2014/main" id="{00000000-0008-0000-0100-000033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7644"/>
    <xdr:sp macro="" textlink="">
      <xdr:nvSpPr>
        <xdr:cNvPr id="7988" name="Drop Down -1022" hidden="1">
          <a:extLst>
            <a:ext uri="{FF2B5EF4-FFF2-40B4-BE49-F238E27FC236}">
              <a16:creationId xmlns:a16="http://schemas.microsoft.com/office/drawing/2014/main" id="{00000000-0008-0000-0100-000034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89" name="Drop Down 1" hidden="1">
          <a:extLst>
            <a:ext uri="{FF2B5EF4-FFF2-40B4-BE49-F238E27FC236}">
              <a16:creationId xmlns:a16="http://schemas.microsoft.com/office/drawing/2014/main" id="{00000000-0008-0000-0100-000035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90" name="Drop Down 1" hidden="1">
          <a:extLst>
            <a:ext uri="{FF2B5EF4-FFF2-40B4-BE49-F238E27FC236}">
              <a16:creationId xmlns:a16="http://schemas.microsoft.com/office/drawing/2014/main" id="{00000000-0008-0000-0100-000036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91" name="Drop Down 1" hidden="1">
          <a:extLst>
            <a:ext uri="{FF2B5EF4-FFF2-40B4-BE49-F238E27FC236}">
              <a16:creationId xmlns:a16="http://schemas.microsoft.com/office/drawing/2014/main" id="{00000000-0008-0000-0100-000037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92" name="Drop Down 1" hidden="1">
          <a:extLst>
            <a:ext uri="{FF2B5EF4-FFF2-40B4-BE49-F238E27FC236}">
              <a16:creationId xmlns:a16="http://schemas.microsoft.com/office/drawing/2014/main" id="{00000000-0008-0000-0100-000038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93" name="Drop Down 2" hidden="1">
          <a:extLst>
            <a:ext uri="{FF2B5EF4-FFF2-40B4-BE49-F238E27FC236}">
              <a16:creationId xmlns:a16="http://schemas.microsoft.com/office/drawing/2014/main" id="{00000000-0008-0000-0100-000039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94" name="Drop Down 1" hidden="1">
          <a:extLst>
            <a:ext uri="{FF2B5EF4-FFF2-40B4-BE49-F238E27FC236}">
              <a16:creationId xmlns:a16="http://schemas.microsoft.com/office/drawing/2014/main" id="{00000000-0008-0000-0100-00003A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901065" cy="205885"/>
    <xdr:sp macro="" textlink="">
      <xdr:nvSpPr>
        <xdr:cNvPr id="7995" name="Drop Down -1022" hidden="1">
          <a:extLst>
            <a:ext uri="{FF2B5EF4-FFF2-40B4-BE49-F238E27FC236}">
              <a16:creationId xmlns:a16="http://schemas.microsoft.com/office/drawing/2014/main" id="{00000000-0008-0000-0100-00003B1F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996" name="Drop Down 1" hidden="1">
          <a:extLst>
            <a:ext uri="{FF2B5EF4-FFF2-40B4-BE49-F238E27FC236}">
              <a16:creationId xmlns:a16="http://schemas.microsoft.com/office/drawing/2014/main" id="{00000000-0008-0000-0100-00003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997" name="Drop Down 1" hidden="1">
          <a:extLst>
            <a:ext uri="{FF2B5EF4-FFF2-40B4-BE49-F238E27FC236}">
              <a16:creationId xmlns:a16="http://schemas.microsoft.com/office/drawing/2014/main" id="{00000000-0008-0000-0100-00003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998" name="Drop Down 1" hidden="1">
          <a:extLst>
            <a:ext uri="{FF2B5EF4-FFF2-40B4-BE49-F238E27FC236}">
              <a16:creationId xmlns:a16="http://schemas.microsoft.com/office/drawing/2014/main" id="{00000000-0008-0000-0100-00003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7999" name="Drop Down 1" hidden="1">
          <a:extLst>
            <a:ext uri="{FF2B5EF4-FFF2-40B4-BE49-F238E27FC236}">
              <a16:creationId xmlns:a16="http://schemas.microsoft.com/office/drawing/2014/main" id="{00000000-0008-0000-0100-00003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00" name="Drop Down 2" hidden="1">
          <a:extLst>
            <a:ext uri="{FF2B5EF4-FFF2-40B4-BE49-F238E27FC236}">
              <a16:creationId xmlns:a16="http://schemas.microsoft.com/office/drawing/2014/main" id="{00000000-0008-0000-0100-00004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01" name="Drop Down 1" hidden="1">
          <a:extLst>
            <a:ext uri="{FF2B5EF4-FFF2-40B4-BE49-F238E27FC236}">
              <a16:creationId xmlns:a16="http://schemas.microsoft.com/office/drawing/2014/main" id="{00000000-0008-0000-0100-00004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02" name="Drop Down -1022" hidden="1">
          <a:extLst>
            <a:ext uri="{FF2B5EF4-FFF2-40B4-BE49-F238E27FC236}">
              <a16:creationId xmlns:a16="http://schemas.microsoft.com/office/drawing/2014/main" id="{00000000-0008-0000-0100-00004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03" name="Drop Down 1" hidden="1">
          <a:extLst>
            <a:ext uri="{FF2B5EF4-FFF2-40B4-BE49-F238E27FC236}">
              <a16:creationId xmlns:a16="http://schemas.microsoft.com/office/drawing/2014/main" id="{00000000-0008-0000-0100-00004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04" name="Drop Down 1" hidden="1">
          <a:extLst>
            <a:ext uri="{FF2B5EF4-FFF2-40B4-BE49-F238E27FC236}">
              <a16:creationId xmlns:a16="http://schemas.microsoft.com/office/drawing/2014/main" id="{00000000-0008-0000-0100-00004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05" name="Drop Down 1" hidden="1">
          <a:extLst>
            <a:ext uri="{FF2B5EF4-FFF2-40B4-BE49-F238E27FC236}">
              <a16:creationId xmlns:a16="http://schemas.microsoft.com/office/drawing/2014/main" id="{00000000-0008-0000-0100-00004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06" name="Drop Down 1" hidden="1">
          <a:extLst>
            <a:ext uri="{FF2B5EF4-FFF2-40B4-BE49-F238E27FC236}">
              <a16:creationId xmlns:a16="http://schemas.microsoft.com/office/drawing/2014/main" id="{00000000-0008-0000-0100-00004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07" name="Drop Down 2" hidden="1">
          <a:extLst>
            <a:ext uri="{FF2B5EF4-FFF2-40B4-BE49-F238E27FC236}">
              <a16:creationId xmlns:a16="http://schemas.microsoft.com/office/drawing/2014/main" id="{00000000-0008-0000-0100-00004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08" name="Drop Down 1" hidden="1">
          <a:extLst>
            <a:ext uri="{FF2B5EF4-FFF2-40B4-BE49-F238E27FC236}">
              <a16:creationId xmlns:a16="http://schemas.microsoft.com/office/drawing/2014/main" id="{00000000-0008-0000-0100-00004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09" name="Drop Down -1022" hidden="1">
          <a:extLst>
            <a:ext uri="{FF2B5EF4-FFF2-40B4-BE49-F238E27FC236}">
              <a16:creationId xmlns:a16="http://schemas.microsoft.com/office/drawing/2014/main" id="{00000000-0008-0000-0100-00004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10" name="Drop Down 1" hidden="1">
          <a:extLst>
            <a:ext uri="{FF2B5EF4-FFF2-40B4-BE49-F238E27FC236}">
              <a16:creationId xmlns:a16="http://schemas.microsoft.com/office/drawing/2014/main" id="{00000000-0008-0000-0100-00004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11" name="Drop Down 1" hidden="1">
          <a:extLst>
            <a:ext uri="{FF2B5EF4-FFF2-40B4-BE49-F238E27FC236}">
              <a16:creationId xmlns:a16="http://schemas.microsoft.com/office/drawing/2014/main" id="{00000000-0008-0000-0100-00004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12" name="Drop Down 1" hidden="1">
          <a:extLst>
            <a:ext uri="{FF2B5EF4-FFF2-40B4-BE49-F238E27FC236}">
              <a16:creationId xmlns:a16="http://schemas.microsoft.com/office/drawing/2014/main" id="{00000000-0008-0000-0100-00004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13" name="Drop Down 1" hidden="1">
          <a:extLst>
            <a:ext uri="{FF2B5EF4-FFF2-40B4-BE49-F238E27FC236}">
              <a16:creationId xmlns:a16="http://schemas.microsoft.com/office/drawing/2014/main" id="{00000000-0008-0000-0100-00004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14" name="Drop Down 2" hidden="1">
          <a:extLst>
            <a:ext uri="{FF2B5EF4-FFF2-40B4-BE49-F238E27FC236}">
              <a16:creationId xmlns:a16="http://schemas.microsoft.com/office/drawing/2014/main" id="{00000000-0008-0000-0100-00004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15" name="Drop Down 1" hidden="1">
          <a:extLst>
            <a:ext uri="{FF2B5EF4-FFF2-40B4-BE49-F238E27FC236}">
              <a16:creationId xmlns:a16="http://schemas.microsoft.com/office/drawing/2014/main" id="{00000000-0008-0000-0100-00004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16" name="Drop Down -1022" hidden="1">
          <a:extLst>
            <a:ext uri="{FF2B5EF4-FFF2-40B4-BE49-F238E27FC236}">
              <a16:creationId xmlns:a16="http://schemas.microsoft.com/office/drawing/2014/main" id="{00000000-0008-0000-0100-00005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17" name="Drop Down 1" hidden="1">
          <a:extLst>
            <a:ext uri="{FF2B5EF4-FFF2-40B4-BE49-F238E27FC236}">
              <a16:creationId xmlns:a16="http://schemas.microsoft.com/office/drawing/2014/main" id="{00000000-0008-0000-0100-00005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18" name="Drop Down 1" hidden="1">
          <a:extLst>
            <a:ext uri="{FF2B5EF4-FFF2-40B4-BE49-F238E27FC236}">
              <a16:creationId xmlns:a16="http://schemas.microsoft.com/office/drawing/2014/main" id="{00000000-0008-0000-0100-00005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19" name="Drop Down 1" hidden="1">
          <a:extLst>
            <a:ext uri="{FF2B5EF4-FFF2-40B4-BE49-F238E27FC236}">
              <a16:creationId xmlns:a16="http://schemas.microsoft.com/office/drawing/2014/main" id="{00000000-0008-0000-0100-00005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20" name="Drop Down 1" hidden="1">
          <a:extLst>
            <a:ext uri="{FF2B5EF4-FFF2-40B4-BE49-F238E27FC236}">
              <a16:creationId xmlns:a16="http://schemas.microsoft.com/office/drawing/2014/main" id="{00000000-0008-0000-0100-00005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21" name="Drop Down 2" hidden="1">
          <a:extLst>
            <a:ext uri="{FF2B5EF4-FFF2-40B4-BE49-F238E27FC236}">
              <a16:creationId xmlns:a16="http://schemas.microsoft.com/office/drawing/2014/main" id="{00000000-0008-0000-0100-00005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22" name="Drop Down 1" hidden="1">
          <a:extLst>
            <a:ext uri="{FF2B5EF4-FFF2-40B4-BE49-F238E27FC236}">
              <a16:creationId xmlns:a16="http://schemas.microsoft.com/office/drawing/2014/main" id="{00000000-0008-0000-0100-00005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23" name="Drop Down -1022" hidden="1">
          <a:extLst>
            <a:ext uri="{FF2B5EF4-FFF2-40B4-BE49-F238E27FC236}">
              <a16:creationId xmlns:a16="http://schemas.microsoft.com/office/drawing/2014/main" id="{00000000-0008-0000-0100-00005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24" name="Drop Down 1" hidden="1">
          <a:extLst>
            <a:ext uri="{FF2B5EF4-FFF2-40B4-BE49-F238E27FC236}">
              <a16:creationId xmlns:a16="http://schemas.microsoft.com/office/drawing/2014/main" id="{00000000-0008-0000-0100-00005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25" name="Drop Down 1" hidden="1">
          <a:extLst>
            <a:ext uri="{FF2B5EF4-FFF2-40B4-BE49-F238E27FC236}">
              <a16:creationId xmlns:a16="http://schemas.microsoft.com/office/drawing/2014/main" id="{00000000-0008-0000-0100-00005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26" name="Drop Down 1" hidden="1">
          <a:extLst>
            <a:ext uri="{FF2B5EF4-FFF2-40B4-BE49-F238E27FC236}">
              <a16:creationId xmlns:a16="http://schemas.microsoft.com/office/drawing/2014/main" id="{00000000-0008-0000-0100-00005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27" name="Drop Down 1" hidden="1">
          <a:extLst>
            <a:ext uri="{FF2B5EF4-FFF2-40B4-BE49-F238E27FC236}">
              <a16:creationId xmlns:a16="http://schemas.microsoft.com/office/drawing/2014/main" id="{00000000-0008-0000-0100-00005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28" name="Drop Down 2" hidden="1">
          <a:extLst>
            <a:ext uri="{FF2B5EF4-FFF2-40B4-BE49-F238E27FC236}">
              <a16:creationId xmlns:a16="http://schemas.microsoft.com/office/drawing/2014/main" id="{00000000-0008-0000-0100-00005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29" name="Drop Down 1" hidden="1">
          <a:extLst>
            <a:ext uri="{FF2B5EF4-FFF2-40B4-BE49-F238E27FC236}">
              <a16:creationId xmlns:a16="http://schemas.microsoft.com/office/drawing/2014/main" id="{00000000-0008-0000-0100-00005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30" name="Drop Down -1022" hidden="1">
          <a:extLst>
            <a:ext uri="{FF2B5EF4-FFF2-40B4-BE49-F238E27FC236}">
              <a16:creationId xmlns:a16="http://schemas.microsoft.com/office/drawing/2014/main" id="{00000000-0008-0000-0100-00005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31" name="Drop Down 1" hidden="1">
          <a:extLst>
            <a:ext uri="{FF2B5EF4-FFF2-40B4-BE49-F238E27FC236}">
              <a16:creationId xmlns:a16="http://schemas.microsoft.com/office/drawing/2014/main" id="{00000000-0008-0000-0100-00005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32" name="Drop Down 1" hidden="1">
          <a:extLst>
            <a:ext uri="{FF2B5EF4-FFF2-40B4-BE49-F238E27FC236}">
              <a16:creationId xmlns:a16="http://schemas.microsoft.com/office/drawing/2014/main" id="{00000000-0008-0000-0100-00006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33" name="Drop Down 1" hidden="1">
          <a:extLst>
            <a:ext uri="{FF2B5EF4-FFF2-40B4-BE49-F238E27FC236}">
              <a16:creationId xmlns:a16="http://schemas.microsoft.com/office/drawing/2014/main" id="{00000000-0008-0000-0100-00006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34" name="Drop Down 1" hidden="1">
          <a:extLst>
            <a:ext uri="{FF2B5EF4-FFF2-40B4-BE49-F238E27FC236}">
              <a16:creationId xmlns:a16="http://schemas.microsoft.com/office/drawing/2014/main" id="{00000000-0008-0000-0100-00006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35" name="Drop Down 2" hidden="1">
          <a:extLst>
            <a:ext uri="{FF2B5EF4-FFF2-40B4-BE49-F238E27FC236}">
              <a16:creationId xmlns:a16="http://schemas.microsoft.com/office/drawing/2014/main" id="{00000000-0008-0000-0100-00006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36" name="Drop Down 1" hidden="1">
          <a:extLst>
            <a:ext uri="{FF2B5EF4-FFF2-40B4-BE49-F238E27FC236}">
              <a16:creationId xmlns:a16="http://schemas.microsoft.com/office/drawing/2014/main" id="{00000000-0008-0000-0100-00006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37" name="Drop Down -1022" hidden="1">
          <a:extLst>
            <a:ext uri="{FF2B5EF4-FFF2-40B4-BE49-F238E27FC236}">
              <a16:creationId xmlns:a16="http://schemas.microsoft.com/office/drawing/2014/main" id="{00000000-0008-0000-0100-00006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38" name="Drop Down 1" hidden="1">
          <a:extLst>
            <a:ext uri="{FF2B5EF4-FFF2-40B4-BE49-F238E27FC236}">
              <a16:creationId xmlns:a16="http://schemas.microsoft.com/office/drawing/2014/main" id="{00000000-0008-0000-0100-00006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39" name="Drop Down 1" hidden="1">
          <a:extLst>
            <a:ext uri="{FF2B5EF4-FFF2-40B4-BE49-F238E27FC236}">
              <a16:creationId xmlns:a16="http://schemas.microsoft.com/office/drawing/2014/main" id="{00000000-0008-0000-0100-00006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40" name="Drop Down 1" hidden="1">
          <a:extLst>
            <a:ext uri="{FF2B5EF4-FFF2-40B4-BE49-F238E27FC236}">
              <a16:creationId xmlns:a16="http://schemas.microsoft.com/office/drawing/2014/main" id="{00000000-0008-0000-0100-00006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41" name="Drop Down 1" hidden="1">
          <a:extLst>
            <a:ext uri="{FF2B5EF4-FFF2-40B4-BE49-F238E27FC236}">
              <a16:creationId xmlns:a16="http://schemas.microsoft.com/office/drawing/2014/main" id="{00000000-0008-0000-0100-00006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42" name="Drop Down 2" hidden="1">
          <a:extLst>
            <a:ext uri="{FF2B5EF4-FFF2-40B4-BE49-F238E27FC236}">
              <a16:creationId xmlns:a16="http://schemas.microsoft.com/office/drawing/2014/main" id="{00000000-0008-0000-0100-00006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43" name="Drop Down 1" hidden="1">
          <a:extLst>
            <a:ext uri="{FF2B5EF4-FFF2-40B4-BE49-F238E27FC236}">
              <a16:creationId xmlns:a16="http://schemas.microsoft.com/office/drawing/2014/main" id="{00000000-0008-0000-0100-00006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44" name="Drop Down -1022" hidden="1">
          <a:extLst>
            <a:ext uri="{FF2B5EF4-FFF2-40B4-BE49-F238E27FC236}">
              <a16:creationId xmlns:a16="http://schemas.microsoft.com/office/drawing/2014/main" id="{00000000-0008-0000-0100-00006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45" name="Drop Down 1" hidden="1">
          <a:extLst>
            <a:ext uri="{FF2B5EF4-FFF2-40B4-BE49-F238E27FC236}">
              <a16:creationId xmlns:a16="http://schemas.microsoft.com/office/drawing/2014/main" id="{00000000-0008-0000-0100-00006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46" name="Drop Down 1" hidden="1">
          <a:extLst>
            <a:ext uri="{FF2B5EF4-FFF2-40B4-BE49-F238E27FC236}">
              <a16:creationId xmlns:a16="http://schemas.microsoft.com/office/drawing/2014/main" id="{00000000-0008-0000-0100-00006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47" name="Drop Down 1" hidden="1">
          <a:extLst>
            <a:ext uri="{FF2B5EF4-FFF2-40B4-BE49-F238E27FC236}">
              <a16:creationId xmlns:a16="http://schemas.microsoft.com/office/drawing/2014/main" id="{00000000-0008-0000-0100-00006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48" name="Drop Down 1" hidden="1">
          <a:extLst>
            <a:ext uri="{FF2B5EF4-FFF2-40B4-BE49-F238E27FC236}">
              <a16:creationId xmlns:a16="http://schemas.microsoft.com/office/drawing/2014/main" id="{00000000-0008-0000-0100-00007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49" name="Drop Down 2" hidden="1">
          <a:extLst>
            <a:ext uri="{FF2B5EF4-FFF2-40B4-BE49-F238E27FC236}">
              <a16:creationId xmlns:a16="http://schemas.microsoft.com/office/drawing/2014/main" id="{00000000-0008-0000-0100-00007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50" name="Drop Down 1" hidden="1">
          <a:extLst>
            <a:ext uri="{FF2B5EF4-FFF2-40B4-BE49-F238E27FC236}">
              <a16:creationId xmlns:a16="http://schemas.microsoft.com/office/drawing/2014/main" id="{00000000-0008-0000-0100-00007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51" name="Drop Down -1022" hidden="1">
          <a:extLst>
            <a:ext uri="{FF2B5EF4-FFF2-40B4-BE49-F238E27FC236}">
              <a16:creationId xmlns:a16="http://schemas.microsoft.com/office/drawing/2014/main" id="{00000000-0008-0000-0100-00007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52" name="Drop Down 1" hidden="1">
          <a:extLst>
            <a:ext uri="{FF2B5EF4-FFF2-40B4-BE49-F238E27FC236}">
              <a16:creationId xmlns:a16="http://schemas.microsoft.com/office/drawing/2014/main" id="{00000000-0008-0000-0100-00007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53" name="Drop Down 1" hidden="1">
          <a:extLst>
            <a:ext uri="{FF2B5EF4-FFF2-40B4-BE49-F238E27FC236}">
              <a16:creationId xmlns:a16="http://schemas.microsoft.com/office/drawing/2014/main" id="{00000000-0008-0000-0100-00007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54" name="Drop Down 1" hidden="1">
          <a:extLst>
            <a:ext uri="{FF2B5EF4-FFF2-40B4-BE49-F238E27FC236}">
              <a16:creationId xmlns:a16="http://schemas.microsoft.com/office/drawing/2014/main" id="{00000000-0008-0000-0100-00007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55" name="Drop Down 1" hidden="1">
          <a:extLst>
            <a:ext uri="{FF2B5EF4-FFF2-40B4-BE49-F238E27FC236}">
              <a16:creationId xmlns:a16="http://schemas.microsoft.com/office/drawing/2014/main" id="{00000000-0008-0000-0100-00007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56" name="Drop Down 2" hidden="1">
          <a:extLst>
            <a:ext uri="{FF2B5EF4-FFF2-40B4-BE49-F238E27FC236}">
              <a16:creationId xmlns:a16="http://schemas.microsoft.com/office/drawing/2014/main" id="{00000000-0008-0000-0100-00007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57" name="Drop Down 1" hidden="1">
          <a:extLst>
            <a:ext uri="{FF2B5EF4-FFF2-40B4-BE49-F238E27FC236}">
              <a16:creationId xmlns:a16="http://schemas.microsoft.com/office/drawing/2014/main" id="{00000000-0008-0000-0100-00007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58" name="Drop Down -1022" hidden="1">
          <a:extLst>
            <a:ext uri="{FF2B5EF4-FFF2-40B4-BE49-F238E27FC236}">
              <a16:creationId xmlns:a16="http://schemas.microsoft.com/office/drawing/2014/main" id="{00000000-0008-0000-0100-00007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59" name="Drop Down 1" hidden="1">
          <a:extLst>
            <a:ext uri="{FF2B5EF4-FFF2-40B4-BE49-F238E27FC236}">
              <a16:creationId xmlns:a16="http://schemas.microsoft.com/office/drawing/2014/main" id="{00000000-0008-0000-0100-00007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60" name="Drop Down 1" hidden="1">
          <a:extLst>
            <a:ext uri="{FF2B5EF4-FFF2-40B4-BE49-F238E27FC236}">
              <a16:creationId xmlns:a16="http://schemas.microsoft.com/office/drawing/2014/main" id="{00000000-0008-0000-0100-00007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61" name="Drop Down 1" hidden="1">
          <a:extLst>
            <a:ext uri="{FF2B5EF4-FFF2-40B4-BE49-F238E27FC236}">
              <a16:creationId xmlns:a16="http://schemas.microsoft.com/office/drawing/2014/main" id="{00000000-0008-0000-0100-00007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62" name="Drop Down 1" hidden="1">
          <a:extLst>
            <a:ext uri="{FF2B5EF4-FFF2-40B4-BE49-F238E27FC236}">
              <a16:creationId xmlns:a16="http://schemas.microsoft.com/office/drawing/2014/main" id="{00000000-0008-0000-0100-00007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63" name="Drop Down 2" hidden="1">
          <a:extLst>
            <a:ext uri="{FF2B5EF4-FFF2-40B4-BE49-F238E27FC236}">
              <a16:creationId xmlns:a16="http://schemas.microsoft.com/office/drawing/2014/main" id="{00000000-0008-0000-0100-00007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64" name="Drop Down 1" hidden="1">
          <a:extLst>
            <a:ext uri="{FF2B5EF4-FFF2-40B4-BE49-F238E27FC236}">
              <a16:creationId xmlns:a16="http://schemas.microsoft.com/office/drawing/2014/main" id="{00000000-0008-0000-0100-00008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65" name="Drop Down -1022" hidden="1">
          <a:extLst>
            <a:ext uri="{FF2B5EF4-FFF2-40B4-BE49-F238E27FC236}">
              <a16:creationId xmlns:a16="http://schemas.microsoft.com/office/drawing/2014/main" id="{00000000-0008-0000-0100-00008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66" name="Drop Down 1" hidden="1">
          <a:extLst>
            <a:ext uri="{FF2B5EF4-FFF2-40B4-BE49-F238E27FC236}">
              <a16:creationId xmlns:a16="http://schemas.microsoft.com/office/drawing/2014/main" id="{00000000-0008-0000-0100-00008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67" name="Drop Down 1" hidden="1">
          <a:extLst>
            <a:ext uri="{FF2B5EF4-FFF2-40B4-BE49-F238E27FC236}">
              <a16:creationId xmlns:a16="http://schemas.microsoft.com/office/drawing/2014/main" id="{00000000-0008-0000-0100-00008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68" name="Drop Down 1" hidden="1">
          <a:extLst>
            <a:ext uri="{FF2B5EF4-FFF2-40B4-BE49-F238E27FC236}">
              <a16:creationId xmlns:a16="http://schemas.microsoft.com/office/drawing/2014/main" id="{00000000-0008-0000-0100-00008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69" name="Drop Down 1" hidden="1">
          <a:extLst>
            <a:ext uri="{FF2B5EF4-FFF2-40B4-BE49-F238E27FC236}">
              <a16:creationId xmlns:a16="http://schemas.microsoft.com/office/drawing/2014/main" id="{00000000-0008-0000-0100-00008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70" name="Drop Down 2" hidden="1">
          <a:extLst>
            <a:ext uri="{FF2B5EF4-FFF2-40B4-BE49-F238E27FC236}">
              <a16:creationId xmlns:a16="http://schemas.microsoft.com/office/drawing/2014/main" id="{00000000-0008-0000-0100-00008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71" name="Drop Down 1" hidden="1">
          <a:extLst>
            <a:ext uri="{FF2B5EF4-FFF2-40B4-BE49-F238E27FC236}">
              <a16:creationId xmlns:a16="http://schemas.microsoft.com/office/drawing/2014/main" id="{00000000-0008-0000-0100-00008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72" name="Drop Down -1022" hidden="1">
          <a:extLst>
            <a:ext uri="{FF2B5EF4-FFF2-40B4-BE49-F238E27FC236}">
              <a16:creationId xmlns:a16="http://schemas.microsoft.com/office/drawing/2014/main" id="{00000000-0008-0000-0100-00008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73" name="Drop Down 1" hidden="1">
          <a:extLst>
            <a:ext uri="{FF2B5EF4-FFF2-40B4-BE49-F238E27FC236}">
              <a16:creationId xmlns:a16="http://schemas.microsoft.com/office/drawing/2014/main" id="{00000000-0008-0000-0100-00008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74" name="Drop Down 1" hidden="1">
          <a:extLst>
            <a:ext uri="{FF2B5EF4-FFF2-40B4-BE49-F238E27FC236}">
              <a16:creationId xmlns:a16="http://schemas.microsoft.com/office/drawing/2014/main" id="{00000000-0008-0000-0100-00008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75" name="Drop Down 1" hidden="1">
          <a:extLst>
            <a:ext uri="{FF2B5EF4-FFF2-40B4-BE49-F238E27FC236}">
              <a16:creationId xmlns:a16="http://schemas.microsoft.com/office/drawing/2014/main" id="{00000000-0008-0000-0100-00008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76" name="Drop Down 1" hidden="1">
          <a:extLst>
            <a:ext uri="{FF2B5EF4-FFF2-40B4-BE49-F238E27FC236}">
              <a16:creationId xmlns:a16="http://schemas.microsoft.com/office/drawing/2014/main" id="{00000000-0008-0000-0100-00008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77" name="Drop Down 2" hidden="1">
          <a:extLst>
            <a:ext uri="{FF2B5EF4-FFF2-40B4-BE49-F238E27FC236}">
              <a16:creationId xmlns:a16="http://schemas.microsoft.com/office/drawing/2014/main" id="{00000000-0008-0000-0100-00008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78" name="Drop Down 1" hidden="1">
          <a:extLst>
            <a:ext uri="{FF2B5EF4-FFF2-40B4-BE49-F238E27FC236}">
              <a16:creationId xmlns:a16="http://schemas.microsoft.com/office/drawing/2014/main" id="{00000000-0008-0000-0100-00008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079" name="Drop Down -1022" hidden="1">
          <a:extLst>
            <a:ext uri="{FF2B5EF4-FFF2-40B4-BE49-F238E27FC236}">
              <a16:creationId xmlns:a16="http://schemas.microsoft.com/office/drawing/2014/main" id="{00000000-0008-0000-0100-00008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80" name="Drop Down 1" hidden="1">
          <a:extLst>
            <a:ext uri="{FF2B5EF4-FFF2-40B4-BE49-F238E27FC236}">
              <a16:creationId xmlns:a16="http://schemas.microsoft.com/office/drawing/2014/main" id="{00000000-0008-0000-0100-00009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81" name="Drop Down 1" hidden="1">
          <a:extLst>
            <a:ext uri="{FF2B5EF4-FFF2-40B4-BE49-F238E27FC236}">
              <a16:creationId xmlns:a16="http://schemas.microsoft.com/office/drawing/2014/main" id="{00000000-0008-0000-0100-00009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82" name="Drop Down 1" hidden="1">
          <a:extLst>
            <a:ext uri="{FF2B5EF4-FFF2-40B4-BE49-F238E27FC236}">
              <a16:creationId xmlns:a16="http://schemas.microsoft.com/office/drawing/2014/main" id="{00000000-0008-0000-0100-00009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83" name="Drop Down 1" hidden="1">
          <a:extLst>
            <a:ext uri="{FF2B5EF4-FFF2-40B4-BE49-F238E27FC236}">
              <a16:creationId xmlns:a16="http://schemas.microsoft.com/office/drawing/2014/main" id="{00000000-0008-0000-0100-00009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84" name="Drop Down 2" hidden="1">
          <a:extLst>
            <a:ext uri="{FF2B5EF4-FFF2-40B4-BE49-F238E27FC236}">
              <a16:creationId xmlns:a16="http://schemas.microsoft.com/office/drawing/2014/main" id="{00000000-0008-0000-0100-00009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85" name="Drop Down 1" hidden="1">
          <a:extLst>
            <a:ext uri="{FF2B5EF4-FFF2-40B4-BE49-F238E27FC236}">
              <a16:creationId xmlns:a16="http://schemas.microsoft.com/office/drawing/2014/main" id="{00000000-0008-0000-0100-00009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086" name="Drop Down -1022" hidden="1">
          <a:extLst>
            <a:ext uri="{FF2B5EF4-FFF2-40B4-BE49-F238E27FC236}">
              <a16:creationId xmlns:a16="http://schemas.microsoft.com/office/drawing/2014/main" id="{00000000-0008-0000-0100-00009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87" name="Drop Down 1" hidden="1">
          <a:extLst>
            <a:ext uri="{FF2B5EF4-FFF2-40B4-BE49-F238E27FC236}">
              <a16:creationId xmlns:a16="http://schemas.microsoft.com/office/drawing/2014/main" id="{00000000-0008-0000-0100-00009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88" name="Drop Down 1" hidden="1">
          <a:extLst>
            <a:ext uri="{FF2B5EF4-FFF2-40B4-BE49-F238E27FC236}">
              <a16:creationId xmlns:a16="http://schemas.microsoft.com/office/drawing/2014/main" id="{00000000-0008-0000-0100-00009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89" name="Drop Down 1" hidden="1">
          <a:extLst>
            <a:ext uri="{FF2B5EF4-FFF2-40B4-BE49-F238E27FC236}">
              <a16:creationId xmlns:a16="http://schemas.microsoft.com/office/drawing/2014/main" id="{00000000-0008-0000-0100-00009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90" name="Drop Down 1" hidden="1">
          <a:extLst>
            <a:ext uri="{FF2B5EF4-FFF2-40B4-BE49-F238E27FC236}">
              <a16:creationId xmlns:a16="http://schemas.microsoft.com/office/drawing/2014/main" id="{00000000-0008-0000-0100-00009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91" name="Drop Down 2" hidden="1">
          <a:extLst>
            <a:ext uri="{FF2B5EF4-FFF2-40B4-BE49-F238E27FC236}">
              <a16:creationId xmlns:a16="http://schemas.microsoft.com/office/drawing/2014/main" id="{00000000-0008-0000-0100-00009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92" name="Drop Down 1" hidden="1">
          <a:extLst>
            <a:ext uri="{FF2B5EF4-FFF2-40B4-BE49-F238E27FC236}">
              <a16:creationId xmlns:a16="http://schemas.microsoft.com/office/drawing/2014/main" id="{00000000-0008-0000-0100-00009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093" name="Drop Down -1022" hidden="1">
          <a:extLst>
            <a:ext uri="{FF2B5EF4-FFF2-40B4-BE49-F238E27FC236}">
              <a16:creationId xmlns:a16="http://schemas.microsoft.com/office/drawing/2014/main" id="{00000000-0008-0000-0100-00009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94" name="Drop Down 1" hidden="1">
          <a:extLst>
            <a:ext uri="{FF2B5EF4-FFF2-40B4-BE49-F238E27FC236}">
              <a16:creationId xmlns:a16="http://schemas.microsoft.com/office/drawing/2014/main" id="{00000000-0008-0000-0100-00009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95" name="Drop Down 1" hidden="1">
          <a:extLst>
            <a:ext uri="{FF2B5EF4-FFF2-40B4-BE49-F238E27FC236}">
              <a16:creationId xmlns:a16="http://schemas.microsoft.com/office/drawing/2014/main" id="{00000000-0008-0000-0100-00009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96" name="Drop Down 1" hidden="1">
          <a:extLst>
            <a:ext uri="{FF2B5EF4-FFF2-40B4-BE49-F238E27FC236}">
              <a16:creationId xmlns:a16="http://schemas.microsoft.com/office/drawing/2014/main" id="{00000000-0008-0000-0100-0000A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97" name="Drop Down 1" hidden="1">
          <a:extLst>
            <a:ext uri="{FF2B5EF4-FFF2-40B4-BE49-F238E27FC236}">
              <a16:creationId xmlns:a16="http://schemas.microsoft.com/office/drawing/2014/main" id="{00000000-0008-0000-0100-0000A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98" name="Drop Down 2" hidden="1">
          <a:extLst>
            <a:ext uri="{FF2B5EF4-FFF2-40B4-BE49-F238E27FC236}">
              <a16:creationId xmlns:a16="http://schemas.microsoft.com/office/drawing/2014/main" id="{00000000-0008-0000-0100-0000A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099" name="Drop Down 1" hidden="1">
          <a:extLst>
            <a:ext uri="{FF2B5EF4-FFF2-40B4-BE49-F238E27FC236}">
              <a16:creationId xmlns:a16="http://schemas.microsoft.com/office/drawing/2014/main" id="{00000000-0008-0000-0100-0000A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00" name="Drop Down -1022" hidden="1">
          <a:extLst>
            <a:ext uri="{FF2B5EF4-FFF2-40B4-BE49-F238E27FC236}">
              <a16:creationId xmlns:a16="http://schemas.microsoft.com/office/drawing/2014/main" id="{00000000-0008-0000-0100-0000A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01" name="Drop Down 1" hidden="1">
          <a:extLst>
            <a:ext uri="{FF2B5EF4-FFF2-40B4-BE49-F238E27FC236}">
              <a16:creationId xmlns:a16="http://schemas.microsoft.com/office/drawing/2014/main" id="{00000000-0008-0000-0100-0000A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02" name="Drop Down 1" hidden="1">
          <a:extLst>
            <a:ext uri="{FF2B5EF4-FFF2-40B4-BE49-F238E27FC236}">
              <a16:creationId xmlns:a16="http://schemas.microsoft.com/office/drawing/2014/main" id="{00000000-0008-0000-0100-0000A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03" name="Drop Down 1" hidden="1">
          <a:extLst>
            <a:ext uri="{FF2B5EF4-FFF2-40B4-BE49-F238E27FC236}">
              <a16:creationId xmlns:a16="http://schemas.microsoft.com/office/drawing/2014/main" id="{00000000-0008-0000-0100-0000A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04" name="Drop Down 1" hidden="1">
          <a:extLst>
            <a:ext uri="{FF2B5EF4-FFF2-40B4-BE49-F238E27FC236}">
              <a16:creationId xmlns:a16="http://schemas.microsoft.com/office/drawing/2014/main" id="{00000000-0008-0000-0100-0000A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05" name="Drop Down 2" hidden="1">
          <a:extLst>
            <a:ext uri="{FF2B5EF4-FFF2-40B4-BE49-F238E27FC236}">
              <a16:creationId xmlns:a16="http://schemas.microsoft.com/office/drawing/2014/main" id="{00000000-0008-0000-0100-0000A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06" name="Drop Down 1" hidden="1">
          <a:extLst>
            <a:ext uri="{FF2B5EF4-FFF2-40B4-BE49-F238E27FC236}">
              <a16:creationId xmlns:a16="http://schemas.microsoft.com/office/drawing/2014/main" id="{00000000-0008-0000-0100-0000A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07" name="Drop Down -1022" hidden="1">
          <a:extLst>
            <a:ext uri="{FF2B5EF4-FFF2-40B4-BE49-F238E27FC236}">
              <a16:creationId xmlns:a16="http://schemas.microsoft.com/office/drawing/2014/main" id="{00000000-0008-0000-0100-0000A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08" name="Drop Down 1" hidden="1">
          <a:extLst>
            <a:ext uri="{FF2B5EF4-FFF2-40B4-BE49-F238E27FC236}">
              <a16:creationId xmlns:a16="http://schemas.microsoft.com/office/drawing/2014/main" id="{00000000-0008-0000-0100-0000A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09" name="Drop Down 1" hidden="1">
          <a:extLst>
            <a:ext uri="{FF2B5EF4-FFF2-40B4-BE49-F238E27FC236}">
              <a16:creationId xmlns:a16="http://schemas.microsoft.com/office/drawing/2014/main" id="{00000000-0008-0000-0100-0000A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10" name="Drop Down 1" hidden="1">
          <a:extLst>
            <a:ext uri="{FF2B5EF4-FFF2-40B4-BE49-F238E27FC236}">
              <a16:creationId xmlns:a16="http://schemas.microsoft.com/office/drawing/2014/main" id="{00000000-0008-0000-0100-0000A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11" name="Drop Down 1" hidden="1">
          <a:extLst>
            <a:ext uri="{FF2B5EF4-FFF2-40B4-BE49-F238E27FC236}">
              <a16:creationId xmlns:a16="http://schemas.microsoft.com/office/drawing/2014/main" id="{00000000-0008-0000-0100-0000A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12" name="Drop Down 2" hidden="1">
          <a:extLst>
            <a:ext uri="{FF2B5EF4-FFF2-40B4-BE49-F238E27FC236}">
              <a16:creationId xmlns:a16="http://schemas.microsoft.com/office/drawing/2014/main" id="{00000000-0008-0000-0100-0000B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13" name="Drop Down 1" hidden="1">
          <a:extLst>
            <a:ext uri="{FF2B5EF4-FFF2-40B4-BE49-F238E27FC236}">
              <a16:creationId xmlns:a16="http://schemas.microsoft.com/office/drawing/2014/main" id="{00000000-0008-0000-0100-0000B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14" name="Drop Down -1022" hidden="1">
          <a:extLst>
            <a:ext uri="{FF2B5EF4-FFF2-40B4-BE49-F238E27FC236}">
              <a16:creationId xmlns:a16="http://schemas.microsoft.com/office/drawing/2014/main" id="{00000000-0008-0000-0100-0000B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15" name="Drop Down 1" hidden="1">
          <a:extLst>
            <a:ext uri="{FF2B5EF4-FFF2-40B4-BE49-F238E27FC236}">
              <a16:creationId xmlns:a16="http://schemas.microsoft.com/office/drawing/2014/main" id="{00000000-0008-0000-0100-0000B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16" name="Drop Down 1" hidden="1">
          <a:extLst>
            <a:ext uri="{FF2B5EF4-FFF2-40B4-BE49-F238E27FC236}">
              <a16:creationId xmlns:a16="http://schemas.microsoft.com/office/drawing/2014/main" id="{00000000-0008-0000-0100-0000B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17" name="Drop Down 1" hidden="1">
          <a:extLst>
            <a:ext uri="{FF2B5EF4-FFF2-40B4-BE49-F238E27FC236}">
              <a16:creationId xmlns:a16="http://schemas.microsoft.com/office/drawing/2014/main" id="{00000000-0008-0000-0100-0000B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18" name="Drop Down 1" hidden="1">
          <a:extLst>
            <a:ext uri="{FF2B5EF4-FFF2-40B4-BE49-F238E27FC236}">
              <a16:creationId xmlns:a16="http://schemas.microsoft.com/office/drawing/2014/main" id="{00000000-0008-0000-0100-0000B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19" name="Drop Down 2" hidden="1">
          <a:extLst>
            <a:ext uri="{FF2B5EF4-FFF2-40B4-BE49-F238E27FC236}">
              <a16:creationId xmlns:a16="http://schemas.microsoft.com/office/drawing/2014/main" id="{00000000-0008-0000-0100-0000B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20" name="Drop Down 1" hidden="1">
          <a:extLst>
            <a:ext uri="{FF2B5EF4-FFF2-40B4-BE49-F238E27FC236}">
              <a16:creationId xmlns:a16="http://schemas.microsoft.com/office/drawing/2014/main" id="{00000000-0008-0000-0100-0000B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21" name="Drop Down -1022" hidden="1">
          <a:extLst>
            <a:ext uri="{FF2B5EF4-FFF2-40B4-BE49-F238E27FC236}">
              <a16:creationId xmlns:a16="http://schemas.microsoft.com/office/drawing/2014/main" id="{00000000-0008-0000-0100-0000B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22" name="Drop Down 1" hidden="1">
          <a:extLst>
            <a:ext uri="{FF2B5EF4-FFF2-40B4-BE49-F238E27FC236}">
              <a16:creationId xmlns:a16="http://schemas.microsoft.com/office/drawing/2014/main" id="{00000000-0008-0000-0100-0000B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23" name="Drop Down 1" hidden="1">
          <a:extLst>
            <a:ext uri="{FF2B5EF4-FFF2-40B4-BE49-F238E27FC236}">
              <a16:creationId xmlns:a16="http://schemas.microsoft.com/office/drawing/2014/main" id="{00000000-0008-0000-0100-0000B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24" name="Drop Down 1" hidden="1">
          <a:extLst>
            <a:ext uri="{FF2B5EF4-FFF2-40B4-BE49-F238E27FC236}">
              <a16:creationId xmlns:a16="http://schemas.microsoft.com/office/drawing/2014/main" id="{00000000-0008-0000-0100-0000B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25" name="Drop Down 1" hidden="1">
          <a:extLst>
            <a:ext uri="{FF2B5EF4-FFF2-40B4-BE49-F238E27FC236}">
              <a16:creationId xmlns:a16="http://schemas.microsoft.com/office/drawing/2014/main" id="{00000000-0008-0000-0100-0000B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26" name="Drop Down 2" hidden="1">
          <a:extLst>
            <a:ext uri="{FF2B5EF4-FFF2-40B4-BE49-F238E27FC236}">
              <a16:creationId xmlns:a16="http://schemas.microsoft.com/office/drawing/2014/main" id="{00000000-0008-0000-0100-0000B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27" name="Drop Down 1" hidden="1">
          <a:extLst>
            <a:ext uri="{FF2B5EF4-FFF2-40B4-BE49-F238E27FC236}">
              <a16:creationId xmlns:a16="http://schemas.microsoft.com/office/drawing/2014/main" id="{00000000-0008-0000-0100-0000B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28" name="Drop Down -1022" hidden="1">
          <a:extLst>
            <a:ext uri="{FF2B5EF4-FFF2-40B4-BE49-F238E27FC236}">
              <a16:creationId xmlns:a16="http://schemas.microsoft.com/office/drawing/2014/main" id="{00000000-0008-0000-0100-0000C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29" name="Drop Down 1" hidden="1">
          <a:extLst>
            <a:ext uri="{FF2B5EF4-FFF2-40B4-BE49-F238E27FC236}">
              <a16:creationId xmlns:a16="http://schemas.microsoft.com/office/drawing/2014/main" id="{00000000-0008-0000-0100-0000C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30" name="Drop Down 1" hidden="1">
          <a:extLst>
            <a:ext uri="{FF2B5EF4-FFF2-40B4-BE49-F238E27FC236}">
              <a16:creationId xmlns:a16="http://schemas.microsoft.com/office/drawing/2014/main" id="{00000000-0008-0000-0100-0000C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31" name="Drop Down 1" hidden="1">
          <a:extLst>
            <a:ext uri="{FF2B5EF4-FFF2-40B4-BE49-F238E27FC236}">
              <a16:creationId xmlns:a16="http://schemas.microsoft.com/office/drawing/2014/main" id="{00000000-0008-0000-0100-0000C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32" name="Drop Down 1" hidden="1">
          <a:extLst>
            <a:ext uri="{FF2B5EF4-FFF2-40B4-BE49-F238E27FC236}">
              <a16:creationId xmlns:a16="http://schemas.microsoft.com/office/drawing/2014/main" id="{00000000-0008-0000-0100-0000C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33" name="Drop Down 2" hidden="1">
          <a:extLst>
            <a:ext uri="{FF2B5EF4-FFF2-40B4-BE49-F238E27FC236}">
              <a16:creationId xmlns:a16="http://schemas.microsoft.com/office/drawing/2014/main" id="{00000000-0008-0000-0100-0000C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34" name="Drop Down 1" hidden="1">
          <a:extLst>
            <a:ext uri="{FF2B5EF4-FFF2-40B4-BE49-F238E27FC236}">
              <a16:creationId xmlns:a16="http://schemas.microsoft.com/office/drawing/2014/main" id="{00000000-0008-0000-0100-0000C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35" name="Drop Down -1022" hidden="1">
          <a:extLst>
            <a:ext uri="{FF2B5EF4-FFF2-40B4-BE49-F238E27FC236}">
              <a16:creationId xmlns:a16="http://schemas.microsoft.com/office/drawing/2014/main" id="{00000000-0008-0000-0100-0000C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36" name="Drop Down 1" hidden="1">
          <a:extLst>
            <a:ext uri="{FF2B5EF4-FFF2-40B4-BE49-F238E27FC236}">
              <a16:creationId xmlns:a16="http://schemas.microsoft.com/office/drawing/2014/main" id="{00000000-0008-0000-0100-0000C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37" name="Drop Down 1" hidden="1">
          <a:extLst>
            <a:ext uri="{FF2B5EF4-FFF2-40B4-BE49-F238E27FC236}">
              <a16:creationId xmlns:a16="http://schemas.microsoft.com/office/drawing/2014/main" id="{00000000-0008-0000-0100-0000C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38" name="Drop Down 1" hidden="1">
          <a:extLst>
            <a:ext uri="{FF2B5EF4-FFF2-40B4-BE49-F238E27FC236}">
              <a16:creationId xmlns:a16="http://schemas.microsoft.com/office/drawing/2014/main" id="{00000000-0008-0000-0100-0000C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39" name="Drop Down 1" hidden="1">
          <a:extLst>
            <a:ext uri="{FF2B5EF4-FFF2-40B4-BE49-F238E27FC236}">
              <a16:creationId xmlns:a16="http://schemas.microsoft.com/office/drawing/2014/main" id="{00000000-0008-0000-0100-0000C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40" name="Drop Down 2" hidden="1">
          <a:extLst>
            <a:ext uri="{FF2B5EF4-FFF2-40B4-BE49-F238E27FC236}">
              <a16:creationId xmlns:a16="http://schemas.microsoft.com/office/drawing/2014/main" id="{00000000-0008-0000-0100-0000C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41" name="Drop Down 1" hidden="1">
          <a:extLst>
            <a:ext uri="{FF2B5EF4-FFF2-40B4-BE49-F238E27FC236}">
              <a16:creationId xmlns:a16="http://schemas.microsoft.com/office/drawing/2014/main" id="{00000000-0008-0000-0100-0000C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42" name="Drop Down -1022" hidden="1">
          <a:extLst>
            <a:ext uri="{FF2B5EF4-FFF2-40B4-BE49-F238E27FC236}">
              <a16:creationId xmlns:a16="http://schemas.microsoft.com/office/drawing/2014/main" id="{00000000-0008-0000-0100-0000C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43" name="Drop Down 1" hidden="1">
          <a:extLst>
            <a:ext uri="{FF2B5EF4-FFF2-40B4-BE49-F238E27FC236}">
              <a16:creationId xmlns:a16="http://schemas.microsoft.com/office/drawing/2014/main" id="{00000000-0008-0000-0100-0000C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44" name="Drop Down 1" hidden="1">
          <a:extLst>
            <a:ext uri="{FF2B5EF4-FFF2-40B4-BE49-F238E27FC236}">
              <a16:creationId xmlns:a16="http://schemas.microsoft.com/office/drawing/2014/main" id="{00000000-0008-0000-0100-0000D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45" name="Drop Down 1" hidden="1">
          <a:extLst>
            <a:ext uri="{FF2B5EF4-FFF2-40B4-BE49-F238E27FC236}">
              <a16:creationId xmlns:a16="http://schemas.microsoft.com/office/drawing/2014/main" id="{00000000-0008-0000-0100-0000D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46" name="Drop Down 1" hidden="1">
          <a:extLst>
            <a:ext uri="{FF2B5EF4-FFF2-40B4-BE49-F238E27FC236}">
              <a16:creationId xmlns:a16="http://schemas.microsoft.com/office/drawing/2014/main" id="{00000000-0008-0000-0100-0000D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47" name="Drop Down 2" hidden="1">
          <a:extLst>
            <a:ext uri="{FF2B5EF4-FFF2-40B4-BE49-F238E27FC236}">
              <a16:creationId xmlns:a16="http://schemas.microsoft.com/office/drawing/2014/main" id="{00000000-0008-0000-0100-0000D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48" name="Drop Down 1" hidden="1">
          <a:extLst>
            <a:ext uri="{FF2B5EF4-FFF2-40B4-BE49-F238E27FC236}">
              <a16:creationId xmlns:a16="http://schemas.microsoft.com/office/drawing/2014/main" id="{00000000-0008-0000-0100-0000D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49" name="Drop Down -1022" hidden="1">
          <a:extLst>
            <a:ext uri="{FF2B5EF4-FFF2-40B4-BE49-F238E27FC236}">
              <a16:creationId xmlns:a16="http://schemas.microsoft.com/office/drawing/2014/main" id="{00000000-0008-0000-0100-0000D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50" name="Drop Down 1" hidden="1">
          <a:extLst>
            <a:ext uri="{FF2B5EF4-FFF2-40B4-BE49-F238E27FC236}">
              <a16:creationId xmlns:a16="http://schemas.microsoft.com/office/drawing/2014/main" id="{00000000-0008-0000-0100-0000D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51" name="Drop Down 1" hidden="1">
          <a:extLst>
            <a:ext uri="{FF2B5EF4-FFF2-40B4-BE49-F238E27FC236}">
              <a16:creationId xmlns:a16="http://schemas.microsoft.com/office/drawing/2014/main" id="{00000000-0008-0000-0100-0000D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52" name="Drop Down 1" hidden="1">
          <a:extLst>
            <a:ext uri="{FF2B5EF4-FFF2-40B4-BE49-F238E27FC236}">
              <a16:creationId xmlns:a16="http://schemas.microsoft.com/office/drawing/2014/main" id="{00000000-0008-0000-0100-0000D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53" name="Drop Down 1" hidden="1">
          <a:extLst>
            <a:ext uri="{FF2B5EF4-FFF2-40B4-BE49-F238E27FC236}">
              <a16:creationId xmlns:a16="http://schemas.microsoft.com/office/drawing/2014/main" id="{00000000-0008-0000-0100-0000D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54" name="Drop Down 2" hidden="1">
          <a:extLst>
            <a:ext uri="{FF2B5EF4-FFF2-40B4-BE49-F238E27FC236}">
              <a16:creationId xmlns:a16="http://schemas.microsoft.com/office/drawing/2014/main" id="{00000000-0008-0000-0100-0000D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55" name="Drop Down 1" hidden="1">
          <a:extLst>
            <a:ext uri="{FF2B5EF4-FFF2-40B4-BE49-F238E27FC236}">
              <a16:creationId xmlns:a16="http://schemas.microsoft.com/office/drawing/2014/main" id="{00000000-0008-0000-0100-0000D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56" name="Drop Down -1022" hidden="1">
          <a:extLst>
            <a:ext uri="{FF2B5EF4-FFF2-40B4-BE49-F238E27FC236}">
              <a16:creationId xmlns:a16="http://schemas.microsoft.com/office/drawing/2014/main" id="{00000000-0008-0000-0100-0000D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57" name="Drop Down 1" hidden="1">
          <a:extLst>
            <a:ext uri="{FF2B5EF4-FFF2-40B4-BE49-F238E27FC236}">
              <a16:creationId xmlns:a16="http://schemas.microsoft.com/office/drawing/2014/main" id="{00000000-0008-0000-0100-0000D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58" name="Drop Down 1" hidden="1">
          <a:extLst>
            <a:ext uri="{FF2B5EF4-FFF2-40B4-BE49-F238E27FC236}">
              <a16:creationId xmlns:a16="http://schemas.microsoft.com/office/drawing/2014/main" id="{00000000-0008-0000-0100-0000D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59" name="Drop Down 1" hidden="1">
          <a:extLst>
            <a:ext uri="{FF2B5EF4-FFF2-40B4-BE49-F238E27FC236}">
              <a16:creationId xmlns:a16="http://schemas.microsoft.com/office/drawing/2014/main" id="{00000000-0008-0000-0100-0000D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60" name="Drop Down 1" hidden="1">
          <a:extLst>
            <a:ext uri="{FF2B5EF4-FFF2-40B4-BE49-F238E27FC236}">
              <a16:creationId xmlns:a16="http://schemas.microsoft.com/office/drawing/2014/main" id="{00000000-0008-0000-0100-0000E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61" name="Drop Down 2" hidden="1">
          <a:extLst>
            <a:ext uri="{FF2B5EF4-FFF2-40B4-BE49-F238E27FC236}">
              <a16:creationId xmlns:a16="http://schemas.microsoft.com/office/drawing/2014/main" id="{00000000-0008-0000-0100-0000E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62" name="Drop Down 1" hidden="1">
          <a:extLst>
            <a:ext uri="{FF2B5EF4-FFF2-40B4-BE49-F238E27FC236}">
              <a16:creationId xmlns:a16="http://schemas.microsoft.com/office/drawing/2014/main" id="{00000000-0008-0000-0100-0000E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63" name="Drop Down -1022" hidden="1">
          <a:extLst>
            <a:ext uri="{FF2B5EF4-FFF2-40B4-BE49-F238E27FC236}">
              <a16:creationId xmlns:a16="http://schemas.microsoft.com/office/drawing/2014/main" id="{00000000-0008-0000-0100-0000E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164" name="Drop Down 1" hidden="1">
          <a:extLst>
            <a:ext uri="{FF2B5EF4-FFF2-40B4-BE49-F238E27FC236}">
              <a16:creationId xmlns:a16="http://schemas.microsoft.com/office/drawing/2014/main" id="{00000000-0008-0000-0100-0000E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165" name="Drop Down 1" hidden="1">
          <a:extLst>
            <a:ext uri="{FF2B5EF4-FFF2-40B4-BE49-F238E27FC236}">
              <a16:creationId xmlns:a16="http://schemas.microsoft.com/office/drawing/2014/main" id="{00000000-0008-0000-0100-0000E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166" name="Drop Down 1" hidden="1">
          <a:extLst>
            <a:ext uri="{FF2B5EF4-FFF2-40B4-BE49-F238E27FC236}">
              <a16:creationId xmlns:a16="http://schemas.microsoft.com/office/drawing/2014/main" id="{00000000-0008-0000-0100-0000E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167" name="Drop Down 1" hidden="1">
          <a:extLst>
            <a:ext uri="{FF2B5EF4-FFF2-40B4-BE49-F238E27FC236}">
              <a16:creationId xmlns:a16="http://schemas.microsoft.com/office/drawing/2014/main" id="{00000000-0008-0000-0100-0000E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168" name="Drop Down 2" hidden="1">
          <a:extLst>
            <a:ext uri="{FF2B5EF4-FFF2-40B4-BE49-F238E27FC236}">
              <a16:creationId xmlns:a16="http://schemas.microsoft.com/office/drawing/2014/main" id="{00000000-0008-0000-0100-0000E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169" name="Drop Down 1" hidden="1">
          <a:extLst>
            <a:ext uri="{FF2B5EF4-FFF2-40B4-BE49-F238E27FC236}">
              <a16:creationId xmlns:a16="http://schemas.microsoft.com/office/drawing/2014/main" id="{00000000-0008-0000-0100-0000E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170" name="Drop Down -1022" hidden="1">
          <a:extLst>
            <a:ext uri="{FF2B5EF4-FFF2-40B4-BE49-F238E27FC236}">
              <a16:creationId xmlns:a16="http://schemas.microsoft.com/office/drawing/2014/main" id="{00000000-0008-0000-0100-0000E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171" name="Drop Down 1" hidden="1">
          <a:extLst>
            <a:ext uri="{FF2B5EF4-FFF2-40B4-BE49-F238E27FC236}">
              <a16:creationId xmlns:a16="http://schemas.microsoft.com/office/drawing/2014/main" id="{00000000-0008-0000-0100-0000E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172" name="Drop Down 1" hidden="1">
          <a:extLst>
            <a:ext uri="{FF2B5EF4-FFF2-40B4-BE49-F238E27FC236}">
              <a16:creationId xmlns:a16="http://schemas.microsoft.com/office/drawing/2014/main" id="{00000000-0008-0000-0100-0000E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173" name="Drop Down 1" hidden="1">
          <a:extLst>
            <a:ext uri="{FF2B5EF4-FFF2-40B4-BE49-F238E27FC236}">
              <a16:creationId xmlns:a16="http://schemas.microsoft.com/office/drawing/2014/main" id="{00000000-0008-0000-0100-0000E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174" name="Drop Down 1" hidden="1">
          <a:extLst>
            <a:ext uri="{FF2B5EF4-FFF2-40B4-BE49-F238E27FC236}">
              <a16:creationId xmlns:a16="http://schemas.microsoft.com/office/drawing/2014/main" id="{00000000-0008-0000-0100-0000E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175" name="Drop Down 2" hidden="1">
          <a:extLst>
            <a:ext uri="{FF2B5EF4-FFF2-40B4-BE49-F238E27FC236}">
              <a16:creationId xmlns:a16="http://schemas.microsoft.com/office/drawing/2014/main" id="{00000000-0008-0000-0100-0000E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176" name="Drop Down 1" hidden="1">
          <a:extLst>
            <a:ext uri="{FF2B5EF4-FFF2-40B4-BE49-F238E27FC236}">
              <a16:creationId xmlns:a16="http://schemas.microsoft.com/office/drawing/2014/main" id="{00000000-0008-0000-0100-0000F0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177" name="Drop Down -1022" hidden="1">
          <a:extLst>
            <a:ext uri="{FF2B5EF4-FFF2-40B4-BE49-F238E27FC236}">
              <a16:creationId xmlns:a16="http://schemas.microsoft.com/office/drawing/2014/main" id="{00000000-0008-0000-0100-0000F1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78" name="Drop Down 1" hidden="1">
          <a:extLst>
            <a:ext uri="{FF2B5EF4-FFF2-40B4-BE49-F238E27FC236}">
              <a16:creationId xmlns:a16="http://schemas.microsoft.com/office/drawing/2014/main" id="{00000000-0008-0000-0100-0000F2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79" name="Drop Down 1" hidden="1">
          <a:extLst>
            <a:ext uri="{FF2B5EF4-FFF2-40B4-BE49-F238E27FC236}">
              <a16:creationId xmlns:a16="http://schemas.microsoft.com/office/drawing/2014/main" id="{00000000-0008-0000-0100-0000F3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80" name="Drop Down 1" hidden="1">
          <a:extLst>
            <a:ext uri="{FF2B5EF4-FFF2-40B4-BE49-F238E27FC236}">
              <a16:creationId xmlns:a16="http://schemas.microsoft.com/office/drawing/2014/main" id="{00000000-0008-0000-0100-0000F4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81" name="Drop Down 1" hidden="1">
          <a:extLst>
            <a:ext uri="{FF2B5EF4-FFF2-40B4-BE49-F238E27FC236}">
              <a16:creationId xmlns:a16="http://schemas.microsoft.com/office/drawing/2014/main" id="{00000000-0008-0000-0100-0000F5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82" name="Drop Down 2" hidden="1">
          <a:extLst>
            <a:ext uri="{FF2B5EF4-FFF2-40B4-BE49-F238E27FC236}">
              <a16:creationId xmlns:a16="http://schemas.microsoft.com/office/drawing/2014/main" id="{00000000-0008-0000-0100-0000F6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83" name="Drop Down 1" hidden="1">
          <a:extLst>
            <a:ext uri="{FF2B5EF4-FFF2-40B4-BE49-F238E27FC236}">
              <a16:creationId xmlns:a16="http://schemas.microsoft.com/office/drawing/2014/main" id="{00000000-0008-0000-0100-0000F7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84" name="Drop Down -1022" hidden="1">
          <a:extLst>
            <a:ext uri="{FF2B5EF4-FFF2-40B4-BE49-F238E27FC236}">
              <a16:creationId xmlns:a16="http://schemas.microsoft.com/office/drawing/2014/main" id="{00000000-0008-0000-0100-0000F8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85" name="Drop Down 1" hidden="1">
          <a:extLst>
            <a:ext uri="{FF2B5EF4-FFF2-40B4-BE49-F238E27FC236}">
              <a16:creationId xmlns:a16="http://schemas.microsoft.com/office/drawing/2014/main" id="{00000000-0008-0000-0100-0000F9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86" name="Drop Down 1" hidden="1">
          <a:extLst>
            <a:ext uri="{FF2B5EF4-FFF2-40B4-BE49-F238E27FC236}">
              <a16:creationId xmlns:a16="http://schemas.microsoft.com/office/drawing/2014/main" id="{00000000-0008-0000-0100-0000FA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87" name="Drop Down 1" hidden="1">
          <a:extLst>
            <a:ext uri="{FF2B5EF4-FFF2-40B4-BE49-F238E27FC236}">
              <a16:creationId xmlns:a16="http://schemas.microsoft.com/office/drawing/2014/main" id="{00000000-0008-0000-0100-0000FB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88" name="Drop Down 1" hidden="1">
          <a:extLst>
            <a:ext uri="{FF2B5EF4-FFF2-40B4-BE49-F238E27FC236}">
              <a16:creationId xmlns:a16="http://schemas.microsoft.com/office/drawing/2014/main" id="{00000000-0008-0000-0100-0000FC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89" name="Drop Down 2" hidden="1">
          <a:extLst>
            <a:ext uri="{FF2B5EF4-FFF2-40B4-BE49-F238E27FC236}">
              <a16:creationId xmlns:a16="http://schemas.microsoft.com/office/drawing/2014/main" id="{00000000-0008-0000-0100-0000FD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90" name="Drop Down 1" hidden="1">
          <a:extLst>
            <a:ext uri="{FF2B5EF4-FFF2-40B4-BE49-F238E27FC236}">
              <a16:creationId xmlns:a16="http://schemas.microsoft.com/office/drawing/2014/main" id="{00000000-0008-0000-0100-0000FE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91" name="Drop Down -1022" hidden="1">
          <a:extLst>
            <a:ext uri="{FF2B5EF4-FFF2-40B4-BE49-F238E27FC236}">
              <a16:creationId xmlns:a16="http://schemas.microsoft.com/office/drawing/2014/main" id="{00000000-0008-0000-0100-0000FF1F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92" name="Drop Down 1" hidden="1">
          <a:extLst>
            <a:ext uri="{FF2B5EF4-FFF2-40B4-BE49-F238E27FC236}">
              <a16:creationId xmlns:a16="http://schemas.microsoft.com/office/drawing/2014/main" id="{00000000-0008-0000-0100-00000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93" name="Drop Down 1" hidden="1">
          <a:extLst>
            <a:ext uri="{FF2B5EF4-FFF2-40B4-BE49-F238E27FC236}">
              <a16:creationId xmlns:a16="http://schemas.microsoft.com/office/drawing/2014/main" id="{00000000-0008-0000-0100-00000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94" name="Drop Down 1" hidden="1">
          <a:extLst>
            <a:ext uri="{FF2B5EF4-FFF2-40B4-BE49-F238E27FC236}">
              <a16:creationId xmlns:a16="http://schemas.microsoft.com/office/drawing/2014/main" id="{00000000-0008-0000-0100-00000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95" name="Drop Down 1" hidden="1">
          <a:extLst>
            <a:ext uri="{FF2B5EF4-FFF2-40B4-BE49-F238E27FC236}">
              <a16:creationId xmlns:a16="http://schemas.microsoft.com/office/drawing/2014/main" id="{00000000-0008-0000-0100-00000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96" name="Drop Down 2" hidden="1">
          <a:extLst>
            <a:ext uri="{FF2B5EF4-FFF2-40B4-BE49-F238E27FC236}">
              <a16:creationId xmlns:a16="http://schemas.microsoft.com/office/drawing/2014/main" id="{00000000-0008-0000-0100-00000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97" name="Drop Down 1" hidden="1">
          <a:extLst>
            <a:ext uri="{FF2B5EF4-FFF2-40B4-BE49-F238E27FC236}">
              <a16:creationId xmlns:a16="http://schemas.microsoft.com/office/drawing/2014/main" id="{00000000-0008-0000-0100-00000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198" name="Drop Down -1022" hidden="1">
          <a:extLst>
            <a:ext uri="{FF2B5EF4-FFF2-40B4-BE49-F238E27FC236}">
              <a16:creationId xmlns:a16="http://schemas.microsoft.com/office/drawing/2014/main" id="{00000000-0008-0000-0100-00000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199" name="Drop Down 1" hidden="1">
          <a:extLst>
            <a:ext uri="{FF2B5EF4-FFF2-40B4-BE49-F238E27FC236}">
              <a16:creationId xmlns:a16="http://schemas.microsoft.com/office/drawing/2014/main" id="{00000000-0008-0000-0100-00000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00" name="Drop Down 1" hidden="1">
          <a:extLst>
            <a:ext uri="{FF2B5EF4-FFF2-40B4-BE49-F238E27FC236}">
              <a16:creationId xmlns:a16="http://schemas.microsoft.com/office/drawing/2014/main" id="{00000000-0008-0000-0100-00000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01" name="Drop Down 1" hidden="1">
          <a:extLst>
            <a:ext uri="{FF2B5EF4-FFF2-40B4-BE49-F238E27FC236}">
              <a16:creationId xmlns:a16="http://schemas.microsoft.com/office/drawing/2014/main" id="{00000000-0008-0000-0100-00000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02" name="Drop Down 1" hidden="1">
          <a:extLst>
            <a:ext uri="{FF2B5EF4-FFF2-40B4-BE49-F238E27FC236}">
              <a16:creationId xmlns:a16="http://schemas.microsoft.com/office/drawing/2014/main" id="{00000000-0008-0000-0100-00000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03" name="Drop Down 2" hidden="1">
          <a:extLst>
            <a:ext uri="{FF2B5EF4-FFF2-40B4-BE49-F238E27FC236}">
              <a16:creationId xmlns:a16="http://schemas.microsoft.com/office/drawing/2014/main" id="{00000000-0008-0000-0100-00000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04" name="Drop Down 1" hidden="1">
          <a:extLst>
            <a:ext uri="{FF2B5EF4-FFF2-40B4-BE49-F238E27FC236}">
              <a16:creationId xmlns:a16="http://schemas.microsoft.com/office/drawing/2014/main" id="{00000000-0008-0000-0100-00000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05" name="Drop Down -1022" hidden="1">
          <a:extLst>
            <a:ext uri="{FF2B5EF4-FFF2-40B4-BE49-F238E27FC236}">
              <a16:creationId xmlns:a16="http://schemas.microsoft.com/office/drawing/2014/main" id="{00000000-0008-0000-0100-00000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06" name="Drop Down 1" hidden="1">
          <a:extLst>
            <a:ext uri="{FF2B5EF4-FFF2-40B4-BE49-F238E27FC236}">
              <a16:creationId xmlns:a16="http://schemas.microsoft.com/office/drawing/2014/main" id="{00000000-0008-0000-0100-00000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07" name="Drop Down 1" hidden="1">
          <a:extLst>
            <a:ext uri="{FF2B5EF4-FFF2-40B4-BE49-F238E27FC236}">
              <a16:creationId xmlns:a16="http://schemas.microsoft.com/office/drawing/2014/main" id="{00000000-0008-0000-0100-00000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08" name="Drop Down 1" hidden="1">
          <a:extLst>
            <a:ext uri="{FF2B5EF4-FFF2-40B4-BE49-F238E27FC236}">
              <a16:creationId xmlns:a16="http://schemas.microsoft.com/office/drawing/2014/main" id="{00000000-0008-0000-0100-00001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09" name="Drop Down 1" hidden="1">
          <a:extLst>
            <a:ext uri="{FF2B5EF4-FFF2-40B4-BE49-F238E27FC236}">
              <a16:creationId xmlns:a16="http://schemas.microsoft.com/office/drawing/2014/main" id="{00000000-0008-0000-0100-00001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10" name="Drop Down 2" hidden="1">
          <a:extLst>
            <a:ext uri="{FF2B5EF4-FFF2-40B4-BE49-F238E27FC236}">
              <a16:creationId xmlns:a16="http://schemas.microsoft.com/office/drawing/2014/main" id="{00000000-0008-0000-0100-00001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11" name="Drop Down 1" hidden="1">
          <a:extLst>
            <a:ext uri="{FF2B5EF4-FFF2-40B4-BE49-F238E27FC236}">
              <a16:creationId xmlns:a16="http://schemas.microsoft.com/office/drawing/2014/main" id="{00000000-0008-0000-0100-00001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12" name="Drop Down -1022" hidden="1">
          <a:extLst>
            <a:ext uri="{FF2B5EF4-FFF2-40B4-BE49-F238E27FC236}">
              <a16:creationId xmlns:a16="http://schemas.microsoft.com/office/drawing/2014/main" id="{00000000-0008-0000-0100-00001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13" name="Drop Down 1" hidden="1">
          <a:extLst>
            <a:ext uri="{FF2B5EF4-FFF2-40B4-BE49-F238E27FC236}">
              <a16:creationId xmlns:a16="http://schemas.microsoft.com/office/drawing/2014/main" id="{00000000-0008-0000-0100-00001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14" name="Drop Down 1" hidden="1">
          <a:extLst>
            <a:ext uri="{FF2B5EF4-FFF2-40B4-BE49-F238E27FC236}">
              <a16:creationId xmlns:a16="http://schemas.microsoft.com/office/drawing/2014/main" id="{00000000-0008-0000-0100-00001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15" name="Drop Down 1" hidden="1">
          <a:extLst>
            <a:ext uri="{FF2B5EF4-FFF2-40B4-BE49-F238E27FC236}">
              <a16:creationId xmlns:a16="http://schemas.microsoft.com/office/drawing/2014/main" id="{00000000-0008-0000-0100-00001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16" name="Drop Down 1" hidden="1">
          <a:extLst>
            <a:ext uri="{FF2B5EF4-FFF2-40B4-BE49-F238E27FC236}">
              <a16:creationId xmlns:a16="http://schemas.microsoft.com/office/drawing/2014/main" id="{00000000-0008-0000-0100-00001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17" name="Drop Down 2" hidden="1">
          <a:extLst>
            <a:ext uri="{FF2B5EF4-FFF2-40B4-BE49-F238E27FC236}">
              <a16:creationId xmlns:a16="http://schemas.microsoft.com/office/drawing/2014/main" id="{00000000-0008-0000-0100-00001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18" name="Drop Down 1" hidden="1">
          <a:extLst>
            <a:ext uri="{FF2B5EF4-FFF2-40B4-BE49-F238E27FC236}">
              <a16:creationId xmlns:a16="http://schemas.microsoft.com/office/drawing/2014/main" id="{00000000-0008-0000-0100-00001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19" name="Drop Down -1022" hidden="1">
          <a:extLst>
            <a:ext uri="{FF2B5EF4-FFF2-40B4-BE49-F238E27FC236}">
              <a16:creationId xmlns:a16="http://schemas.microsoft.com/office/drawing/2014/main" id="{00000000-0008-0000-0100-00001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20" name="Drop Down 1" hidden="1">
          <a:extLst>
            <a:ext uri="{FF2B5EF4-FFF2-40B4-BE49-F238E27FC236}">
              <a16:creationId xmlns:a16="http://schemas.microsoft.com/office/drawing/2014/main" id="{00000000-0008-0000-0100-00001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21" name="Drop Down 1" hidden="1">
          <a:extLst>
            <a:ext uri="{FF2B5EF4-FFF2-40B4-BE49-F238E27FC236}">
              <a16:creationId xmlns:a16="http://schemas.microsoft.com/office/drawing/2014/main" id="{00000000-0008-0000-0100-00001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22" name="Drop Down 1" hidden="1">
          <a:extLst>
            <a:ext uri="{FF2B5EF4-FFF2-40B4-BE49-F238E27FC236}">
              <a16:creationId xmlns:a16="http://schemas.microsoft.com/office/drawing/2014/main" id="{00000000-0008-0000-0100-00001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23" name="Drop Down 1" hidden="1">
          <a:extLst>
            <a:ext uri="{FF2B5EF4-FFF2-40B4-BE49-F238E27FC236}">
              <a16:creationId xmlns:a16="http://schemas.microsoft.com/office/drawing/2014/main" id="{00000000-0008-0000-0100-00001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24" name="Drop Down 2" hidden="1">
          <a:extLst>
            <a:ext uri="{FF2B5EF4-FFF2-40B4-BE49-F238E27FC236}">
              <a16:creationId xmlns:a16="http://schemas.microsoft.com/office/drawing/2014/main" id="{00000000-0008-0000-0100-00002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25" name="Drop Down 1" hidden="1">
          <a:extLst>
            <a:ext uri="{FF2B5EF4-FFF2-40B4-BE49-F238E27FC236}">
              <a16:creationId xmlns:a16="http://schemas.microsoft.com/office/drawing/2014/main" id="{00000000-0008-0000-0100-00002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26" name="Drop Down -1022" hidden="1">
          <a:extLst>
            <a:ext uri="{FF2B5EF4-FFF2-40B4-BE49-F238E27FC236}">
              <a16:creationId xmlns:a16="http://schemas.microsoft.com/office/drawing/2014/main" id="{00000000-0008-0000-0100-00002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27" name="Drop Down 1" hidden="1">
          <a:extLst>
            <a:ext uri="{FF2B5EF4-FFF2-40B4-BE49-F238E27FC236}">
              <a16:creationId xmlns:a16="http://schemas.microsoft.com/office/drawing/2014/main" id="{00000000-0008-0000-0100-00002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28" name="Drop Down 1" hidden="1">
          <a:extLst>
            <a:ext uri="{FF2B5EF4-FFF2-40B4-BE49-F238E27FC236}">
              <a16:creationId xmlns:a16="http://schemas.microsoft.com/office/drawing/2014/main" id="{00000000-0008-0000-0100-00002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29" name="Drop Down 1" hidden="1">
          <a:extLst>
            <a:ext uri="{FF2B5EF4-FFF2-40B4-BE49-F238E27FC236}">
              <a16:creationId xmlns:a16="http://schemas.microsoft.com/office/drawing/2014/main" id="{00000000-0008-0000-0100-00002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30" name="Drop Down 1" hidden="1">
          <a:extLst>
            <a:ext uri="{FF2B5EF4-FFF2-40B4-BE49-F238E27FC236}">
              <a16:creationId xmlns:a16="http://schemas.microsoft.com/office/drawing/2014/main" id="{00000000-0008-0000-0100-00002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31" name="Drop Down 2" hidden="1">
          <a:extLst>
            <a:ext uri="{FF2B5EF4-FFF2-40B4-BE49-F238E27FC236}">
              <a16:creationId xmlns:a16="http://schemas.microsoft.com/office/drawing/2014/main" id="{00000000-0008-0000-0100-00002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32" name="Drop Down 1" hidden="1">
          <a:extLst>
            <a:ext uri="{FF2B5EF4-FFF2-40B4-BE49-F238E27FC236}">
              <a16:creationId xmlns:a16="http://schemas.microsoft.com/office/drawing/2014/main" id="{00000000-0008-0000-0100-00002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33" name="Drop Down -1022" hidden="1">
          <a:extLst>
            <a:ext uri="{FF2B5EF4-FFF2-40B4-BE49-F238E27FC236}">
              <a16:creationId xmlns:a16="http://schemas.microsoft.com/office/drawing/2014/main" id="{00000000-0008-0000-0100-00002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34" name="Drop Down 1" hidden="1">
          <a:extLst>
            <a:ext uri="{FF2B5EF4-FFF2-40B4-BE49-F238E27FC236}">
              <a16:creationId xmlns:a16="http://schemas.microsoft.com/office/drawing/2014/main" id="{00000000-0008-0000-0100-00002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35" name="Drop Down 1" hidden="1">
          <a:extLst>
            <a:ext uri="{FF2B5EF4-FFF2-40B4-BE49-F238E27FC236}">
              <a16:creationId xmlns:a16="http://schemas.microsoft.com/office/drawing/2014/main" id="{00000000-0008-0000-0100-00002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36" name="Drop Down 1" hidden="1">
          <a:extLst>
            <a:ext uri="{FF2B5EF4-FFF2-40B4-BE49-F238E27FC236}">
              <a16:creationId xmlns:a16="http://schemas.microsoft.com/office/drawing/2014/main" id="{00000000-0008-0000-0100-00002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37" name="Drop Down 1" hidden="1">
          <a:extLst>
            <a:ext uri="{FF2B5EF4-FFF2-40B4-BE49-F238E27FC236}">
              <a16:creationId xmlns:a16="http://schemas.microsoft.com/office/drawing/2014/main" id="{00000000-0008-0000-0100-00002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38" name="Drop Down 2" hidden="1">
          <a:extLst>
            <a:ext uri="{FF2B5EF4-FFF2-40B4-BE49-F238E27FC236}">
              <a16:creationId xmlns:a16="http://schemas.microsoft.com/office/drawing/2014/main" id="{00000000-0008-0000-0100-00002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39" name="Drop Down 1" hidden="1">
          <a:extLst>
            <a:ext uri="{FF2B5EF4-FFF2-40B4-BE49-F238E27FC236}">
              <a16:creationId xmlns:a16="http://schemas.microsoft.com/office/drawing/2014/main" id="{00000000-0008-0000-0100-00002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40" name="Drop Down -1022" hidden="1">
          <a:extLst>
            <a:ext uri="{FF2B5EF4-FFF2-40B4-BE49-F238E27FC236}">
              <a16:creationId xmlns:a16="http://schemas.microsoft.com/office/drawing/2014/main" id="{00000000-0008-0000-0100-00003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41" name="Drop Down 1" hidden="1">
          <a:extLst>
            <a:ext uri="{FF2B5EF4-FFF2-40B4-BE49-F238E27FC236}">
              <a16:creationId xmlns:a16="http://schemas.microsoft.com/office/drawing/2014/main" id="{00000000-0008-0000-0100-00003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42" name="Drop Down 1" hidden="1">
          <a:extLst>
            <a:ext uri="{FF2B5EF4-FFF2-40B4-BE49-F238E27FC236}">
              <a16:creationId xmlns:a16="http://schemas.microsoft.com/office/drawing/2014/main" id="{00000000-0008-0000-0100-00003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43" name="Drop Down 1" hidden="1">
          <a:extLst>
            <a:ext uri="{FF2B5EF4-FFF2-40B4-BE49-F238E27FC236}">
              <a16:creationId xmlns:a16="http://schemas.microsoft.com/office/drawing/2014/main" id="{00000000-0008-0000-0100-00003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44" name="Drop Down 1" hidden="1">
          <a:extLst>
            <a:ext uri="{FF2B5EF4-FFF2-40B4-BE49-F238E27FC236}">
              <a16:creationId xmlns:a16="http://schemas.microsoft.com/office/drawing/2014/main" id="{00000000-0008-0000-0100-00003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45" name="Drop Down 2" hidden="1">
          <a:extLst>
            <a:ext uri="{FF2B5EF4-FFF2-40B4-BE49-F238E27FC236}">
              <a16:creationId xmlns:a16="http://schemas.microsoft.com/office/drawing/2014/main" id="{00000000-0008-0000-0100-00003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46" name="Drop Down 1" hidden="1">
          <a:extLst>
            <a:ext uri="{FF2B5EF4-FFF2-40B4-BE49-F238E27FC236}">
              <a16:creationId xmlns:a16="http://schemas.microsoft.com/office/drawing/2014/main" id="{00000000-0008-0000-0100-00003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47" name="Drop Down -1022" hidden="1">
          <a:extLst>
            <a:ext uri="{FF2B5EF4-FFF2-40B4-BE49-F238E27FC236}">
              <a16:creationId xmlns:a16="http://schemas.microsoft.com/office/drawing/2014/main" id="{00000000-0008-0000-0100-00003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248" name="Drop Down 1" hidden="1">
          <a:extLst>
            <a:ext uri="{FF2B5EF4-FFF2-40B4-BE49-F238E27FC236}">
              <a16:creationId xmlns:a16="http://schemas.microsoft.com/office/drawing/2014/main" id="{00000000-0008-0000-0100-00003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249" name="Drop Down 1" hidden="1">
          <a:extLst>
            <a:ext uri="{FF2B5EF4-FFF2-40B4-BE49-F238E27FC236}">
              <a16:creationId xmlns:a16="http://schemas.microsoft.com/office/drawing/2014/main" id="{00000000-0008-0000-0100-00003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250" name="Drop Down 1" hidden="1">
          <a:extLst>
            <a:ext uri="{FF2B5EF4-FFF2-40B4-BE49-F238E27FC236}">
              <a16:creationId xmlns:a16="http://schemas.microsoft.com/office/drawing/2014/main" id="{00000000-0008-0000-0100-00003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251" name="Drop Down 1" hidden="1">
          <a:extLst>
            <a:ext uri="{FF2B5EF4-FFF2-40B4-BE49-F238E27FC236}">
              <a16:creationId xmlns:a16="http://schemas.microsoft.com/office/drawing/2014/main" id="{00000000-0008-0000-0100-00003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252" name="Drop Down 2" hidden="1">
          <a:extLst>
            <a:ext uri="{FF2B5EF4-FFF2-40B4-BE49-F238E27FC236}">
              <a16:creationId xmlns:a16="http://schemas.microsoft.com/office/drawing/2014/main" id="{00000000-0008-0000-0100-00003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253" name="Drop Down 1" hidden="1">
          <a:extLst>
            <a:ext uri="{FF2B5EF4-FFF2-40B4-BE49-F238E27FC236}">
              <a16:creationId xmlns:a16="http://schemas.microsoft.com/office/drawing/2014/main" id="{00000000-0008-0000-0100-00003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254" name="Drop Down -1022" hidden="1">
          <a:extLst>
            <a:ext uri="{FF2B5EF4-FFF2-40B4-BE49-F238E27FC236}">
              <a16:creationId xmlns:a16="http://schemas.microsoft.com/office/drawing/2014/main" id="{00000000-0008-0000-0100-00003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255" name="Drop Down 1" hidden="1">
          <a:extLst>
            <a:ext uri="{FF2B5EF4-FFF2-40B4-BE49-F238E27FC236}">
              <a16:creationId xmlns:a16="http://schemas.microsoft.com/office/drawing/2014/main" id="{00000000-0008-0000-0100-00003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256" name="Drop Down 1" hidden="1">
          <a:extLst>
            <a:ext uri="{FF2B5EF4-FFF2-40B4-BE49-F238E27FC236}">
              <a16:creationId xmlns:a16="http://schemas.microsoft.com/office/drawing/2014/main" id="{00000000-0008-0000-0100-00004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257" name="Drop Down 1" hidden="1">
          <a:extLst>
            <a:ext uri="{FF2B5EF4-FFF2-40B4-BE49-F238E27FC236}">
              <a16:creationId xmlns:a16="http://schemas.microsoft.com/office/drawing/2014/main" id="{00000000-0008-0000-0100-00004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258" name="Drop Down 1" hidden="1">
          <a:extLst>
            <a:ext uri="{FF2B5EF4-FFF2-40B4-BE49-F238E27FC236}">
              <a16:creationId xmlns:a16="http://schemas.microsoft.com/office/drawing/2014/main" id="{00000000-0008-0000-0100-00004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259" name="Drop Down 2" hidden="1">
          <a:extLst>
            <a:ext uri="{FF2B5EF4-FFF2-40B4-BE49-F238E27FC236}">
              <a16:creationId xmlns:a16="http://schemas.microsoft.com/office/drawing/2014/main" id="{00000000-0008-0000-0100-00004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260" name="Drop Down 1" hidden="1">
          <a:extLst>
            <a:ext uri="{FF2B5EF4-FFF2-40B4-BE49-F238E27FC236}">
              <a16:creationId xmlns:a16="http://schemas.microsoft.com/office/drawing/2014/main" id="{00000000-0008-0000-0100-00004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261" name="Drop Down -1022" hidden="1">
          <a:extLst>
            <a:ext uri="{FF2B5EF4-FFF2-40B4-BE49-F238E27FC236}">
              <a16:creationId xmlns:a16="http://schemas.microsoft.com/office/drawing/2014/main" id="{00000000-0008-0000-0100-00004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62" name="Drop Down 1" hidden="1">
          <a:extLst>
            <a:ext uri="{FF2B5EF4-FFF2-40B4-BE49-F238E27FC236}">
              <a16:creationId xmlns:a16="http://schemas.microsoft.com/office/drawing/2014/main" id="{00000000-0008-0000-0100-00004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63" name="Drop Down 1" hidden="1">
          <a:extLst>
            <a:ext uri="{FF2B5EF4-FFF2-40B4-BE49-F238E27FC236}">
              <a16:creationId xmlns:a16="http://schemas.microsoft.com/office/drawing/2014/main" id="{00000000-0008-0000-0100-00004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64" name="Drop Down 1" hidden="1">
          <a:extLst>
            <a:ext uri="{FF2B5EF4-FFF2-40B4-BE49-F238E27FC236}">
              <a16:creationId xmlns:a16="http://schemas.microsoft.com/office/drawing/2014/main" id="{00000000-0008-0000-0100-00004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65" name="Drop Down 1" hidden="1">
          <a:extLst>
            <a:ext uri="{FF2B5EF4-FFF2-40B4-BE49-F238E27FC236}">
              <a16:creationId xmlns:a16="http://schemas.microsoft.com/office/drawing/2014/main" id="{00000000-0008-0000-0100-00004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66" name="Drop Down 2" hidden="1">
          <a:extLst>
            <a:ext uri="{FF2B5EF4-FFF2-40B4-BE49-F238E27FC236}">
              <a16:creationId xmlns:a16="http://schemas.microsoft.com/office/drawing/2014/main" id="{00000000-0008-0000-0100-00004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67" name="Drop Down 1" hidden="1">
          <a:extLst>
            <a:ext uri="{FF2B5EF4-FFF2-40B4-BE49-F238E27FC236}">
              <a16:creationId xmlns:a16="http://schemas.microsoft.com/office/drawing/2014/main" id="{00000000-0008-0000-0100-00004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68" name="Drop Down -1022" hidden="1">
          <a:extLst>
            <a:ext uri="{FF2B5EF4-FFF2-40B4-BE49-F238E27FC236}">
              <a16:creationId xmlns:a16="http://schemas.microsoft.com/office/drawing/2014/main" id="{00000000-0008-0000-0100-00004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69" name="Drop Down 1" hidden="1">
          <a:extLst>
            <a:ext uri="{FF2B5EF4-FFF2-40B4-BE49-F238E27FC236}">
              <a16:creationId xmlns:a16="http://schemas.microsoft.com/office/drawing/2014/main" id="{00000000-0008-0000-0100-00004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70" name="Drop Down 1" hidden="1">
          <a:extLst>
            <a:ext uri="{FF2B5EF4-FFF2-40B4-BE49-F238E27FC236}">
              <a16:creationId xmlns:a16="http://schemas.microsoft.com/office/drawing/2014/main" id="{00000000-0008-0000-0100-00004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71" name="Drop Down 1" hidden="1">
          <a:extLst>
            <a:ext uri="{FF2B5EF4-FFF2-40B4-BE49-F238E27FC236}">
              <a16:creationId xmlns:a16="http://schemas.microsoft.com/office/drawing/2014/main" id="{00000000-0008-0000-0100-00004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72" name="Drop Down 1" hidden="1">
          <a:extLst>
            <a:ext uri="{FF2B5EF4-FFF2-40B4-BE49-F238E27FC236}">
              <a16:creationId xmlns:a16="http://schemas.microsoft.com/office/drawing/2014/main" id="{00000000-0008-0000-0100-00005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73" name="Drop Down 2" hidden="1">
          <a:extLst>
            <a:ext uri="{FF2B5EF4-FFF2-40B4-BE49-F238E27FC236}">
              <a16:creationId xmlns:a16="http://schemas.microsoft.com/office/drawing/2014/main" id="{00000000-0008-0000-0100-00005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74" name="Drop Down 1" hidden="1">
          <a:extLst>
            <a:ext uri="{FF2B5EF4-FFF2-40B4-BE49-F238E27FC236}">
              <a16:creationId xmlns:a16="http://schemas.microsoft.com/office/drawing/2014/main" id="{00000000-0008-0000-0100-00005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75" name="Drop Down -1022" hidden="1">
          <a:extLst>
            <a:ext uri="{FF2B5EF4-FFF2-40B4-BE49-F238E27FC236}">
              <a16:creationId xmlns:a16="http://schemas.microsoft.com/office/drawing/2014/main" id="{00000000-0008-0000-0100-00005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76" name="Drop Down 1" hidden="1">
          <a:extLst>
            <a:ext uri="{FF2B5EF4-FFF2-40B4-BE49-F238E27FC236}">
              <a16:creationId xmlns:a16="http://schemas.microsoft.com/office/drawing/2014/main" id="{00000000-0008-0000-0100-00005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77" name="Drop Down 1" hidden="1">
          <a:extLst>
            <a:ext uri="{FF2B5EF4-FFF2-40B4-BE49-F238E27FC236}">
              <a16:creationId xmlns:a16="http://schemas.microsoft.com/office/drawing/2014/main" id="{00000000-0008-0000-0100-00005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78" name="Drop Down 1" hidden="1">
          <a:extLst>
            <a:ext uri="{FF2B5EF4-FFF2-40B4-BE49-F238E27FC236}">
              <a16:creationId xmlns:a16="http://schemas.microsoft.com/office/drawing/2014/main" id="{00000000-0008-0000-0100-00005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79" name="Drop Down 1" hidden="1">
          <a:extLst>
            <a:ext uri="{FF2B5EF4-FFF2-40B4-BE49-F238E27FC236}">
              <a16:creationId xmlns:a16="http://schemas.microsoft.com/office/drawing/2014/main" id="{00000000-0008-0000-0100-00005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80" name="Drop Down 2" hidden="1">
          <a:extLst>
            <a:ext uri="{FF2B5EF4-FFF2-40B4-BE49-F238E27FC236}">
              <a16:creationId xmlns:a16="http://schemas.microsoft.com/office/drawing/2014/main" id="{00000000-0008-0000-0100-00005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81" name="Drop Down 1" hidden="1">
          <a:extLst>
            <a:ext uri="{FF2B5EF4-FFF2-40B4-BE49-F238E27FC236}">
              <a16:creationId xmlns:a16="http://schemas.microsoft.com/office/drawing/2014/main" id="{00000000-0008-0000-0100-00005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82" name="Drop Down -1022" hidden="1">
          <a:extLst>
            <a:ext uri="{FF2B5EF4-FFF2-40B4-BE49-F238E27FC236}">
              <a16:creationId xmlns:a16="http://schemas.microsoft.com/office/drawing/2014/main" id="{00000000-0008-0000-0100-00005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83" name="Drop Down 1" hidden="1">
          <a:extLst>
            <a:ext uri="{FF2B5EF4-FFF2-40B4-BE49-F238E27FC236}">
              <a16:creationId xmlns:a16="http://schemas.microsoft.com/office/drawing/2014/main" id="{00000000-0008-0000-0100-00005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84" name="Drop Down 1" hidden="1">
          <a:extLst>
            <a:ext uri="{FF2B5EF4-FFF2-40B4-BE49-F238E27FC236}">
              <a16:creationId xmlns:a16="http://schemas.microsoft.com/office/drawing/2014/main" id="{00000000-0008-0000-0100-00005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85" name="Drop Down 1" hidden="1">
          <a:extLst>
            <a:ext uri="{FF2B5EF4-FFF2-40B4-BE49-F238E27FC236}">
              <a16:creationId xmlns:a16="http://schemas.microsoft.com/office/drawing/2014/main" id="{00000000-0008-0000-0100-00005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86" name="Drop Down 1" hidden="1">
          <a:extLst>
            <a:ext uri="{FF2B5EF4-FFF2-40B4-BE49-F238E27FC236}">
              <a16:creationId xmlns:a16="http://schemas.microsoft.com/office/drawing/2014/main" id="{00000000-0008-0000-0100-00005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87" name="Drop Down 2" hidden="1">
          <a:extLst>
            <a:ext uri="{FF2B5EF4-FFF2-40B4-BE49-F238E27FC236}">
              <a16:creationId xmlns:a16="http://schemas.microsoft.com/office/drawing/2014/main" id="{00000000-0008-0000-0100-00005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88" name="Drop Down 1" hidden="1">
          <a:extLst>
            <a:ext uri="{FF2B5EF4-FFF2-40B4-BE49-F238E27FC236}">
              <a16:creationId xmlns:a16="http://schemas.microsoft.com/office/drawing/2014/main" id="{00000000-0008-0000-0100-00006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89" name="Drop Down -1022" hidden="1">
          <a:extLst>
            <a:ext uri="{FF2B5EF4-FFF2-40B4-BE49-F238E27FC236}">
              <a16:creationId xmlns:a16="http://schemas.microsoft.com/office/drawing/2014/main" id="{00000000-0008-0000-0100-00006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90" name="Drop Down 1" hidden="1">
          <a:extLst>
            <a:ext uri="{FF2B5EF4-FFF2-40B4-BE49-F238E27FC236}">
              <a16:creationId xmlns:a16="http://schemas.microsoft.com/office/drawing/2014/main" id="{00000000-0008-0000-0100-00006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91" name="Drop Down 1" hidden="1">
          <a:extLst>
            <a:ext uri="{FF2B5EF4-FFF2-40B4-BE49-F238E27FC236}">
              <a16:creationId xmlns:a16="http://schemas.microsoft.com/office/drawing/2014/main" id="{00000000-0008-0000-0100-00006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92" name="Drop Down 1" hidden="1">
          <a:extLst>
            <a:ext uri="{FF2B5EF4-FFF2-40B4-BE49-F238E27FC236}">
              <a16:creationId xmlns:a16="http://schemas.microsoft.com/office/drawing/2014/main" id="{00000000-0008-0000-0100-00006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93" name="Drop Down 1" hidden="1">
          <a:extLst>
            <a:ext uri="{FF2B5EF4-FFF2-40B4-BE49-F238E27FC236}">
              <a16:creationId xmlns:a16="http://schemas.microsoft.com/office/drawing/2014/main" id="{00000000-0008-0000-0100-00006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94" name="Drop Down 2" hidden="1">
          <a:extLst>
            <a:ext uri="{FF2B5EF4-FFF2-40B4-BE49-F238E27FC236}">
              <a16:creationId xmlns:a16="http://schemas.microsoft.com/office/drawing/2014/main" id="{00000000-0008-0000-0100-00006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95" name="Drop Down 1" hidden="1">
          <a:extLst>
            <a:ext uri="{FF2B5EF4-FFF2-40B4-BE49-F238E27FC236}">
              <a16:creationId xmlns:a16="http://schemas.microsoft.com/office/drawing/2014/main" id="{00000000-0008-0000-0100-00006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296" name="Drop Down -1022" hidden="1">
          <a:extLst>
            <a:ext uri="{FF2B5EF4-FFF2-40B4-BE49-F238E27FC236}">
              <a16:creationId xmlns:a16="http://schemas.microsoft.com/office/drawing/2014/main" id="{00000000-0008-0000-0100-00006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97" name="Drop Down 1" hidden="1">
          <a:extLst>
            <a:ext uri="{FF2B5EF4-FFF2-40B4-BE49-F238E27FC236}">
              <a16:creationId xmlns:a16="http://schemas.microsoft.com/office/drawing/2014/main" id="{00000000-0008-0000-0100-00006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98" name="Drop Down 1" hidden="1">
          <a:extLst>
            <a:ext uri="{FF2B5EF4-FFF2-40B4-BE49-F238E27FC236}">
              <a16:creationId xmlns:a16="http://schemas.microsoft.com/office/drawing/2014/main" id="{00000000-0008-0000-0100-00006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299" name="Drop Down 1" hidden="1">
          <a:extLst>
            <a:ext uri="{FF2B5EF4-FFF2-40B4-BE49-F238E27FC236}">
              <a16:creationId xmlns:a16="http://schemas.microsoft.com/office/drawing/2014/main" id="{00000000-0008-0000-0100-00006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00" name="Drop Down 1" hidden="1">
          <a:extLst>
            <a:ext uri="{FF2B5EF4-FFF2-40B4-BE49-F238E27FC236}">
              <a16:creationId xmlns:a16="http://schemas.microsoft.com/office/drawing/2014/main" id="{00000000-0008-0000-0100-00006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01" name="Drop Down 2" hidden="1">
          <a:extLst>
            <a:ext uri="{FF2B5EF4-FFF2-40B4-BE49-F238E27FC236}">
              <a16:creationId xmlns:a16="http://schemas.microsoft.com/office/drawing/2014/main" id="{00000000-0008-0000-0100-00006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02" name="Drop Down 1" hidden="1">
          <a:extLst>
            <a:ext uri="{FF2B5EF4-FFF2-40B4-BE49-F238E27FC236}">
              <a16:creationId xmlns:a16="http://schemas.microsoft.com/office/drawing/2014/main" id="{00000000-0008-0000-0100-00006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03" name="Drop Down -1022" hidden="1">
          <a:extLst>
            <a:ext uri="{FF2B5EF4-FFF2-40B4-BE49-F238E27FC236}">
              <a16:creationId xmlns:a16="http://schemas.microsoft.com/office/drawing/2014/main" id="{00000000-0008-0000-0100-00006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04" name="Drop Down 1" hidden="1">
          <a:extLst>
            <a:ext uri="{FF2B5EF4-FFF2-40B4-BE49-F238E27FC236}">
              <a16:creationId xmlns:a16="http://schemas.microsoft.com/office/drawing/2014/main" id="{00000000-0008-0000-0100-00007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05" name="Drop Down 1" hidden="1">
          <a:extLst>
            <a:ext uri="{FF2B5EF4-FFF2-40B4-BE49-F238E27FC236}">
              <a16:creationId xmlns:a16="http://schemas.microsoft.com/office/drawing/2014/main" id="{00000000-0008-0000-0100-00007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06" name="Drop Down 1" hidden="1">
          <a:extLst>
            <a:ext uri="{FF2B5EF4-FFF2-40B4-BE49-F238E27FC236}">
              <a16:creationId xmlns:a16="http://schemas.microsoft.com/office/drawing/2014/main" id="{00000000-0008-0000-0100-00007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07" name="Drop Down 1" hidden="1">
          <a:extLst>
            <a:ext uri="{FF2B5EF4-FFF2-40B4-BE49-F238E27FC236}">
              <a16:creationId xmlns:a16="http://schemas.microsoft.com/office/drawing/2014/main" id="{00000000-0008-0000-0100-00007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08" name="Drop Down 2" hidden="1">
          <a:extLst>
            <a:ext uri="{FF2B5EF4-FFF2-40B4-BE49-F238E27FC236}">
              <a16:creationId xmlns:a16="http://schemas.microsoft.com/office/drawing/2014/main" id="{00000000-0008-0000-0100-00007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09" name="Drop Down 1" hidden="1">
          <a:extLst>
            <a:ext uri="{FF2B5EF4-FFF2-40B4-BE49-F238E27FC236}">
              <a16:creationId xmlns:a16="http://schemas.microsoft.com/office/drawing/2014/main" id="{00000000-0008-0000-0100-00007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10" name="Drop Down -1022" hidden="1">
          <a:extLst>
            <a:ext uri="{FF2B5EF4-FFF2-40B4-BE49-F238E27FC236}">
              <a16:creationId xmlns:a16="http://schemas.microsoft.com/office/drawing/2014/main" id="{00000000-0008-0000-0100-00007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11" name="Drop Down 1" hidden="1">
          <a:extLst>
            <a:ext uri="{FF2B5EF4-FFF2-40B4-BE49-F238E27FC236}">
              <a16:creationId xmlns:a16="http://schemas.microsoft.com/office/drawing/2014/main" id="{00000000-0008-0000-0100-00007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12" name="Drop Down 1" hidden="1">
          <a:extLst>
            <a:ext uri="{FF2B5EF4-FFF2-40B4-BE49-F238E27FC236}">
              <a16:creationId xmlns:a16="http://schemas.microsoft.com/office/drawing/2014/main" id="{00000000-0008-0000-0100-00007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13" name="Drop Down 1" hidden="1">
          <a:extLst>
            <a:ext uri="{FF2B5EF4-FFF2-40B4-BE49-F238E27FC236}">
              <a16:creationId xmlns:a16="http://schemas.microsoft.com/office/drawing/2014/main" id="{00000000-0008-0000-0100-00007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14" name="Drop Down 1" hidden="1">
          <a:extLst>
            <a:ext uri="{FF2B5EF4-FFF2-40B4-BE49-F238E27FC236}">
              <a16:creationId xmlns:a16="http://schemas.microsoft.com/office/drawing/2014/main" id="{00000000-0008-0000-0100-00007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15" name="Drop Down 2" hidden="1">
          <a:extLst>
            <a:ext uri="{FF2B5EF4-FFF2-40B4-BE49-F238E27FC236}">
              <a16:creationId xmlns:a16="http://schemas.microsoft.com/office/drawing/2014/main" id="{00000000-0008-0000-0100-00007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16" name="Drop Down 1" hidden="1">
          <a:extLst>
            <a:ext uri="{FF2B5EF4-FFF2-40B4-BE49-F238E27FC236}">
              <a16:creationId xmlns:a16="http://schemas.microsoft.com/office/drawing/2014/main" id="{00000000-0008-0000-0100-00007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17" name="Drop Down -1022" hidden="1">
          <a:extLst>
            <a:ext uri="{FF2B5EF4-FFF2-40B4-BE49-F238E27FC236}">
              <a16:creationId xmlns:a16="http://schemas.microsoft.com/office/drawing/2014/main" id="{00000000-0008-0000-0100-00007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18" name="Drop Down 1" hidden="1">
          <a:extLst>
            <a:ext uri="{FF2B5EF4-FFF2-40B4-BE49-F238E27FC236}">
              <a16:creationId xmlns:a16="http://schemas.microsoft.com/office/drawing/2014/main" id="{00000000-0008-0000-0100-00007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19" name="Drop Down 1" hidden="1">
          <a:extLst>
            <a:ext uri="{FF2B5EF4-FFF2-40B4-BE49-F238E27FC236}">
              <a16:creationId xmlns:a16="http://schemas.microsoft.com/office/drawing/2014/main" id="{00000000-0008-0000-0100-00007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20" name="Drop Down 1" hidden="1">
          <a:extLst>
            <a:ext uri="{FF2B5EF4-FFF2-40B4-BE49-F238E27FC236}">
              <a16:creationId xmlns:a16="http://schemas.microsoft.com/office/drawing/2014/main" id="{00000000-0008-0000-0100-00008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21" name="Drop Down 1" hidden="1">
          <a:extLst>
            <a:ext uri="{FF2B5EF4-FFF2-40B4-BE49-F238E27FC236}">
              <a16:creationId xmlns:a16="http://schemas.microsoft.com/office/drawing/2014/main" id="{00000000-0008-0000-0100-00008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22" name="Drop Down 2" hidden="1">
          <a:extLst>
            <a:ext uri="{FF2B5EF4-FFF2-40B4-BE49-F238E27FC236}">
              <a16:creationId xmlns:a16="http://schemas.microsoft.com/office/drawing/2014/main" id="{00000000-0008-0000-0100-00008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23" name="Drop Down 1" hidden="1">
          <a:extLst>
            <a:ext uri="{FF2B5EF4-FFF2-40B4-BE49-F238E27FC236}">
              <a16:creationId xmlns:a16="http://schemas.microsoft.com/office/drawing/2014/main" id="{00000000-0008-0000-0100-00008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24" name="Drop Down -1022" hidden="1">
          <a:extLst>
            <a:ext uri="{FF2B5EF4-FFF2-40B4-BE49-F238E27FC236}">
              <a16:creationId xmlns:a16="http://schemas.microsoft.com/office/drawing/2014/main" id="{00000000-0008-0000-0100-00008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25" name="Drop Down 1" hidden="1">
          <a:extLst>
            <a:ext uri="{FF2B5EF4-FFF2-40B4-BE49-F238E27FC236}">
              <a16:creationId xmlns:a16="http://schemas.microsoft.com/office/drawing/2014/main" id="{00000000-0008-0000-0100-00008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26" name="Drop Down 1" hidden="1">
          <a:extLst>
            <a:ext uri="{FF2B5EF4-FFF2-40B4-BE49-F238E27FC236}">
              <a16:creationId xmlns:a16="http://schemas.microsoft.com/office/drawing/2014/main" id="{00000000-0008-0000-0100-00008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27" name="Drop Down 1" hidden="1">
          <a:extLst>
            <a:ext uri="{FF2B5EF4-FFF2-40B4-BE49-F238E27FC236}">
              <a16:creationId xmlns:a16="http://schemas.microsoft.com/office/drawing/2014/main" id="{00000000-0008-0000-0100-00008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28" name="Drop Down 1" hidden="1">
          <a:extLst>
            <a:ext uri="{FF2B5EF4-FFF2-40B4-BE49-F238E27FC236}">
              <a16:creationId xmlns:a16="http://schemas.microsoft.com/office/drawing/2014/main" id="{00000000-0008-0000-0100-00008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29" name="Drop Down 2" hidden="1">
          <a:extLst>
            <a:ext uri="{FF2B5EF4-FFF2-40B4-BE49-F238E27FC236}">
              <a16:creationId xmlns:a16="http://schemas.microsoft.com/office/drawing/2014/main" id="{00000000-0008-0000-0100-00008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30" name="Drop Down 1" hidden="1">
          <a:extLst>
            <a:ext uri="{FF2B5EF4-FFF2-40B4-BE49-F238E27FC236}">
              <a16:creationId xmlns:a16="http://schemas.microsoft.com/office/drawing/2014/main" id="{00000000-0008-0000-0100-00008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31" name="Drop Down -1022" hidden="1">
          <a:extLst>
            <a:ext uri="{FF2B5EF4-FFF2-40B4-BE49-F238E27FC236}">
              <a16:creationId xmlns:a16="http://schemas.microsoft.com/office/drawing/2014/main" id="{00000000-0008-0000-0100-00008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332" name="Drop Down 1" hidden="1">
          <a:extLst>
            <a:ext uri="{FF2B5EF4-FFF2-40B4-BE49-F238E27FC236}">
              <a16:creationId xmlns:a16="http://schemas.microsoft.com/office/drawing/2014/main" id="{00000000-0008-0000-0100-00008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333" name="Drop Down 1" hidden="1">
          <a:extLst>
            <a:ext uri="{FF2B5EF4-FFF2-40B4-BE49-F238E27FC236}">
              <a16:creationId xmlns:a16="http://schemas.microsoft.com/office/drawing/2014/main" id="{00000000-0008-0000-0100-00008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334" name="Drop Down 1" hidden="1">
          <a:extLst>
            <a:ext uri="{FF2B5EF4-FFF2-40B4-BE49-F238E27FC236}">
              <a16:creationId xmlns:a16="http://schemas.microsoft.com/office/drawing/2014/main" id="{00000000-0008-0000-0100-00008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335" name="Drop Down 1" hidden="1">
          <a:extLst>
            <a:ext uri="{FF2B5EF4-FFF2-40B4-BE49-F238E27FC236}">
              <a16:creationId xmlns:a16="http://schemas.microsoft.com/office/drawing/2014/main" id="{00000000-0008-0000-0100-00008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336" name="Drop Down 2" hidden="1">
          <a:extLst>
            <a:ext uri="{FF2B5EF4-FFF2-40B4-BE49-F238E27FC236}">
              <a16:creationId xmlns:a16="http://schemas.microsoft.com/office/drawing/2014/main" id="{00000000-0008-0000-0100-00009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337" name="Drop Down 1" hidden="1">
          <a:extLst>
            <a:ext uri="{FF2B5EF4-FFF2-40B4-BE49-F238E27FC236}">
              <a16:creationId xmlns:a16="http://schemas.microsoft.com/office/drawing/2014/main" id="{00000000-0008-0000-0100-00009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338" name="Drop Down -1022" hidden="1">
          <a:extLst>
            <a:ext uri="{FF2B5EF4-FFF2-40B4-BE49-F238E27FC236}">
              <a16:creationId xmlns:a16="http://schemas.microsoft.com/office/drawing/2014/main" id="{00000000-0008-0000-0100-00009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339" name="Drop Down 1" hidden="1">
          <a:extLst>
            <a:ext uri="{FF2B5EF4-FFF2-40B4-BE49-F238E27FC236}">
              <a16:creationId xmlns:a16="http://schemas.microsoft.com/office/drawing/2014/main" id="{00000000-0008-0000-0100-00009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340" name="Drop Down 1" hidden="1">
          <a:extLst>
            <a:ext uri="{FF2B5EF4-FFF2-40B4-BE49-F238E27FC236}">
              <a16:creationId xmlns:a16="http://schemas.microsoft.com/office/drawing/2014/main" id="{00000000-0008-0000-0100-00009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341" name="Drop Down 1" hidden="1">
          <a:extLst>
            <a:ext uri="{FF2B5EF4-FFF2-40B4-BE49-F238E27FC236}">
              <a16:creationId xmlns:a16="http://schemas.microsoft.com/office/drawing/2014/main" id="{00000000-0008-0000-0100-00009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342" name="Drop Down 1" hidden="1">
          <a:extLst>
            <a:ext uri="{FF2B5EF4-FFF2-40B4-BE49-F238E27FC236}">
              <a16:creationId xmlns:a16="http://schemas.microsoft.com/office/drawing/2014/main" id="{00000000-0008-0000-0100-00009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343" name="Drop Down 2" hidden="1">
          <a:extLst>
            <a:ext uri="{FF2B5EF4-FFF2-40B4-BE49-F238E27FC236}">
              <a16:creationId xmlns:a16="http://schemas.microsoft.com/office/drawing/2014/main" id="{00000000-0008-0000-0100-00009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344" name="Drop Down 1" hidden="1">
          <a:extLst>
            <a:ext uri="{FF2B5EF4-FFF2-40B4-BE49-F238E27FC236}">
              <a16:creationId xmlns:a16="http://schemas.microsoft.com/office/drawing/2014/main" id="{00000000-0008-0000-0100-00009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345" name="Drop Down -1022" hidden="1">
          <a:extLst>
            <a:ext uri="{FF2B5EF4-FFF2-40B4-BE49-F238E27FC236}">
              <a16:creationId xmlns:a16="http://schemas.microsoft.com/office/drawing/2014/main" id="{00000000-0008-0000-0100-00009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46" name="Drop Down 1" hidden="1">
          <a:extLst>
            <a:ext uri="{FF2B5EF4-FFF2-40B4-BE49-F238E27FC236}">
              <a16:creationId xmlns:a16="http://schemas.microsoft.com/office/drawing/2014/main" id="{00000000-0008-0000-0100-00009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47" name="Drop Down 1" hidden="1">
          <a:extLst>
            <a:ext uri="{FF2B5EF4-FFF2-40B4-BE49-F238E27FC236}">
              <a16:creationId xmlns:a16="http://schemas.microsoft.com/office/drawing/2014/main" id="{00000000-0008-0000-0100-00009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48" name="Drop Down 1" hidden="1">
          <a:extLst>
            <a:ext uri="{FF2B5EF4-FFF2-40B4-BE49-F238E27FC236}">
              <a16:creationId xmlns:a16="http://schemas.microsoft.com/office/drawing/2014/main" id="{00000000-0008-0000-0100-00009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49" name="Drop Down 1" hidden="1">
          <a:extLst>
            <a:ext uri="{FF2B5EF4-FFF2-40B4-BE49-F238E27FC236}">
              <a16:creationId xmlns:a16="http://schemas.microsoft.com/office/drawing/2014/main" id="{00000000-0008-0000-0100-00009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50" name="Drop Down 2" hidden="1">
          <a:extLst>
            <a:ext uri="{FF2B5EF4-FFF2-40B4-BE49-F238E27FC236}">
              <a16:creationId xmlns:a16="http://schemas.microsoft.com/office/drawing/2014/main" id="{00000000-0008-0000-0100-00009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51" name="Drop Down 1" hidden="1">
          <a:extLst>
            <a:ext uri="{FF2B5EF4-FFF2-40B4-BE49-F238E27FC236}">
              <a16:creationId xmlns:a16="http://schemas.microsoft.com/office/drawing/2014/main" id="{00000000-0008-0000-0100-00009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52" name="Drop Down -1022" hidden="1">
          <a:extLst>
            <a:ext uri="{FF2B5EF4-FFF2-40B4-BE49-F238E27FC236}">
              <a16:creationId xmlns:a16="http://schemas.microsoft.com/office/drawing/2014/main" id="{00000000-0008-0000-0100-0000A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53" name="Drop Down 1" hidden="1">
          <a:extLst>
            <a:ext uri="{FF2B5EF4-FFF2-40B4-BE49-F238E27FC236}">
              <a16:creationId xmlns:a16="http://schemas.microsoft.com/office/drawing/2014/main" id="{00000000-0008-0000-0100-0000A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54" name="Drop Down 1" hidden="1">
          <a:extLst>
            <a:ext uri="{FF2B5EF4-FFF2-40B4-BE49-F238E27FC236}">
              <a16:creationId xmlns:a16="http://schemas.microsoft.com/office/drawing/2014/main" id="{00000000-0008-0000-0100-0000A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55" name="Drop Down 1" hidden="1">
          <a:extLst>
            <a:ext uri="{FF2B5EF4-FFF2-40B4-BE49-F238E27FC236}">
              <a16:creationId xmlns:a16="http://schemas.microsoft.com/office/drawing/2014/main" id="{00000000-0008-0000-0100-0000A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56" name="Drop Down 1" hidden="1">
          <a:extLst>
            <a:ext uri="{FF2B5EF4-FFF2-40B4-BE49-F238E27FC236}">
              <a16:creationId xmlns:a16="http://schemas.microsoft.com/office/drawing/2014/main" id="{00000000-0008-0000-0100-0000A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57" name="Drop Down 2" hidden="1">
          <a:extLst>
            <a:ext uri="{FF2B5EF4-FFF2-40B4-BE49-F238E27FC236}">
              <a16:creationId xmlns:a16="http://schemas.microsoft.com/office/drawing/2014/main" id="{00000000-0008-0000-0100-0000A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58" name="Drop Down 1" hidden="1">
          <a:extLst>
            <a:ext uri="{FF2B5EF4-FFF2-40B4-BE49-F238E27FC236}">
              <a16:creationId xmlns:a16="http://schemas.microsoft.com/office/drawing/2014/main" id="{00000000-0008-0000-0100-0000A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59" name="Drop Down -1022" hidden="1">
          <a:extLst>
            <a:ext uri="{FF2B5EF4-FFF2-40B4-BE49-F238E27FC236}">
              <a16:creationId xmlns:a16="http://schemas.microsoft.com/office/drawing/2014/main" id="{00000000-0008-0000-0100-0000A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60" name="Drop Down 1" hidden="1">
          <a:extLst>
            <a:ext uri="{FF2B5EF4-FFF2-40B4-BE49-F238E27FC236}">
              <a16:creationId xmlns:a16="http://schemas.microsoft.com/office/drawing/2014/main" id="{00000000-0008-0000-0100-0000A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61" name="Drop Down 1" hidden="1">
          <a:extLst>
            <a:ext uri="{FF2B5EF4-FFF2-40B4-BE49-F238E27FC236}">
              <a16:creationId xmlns:a16="http://schemas.microsoft.com/office/drawing/2014/main" id="{00000000-0008-0000-0100-0000A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62" name="Drop Down 1" hidden="1">
          <a:extLst>
            <a:ext uri="{FF2B5EF4-FFF2-40B4-BE49-F238E27FC236}">
              <a16:creationId xmlns:a16="http://schemas.microsoft.com/office/drawing/2014/main" id="{00000000-0008-0000-0100-0000A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63" name="Drop Down 1" hidden="1">
          <a:extLst>
            <a:ext uri="{FF2B5EF4-FFF2-40B4-BE49-F238E27FC236}">
              <a16:creationId xmlns:a16="http://schemas.microsoft.com/office/drawing/2014/main" id="{00000000-0008-0000-0100-0000A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64" name="Drop Down 2" hidden="1">
          <a:extLst>
            <a:ext uri="{FF2B5EF4-FFF2-40B4-BE49-F238E27FC236}">
              <a16:creationId xmlns:a16="http://schemas.microsoft.com/office/drawing/2014/main" id="{00000000-0008-0000-0100-0000A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65" name="Drop Down 1" hidden="1">
          <a:extLst>
            <a:ext uri="{FF2B5EF4-FFF2-40B4-BE49-F238E27FC236}">
              <a16:creationId xmlns:a16="http://schemas.microsoft.com/office/drawing/2014/main" id="{00000000-0008-0000-0100-0000A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66" name="Drop Down -1022" hidden="1">
          <a:extLst>
            <a:ext uri="{FF2B5EF4-FFF2-40B4-BE49-F238E27FC236}">
              <a16:creationId xmlns:a16="http://schemas.microsoft.com/office/drawing/2014/main" id="{00000000-0008-0000-0100-0000A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67" name="Drop Down 1" hidden="1">
          <a:extLst>
            <a:ext uri="{FF2B5EF4-FFF2-40B4-BE49-F238E27FC236}">
              <a16:creationId xmlns:a16="http://schemas.microsoft.com/office/drawing/2014/main" id="{00000000-0008-0000-0100-0000A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68" name="Drop Down 1" hidden="1">
          <a:extLst>
            <a:ext uri="{FF2B5EF4-FFF2-40B4-BE49-F238E27FC236}">
              <a16:creationId xmlns:a16="http://schemas.microsoft.com/office/drawing/2014/main" id="{00000000-0008-0000-0100-0000B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69" name="Drop Down 1" hidden="1">
          <a:extLst>
            <a:ext uri="{FF2B5EF4-FFF2-40B4-BE49-F238E27FC236}">
              <a16:creationId xmlns:a16="http://schemas.microsoft.com/office/drawing/2014/main" id="{00000000-0008-0000-0100-0000B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70" name="Drop Down 1" hidden="1">
          <a:extLst>
            <a:ext uri="{FF2B5EF4-FFF2-40B4-BE49-F238E27FC236}">
              <a16:creationId xmlns:a16="http://schemas.microsoft.com/office/drawing/2014/main" id="{00000000-0008-0000-0100-0000B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71" name="Drop Down 2" hidden="1">
          <a:extLst>
            <a:ext uri="{FF2B5EF4-FFF2-40B4-BE49-F238E27FC236}">
              <a16:creationId xmlns:a16="http://schemas.microsoft.com/office/drawing/2014/main" id="{00000000-0008-0000-0100-0000B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72" name="Drop Down 1" hidden="1">
          <a:extLst>
            <a:ext uri="{FF2B5EF4-FFF2-40B4-BE49-F238E27FC236}">
              <a16:creationId xmlns:a16="http://schemas.microsoft.com/office/drawing/2014/main" id="{00000000-0008-0000-0100-0000B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73" name="Drop Down -1022" hidden="1">
          <a:extLst>
            <a:ext uri="{FF2B5EF4-FFF2-40B4-BE49-F238E27FC236}">
              <a16:creationId xmlns:a16="http://schemas.microsoft.com/office/drawing/2014/main" id="{00000000-0008-0000-0100-0000B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74" name="Drop Down 1" hidden="1">
          <a:extLst>
            <a:ext uri="{FF2B5EF4-FFF2-40B4-BE49-F238E27FC236}">
              <a16:creationId xmlns:a16="http://schemas.microsoft.com/office/drawing/2014/main" id="{00000000-0008-0000-0100-0000B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75" name="Drop Down 1" hidden="1">
          <a:extLst>
            <a:ext uri="{FF2B5EF4-FFF2-40B4-BE49-F238E27FC236}">
              <a16:creationId xmlns:a16="http://schemas.microsoft.com/office/drawing/2014/main" id="{00000000-0008-0000-0100-0000B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76" name="Drop Down 1" hidden="1">
          <a:extLst>
            <a:ext uri="{FF2B5EF4-FFF2-40B4-BE49-F238E27FC236}">
              <a16:creationId xmlns:a16="http://schemas.microsoft.com/office/drawing/2014/main" id="{00000000-0008-0000-0100-0000B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77" name="Drop Down 1" hidden="1">
          <a:extLst>
            <a:ext uri="{FF2B5EF4-FFF2-40B4-BE49-F238E27FC236}">
              <a16:creationId xmlns:a16="http://schemas.microsoft.com/office/drawing/2014/main" id="{00000000-0008-0000-0100-0000B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78" name="Drop Down 2" hidden="1">
          <a:extLst>
            <a:ext uri="{FF2B5EF4-FFF2-40B4-BE49-F238E27FC236}">
              <a16:creationId xmlns:a16="http://schemas.microsoft.com/office/drawing/2014/main" id="{00000000-0008-0000-0100-0000B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79" name="Drop Down 1" hidden="1">
          <a:extLst>
            <a:ext uri="{FF2B5EF4-FFF2-40B4-BE49-F238E27FC236}">
              <a16:creationId xmlns:a16="http://schemas.microsoft.com/office/drawing/2014/main" id="{00000000-0008-0000-0100-0000B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80" name="Drop Down -1022" hidden="1">
          <a:extLst>
            <a:ext uri="{FF2B5EF4-FFF2-40B4-BE49-F238E27FC236}">
              <a16:creationId xmlns:a16="http://schemas.microsoft.com/office/drawing/2014/main" id="{00000000-0008-0000-0100-0000B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81" name="Drop Down 1" hidden="1">
          <a:extLst>
            <a:ext uri="{FF2B5EF4-FFF2-40B4-BE49-F238E27FC236}">
              <a16:creationId xmlns:a16="http://schemas.microsoft.com/office/drawing/2014/main" id="{00000000-0008-0000-0100-0000B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82" name="Drop Down 1" hidden="1">
          <a:extLst>
            <a:ext uri="{FF2B5EF4-FFF2-40B4-BE49-F238E27FC236}">
              <a16:creationId xmlns:a16="http://schemas.microsoft.com/office/drawing/2014/main" id="{00000000-0008-0000-0100-0000B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83" name="Drop Down 1" hidden="1">
          <a:extLst>
            <a:ext uri="{FF2B5EF4-FFF2-40B4-BE49-F238E27FC236}">
              <a16:creationId xmlns:a16="http://schemas.microsoft.com/office/drawing/2014/main" id="{00000000-0008-0000-0100-0000B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84" name="Drop Down 1" hidden="1">
          <a:extLst>
            <a:ext uri="{FF2B5EF4-FFF2-40B4-BE49-F238E27FC236}">
              <a16:creationId xmlns:a16="http://schemas.microsoft.com/office/drawing/2014/main" id="{00000000-0008-0000-0100-0000C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85" name="Drop Down 2" hidden="1">
          <a:extLst>
            <a:ext uri="{FF2B5EF4-FFF2-40B4-BE49-F238E27FC236}">
              <a16:creationId xmlns:a16="http://schemas.microsoft.com/office/drawing/2014/main" id="{00000000-0008-0000-0100-0000C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86" name="Drop Down 1" hidden="1">
          <a:extLst>
            <a:ext uri="{FF2B5EF4-FFF2-40B4-BE49-F238E27FC236}">
              <a16:creationId xmlns:a16="http://schemas.microsoft.com/office/drawing/2014/main" id="{00000000-0008-0000-0100-0000C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87" name="Drop Down -1022" hidden="1">
          <a:extLst>
            <a:ext uri="{FF2B5EF4-FFF2-40B4-BE49-F238E27FC236}">
              <a16:creationId xmlns:a16="http://schemas.microsoft.com/office/drawing/2014/main" id="{00000000-0008-0000-0100-0000C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88" name="Drop Down 1" hidden="1">
          <a:extLst>
            <a:ext uri="{FF2B5EF4-FFF2-40B4-BE49-F238E27FC236}">
              <a16:creationId xmlns:a16="http://schemas.microsoft.com/office/drawing/2014/main" id="{00000000-0008-0000-0100-0000C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89" name="Drop Down 1" hidden="1">
          <a:extLst>
            <a:ext uri="{FF2B5EF4-FFF2-40B4-BE49-F238E27FC236}">
              <a16:creationId xmlns:a16="http://schemas.microsoft.com/office/drawing/2014/main" id="{00000000-0008-0000-0100-0000C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90" name="Drop Down 1" hidden="1">
          <a:extLst>
            <a:ext uri="{FF2B5EF4-FFF2-40B4-BE49-F238E27FC236}">
              <a16:creationId xmlns:a16="http://schemas.microsoft.com/office/drawing/2014/main" id="{00000000-0008-0000-0100-0000C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91" name="Drop Down 1" hidden="1">
          <a:extLst>
            <a:ext uri="{FF2B5EF4-FFF2-40B4-BE49-F238E27FC236}">
              <a16:creationId xmlns:a16="http://schemas.microsoft.com/office/drawing/2014/main" id="{00000000-0008-0000-0100-0000C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92" name="Drop Down 2" hidden="1">
          <a:extLst>
            <a:ext uri="{FF2B5EF4-FFF2-40B4-BE49-F238E27FC236}">
              <a16:creationId xmlns:a16="http://schemas.microsoft.com/office/drawing/2014/main" id="{00000000-0008-0000-0100-0000C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93" name="Drop Down 1" hidden="1">
          <a:extLst>
            <a:ext uri="{FF2B5EF4-FFF2-40B4-BE49-F238E27FC236}">
              <a16:creationId xmlns:a16="http://schemas.microsoft.com/office/drawing/2014/main" id="{00000000-0008-0000-0100-0000C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394" name="Drop Down -1022" hidden="1">
          <a:extLst>
            <a:ext uri="{FF2B5EF4-FFF2-40B4-BE49-F238E27FC236}">
              <a16:creationId xmlns:a16="http://schemas.microsoft.com/office/drawing/2014/main" id="{00000000-0008-0000-0100-0000C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95" name="Drop Down 1" hidden="1">
          <a:extLst>
            <a:ext uri="{FF2B5EF4-FFF2-40B4-BE49-F238E27FC236}">
              <a16:creationId xmlns:a16="http://schemas.microsoft.com/office/drawing/2014/main" id="{00000000-0008-0000-0100-0000C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96" name="Drop Down 1" hidden="1">
          <a:extLst>
            <a:ext uri="{FF2B5EF4-FFF2-40B4-BE49-F238E27FC236}">
              <a16:creationId xmlns:a16="http://schemas.microsoft.com/office/drawing/2014/main" id="{00000000-0008-0000-0100-0000C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97" name="Drop Down 1" hidden="1">
          <a:extLst>
            <a:ext uri="{FF2B5EF4-FFF2-40B4-BE49-F238E27FC236}">
              <a16:creationId xmlns:a16="http://schemas.microsoft.com/office/drawing/2014/main" id="{00000000-0008-0000-0100-0000C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98" name="Drop Down 1" hidden="1">
          <a:extLst>
            <a:ext uri="{FF2B5EF4-FFF2-40B4-BE49-F238E27FC236}">
              <a16:creationId xmlns:a16="http://schemas.microsoft.com/office/drawing/2014/main" id="{00000000-0008-0000-0100-0000C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399" name="Drop Down 2" hidden="1">
          <a:extLst>
            <a:ext uri="{FF2B5EF4-FFF2-40B4-BE49-F238E27FC236}">
              <a16:creationId xmlns:a16="http://schemas.microsoft.com/office/drawing/2014/main" id="{00000000-0008-0000-0100-0000C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00" name="Drop Down 1" hidden="1">
          <a:extLst>
            <a:ext uri="{FF2B5EF4-FFF2-40B4-BE49-F238E27FC236}">
              <a16:creationId xmlns:a16="http://schemas.microsoft.com/office/drawing/2014/main" id="{00000000-0008-0000-0100-0000D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01" name="Drop Down -1022" hidden="1">
          <a:extLst>
            <a:ext uri="{FF2B5EF4-FFF2-40B4-BE49-F238E27FC236}">
              <a16:creationId xmlns:a16="http://schemas.microsoft.com/office/drawing/2014/main" id="{00000000-0008-0000-0100-0000D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02" name="Drop Down 1" hidden="1">
          <a:extLst>
            <a:ext uri="{FF2B5EF4-FFF2-40B4-BE49-F238E27FC236}">
              <a16:creationId xmlns:a16="http://schemas.microsoft.com/office/drawing/2014/main" id="{00000000-0008-0000-0100-0000D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03" name="Drop Down 1" hidden="1">
          <a:extLst>
            <a:ext uri="{FF2B5EF4-FFF2-40B4-BE49-F238E27FC236}">
              <a16:creationId xmlns:a16="http://schemas.microsoft.com/office/drawing/2014/main" id="{00000000-0008-0000-0100-0000D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04" name="Drop Down 1" hidden="1">
          <a:extLst>
            <a:ext uri="{FF2B5EF4-FFF2-40B4-BE49-F238E27FC236}">
              <a16:creationId xmlns:a16="http://schemas.microsoft.com/office/drawing/2014/main" id="{00000000-0008-0000-0100-0000D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05" name="Drop Down 1" hidden="1">
          <a:extLst>
            <a:ext uri="{FF2B5EF4-FFF2-40B4-BE49-F238E27FC236}">
              <a16:creationId xmlns:a16="http://schemas.microsoft.com/office/drawing/2014/main" id="{00000000-0008-0000-0100-0000D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06" name="Drop Down 2" hidden="1">
          <a:extLst>
            <a:ext uri="{FF2B5EF4-FFF2-40B4-BE49-F238E27FC236}">
              <a16:creationId xmlns:a16="http://schemas.microsoft.com/office/drawing/2014/main" id="{00000000-0008-0000-0100-0000D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07" name="Drop Down 1" hidden="1">
          <a:extLst>
            <a:ext uri="{FF2B5EF4-FFF2-40B4-BE49-F238E27FC236}">
              <a16:creationId xmlns:a16="http://schemas.microsoft.com/office/drawing/2014/main" id="{00000000-0008-0000-0100-0000D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08" name="Drop Down -1022" hidden="1">
          <a:extLst>
            <a:ext uri="{FF2B5EF4-FFF2-40B4-BE49-F238E27FC236}">
              <a16:creationId xmlns:a16="http://schemas.microsoft.com/office/drawing/2014/main" id="{00000000-0008-0000-0100-0000D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09" name="Drop Down 1" hidden="1">
          <a:extLst>
            <a:ext uri="{FF2B5EF4-FFF2-40B4-BE49-F238E27FC236}">
              <a16:creationId xmlns:a16="http://schemas.microsoft.com/office/drawing/2014/main" id="{00000000-0008-0000-0100-0000D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10" name="Drop Down 1" hidden="1">
          <a:extLst>
            <a:ext uri="{FF2B5EF4-FFF2-40B4-BE49-F238E27FC236}">
              <a16:creationId xmlns:a16="http://schemas.microsoft.com/office/drawing/2014/main" id="{00000000-0008-0000-0100-0000D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11" name="Drop Down 1" hidden="1">
          <a:extLst>
            <a:ext uri="{FF2B5EF4-FFF2-40B4-BE49-F238E27FC236}">
              <a16:creationId xmlns:a16="http://schemas.microsoft.com/office/drawing/2014/main" id="{00000000-0008-0000-0100-0000D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12" name="Drop Down 1" hidden="1">
          <a:extLst>
            <a:ext uri="{FF2B5EF4-FFF2-40B4-BE49-F238E27FC236}">
              <a16:creationId xmlns:a16="http://schemas.microsoft.com/office/drawing/2014/main" id="{00000000-0008-0000-0100-0000D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13" name="Drop Down 2" hidden="1">
          <a:extLst>
            <a:ext uri="{FF2B5EF4-FFF2-40B4-BE49-F238E27FC236}">
              <a16:creationId xmlns:a16="http://schemas.microsoft.com/office/drawing/2014/main" id="{00000000-0008-0000-0100-0000D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14" name="Drop Down 1" hidden="1">
          <a:extLst>
            <a:ext uri="{FF2B5EF4-FFF2-40B4-BE49-F238E27FC236}">
              <a16:creationId xmlns:a16="http://schemas.microsoft.com/office/drawing/2014/main" id="{00000000-0008-0000-0100-0000D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15" name="Drop Down -1022" hidden="1">
          <a:extLst>
            <a:ext uri="{FF2B5EF4-FFF2-40B4-BE49-F238E27FC236}">
              <a16:creationId xmlns:a16="http://schemas.microsoft.com/office/drawing/2014/main" id="{00000000-0008-0000-0100-0000D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416" name="Drop Down 1" hidden="1">
          <a:extLst>
            <a:ext uri="{FF2B5EF4-FFF2-40B4-BE49-F238E27FC236}">
              <a16:creationId xmlns:a16="http://schemas.microsoft.com/office/drawing/2014/main" id="{00000000-0008-0000-0100-0000E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417" name="Drop Down 1" hidden="1">
          <a:extLst>
            <a:ext uri="{FF2B5EF4-FFF2-40B4-BE49-F238E27FC236}">
              <a16:creationId xmlns:a16="http://schemas.microsoft.com/office/drawing/2014/main" id="{00000000-0008-0000-0100-0000E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418" name="Drop Down 1" hidden="1">
          <a:extLst>
            <a:ext uri="{FF2B5EF4-FFF2-40B4-BE49-F238E27FC236}">
              <a16:creationId xmlns:a16="http://schemas.microsoft.com/office/drawing/2014/main" id="{00000000-0008-0000-0100-0000E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419" name="Drop Down 1" hidden="1">
          <a:extLst>
            <a:ext uri="{FF2B5EF4-FFF2-40B4-BE49-F238E27FC236}">
              <a16:creationId xmlns:a16="http://schemas.microsoft.com/office/drawing/2014/main" id="{00000000-0008-0000-0100-0000E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420" name="Drop Down 2" hidden="1">
          <a:extLst>
            <a:ext uri="{FF2B5EF4-FFF2-40B4-BE49-F238E27FC236}">
              <a16:creationId xmlns:a16="http://schemas.microsoft.com/office/drawing/2014/main" id="{00000000-0008-0000-0100-0000E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421" name="Drop Down 1" hidden="1">
          <a:extLst>
            <a:ext uri="{FF2B5EF4-FFF2-40B4-BE49-F238E27FC236}">
              <a16:creationId xmlns:a16="http://schemas.microsoft.com/office/drawing/2014/main" id="{00000000-0008-0000-0100-0000E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422" name="Drop Down -1022" hidden="1">
          <a:extLst>
            <a:ext uri="{FF2B5EF4-FFF2-40B4-BE49-F238E27FC236}">
              <a16:creationId xmlns:a16="http://schemas.microsoft.com/office/drawing/2014/main" id="{00000000-0008-0000-0100-0000E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423" name="Drop Down 1" hidden="1">
          <a:extLst>
            <a:ext uri="{FF2B5EF4-FFF2-40B4-BE49-F238E27FC236}">
              <a16:creationId xmlns:a16="http://schemas.microsoft.com/office/drawing/2014/main" id="{00000000-0008-0000-0100-0000E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424" name="Drop Down 1" hidden="1">
          <a:extLst>
            <a:ext uri="{FF2B5EF4-FFF2-40B4-BE49-F238E27FC236}">
              <a16:creationId xmlns:a16="http://schemas.microsoft.com/office/drawing/2014/main" id="{00000000-0008-0000-0100-0000E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425" name="Drop Down 1" hidden="1">
          <a:extLst>
            <a:ext uri="{FF2B5EF4-FFF2-40B4-BE49-F238E27FC236}">
              <a16:creationId xmlns:a16="http://schemas.microsoft.com/office/drawing/2014/main" id="{00000000-0008-0000-0100-0000E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426" name="Drop Down 1" hidden="1">
          <a:extLst>
            <a:ext uri="{FF2B5EF4-FFF2-40B4-BE49-F238E27FC236}">
              <a16:creationId xmlns:a16="http://schemas.microsoft.com/office/drawing/2014/main" id="{00000000-0008-0000-0100-0000E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427" name="Drop Down 2" hidden="1">
          <a:extLst>
            <a:ext uri="{FF2B5EF4-FFF2-40B4-BE49-F238E27FC236}">
              <a16:creationId xmlns:a16="http://schemas.microsoft.com/office/drawing/2014/main" id="{00000000-0008-0000-0100-0000E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428" name="Drop Down 1" hidden="1">
          <a:extLst>
            <a:ext uri="{FF2B5EF4-FFF2-40B4-BE49-F238E27FC236}">
              <a16:creationId xmlns:a16="http://schemas.microsoft.com/office/drawing/2014/main" id="{00000000-0008-0000-0100-0000E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429" name="Drop Down -1022" hidden="1">
          <a:extLst>
            <a:ext uri="{FF2B5EF4-FFF2-40B4-BE49-F238E27FC236}">
              <a16:creationId xmlns:a16="http://schemas.microsoft.com/office/drawing/2014/main" id="{00000000-0008-0000-0100-0000E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30" name="Drop Down 1" hidden="1">
          <a:extLst>
            <a:ext uri="{FF2B5EF4-FFF2-40B4-BE49-F238E27FC236}">
              <a16:creationId xmlns:a16="http://schemas.microsoft.com/office/drawing/2014/main" id="{00000000-0008-0000-0100-0000E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31" name="Drop Down 1" hidden="1">
          <a:extLst>
            <a:ext uri="{FF2B5EF4-FFF2-40B4-BE49-F238E27FC236}">
              <a16:creationId xmlns:a16="http://schemas.microsoft.com/office/drawing/2014/main" id="{00000000-0008-0000-0100-0000E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32" name="Drop Down 1" hidden="1">
          <a:extLst>
            <a:ext uri="{FF2B5EF4-FFF2-40B4-BE49-F238E27FC236}">
              <a16:creationId xmlns:a16="http://schemas.microsoft.com/office/drawing/2014/main" id="{00000000-0008-0000-0100-0000F0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33" name="Drop Down 1" hidden="1">
          <a:extLst>
            <a:ext uri="{FF2B5EF4-FFF2-40B4-BE49-F238E27FC236}">
              <a16:creationId xmlns:a16="http://schemas.microsoft.com/office/drawing/2014/main" id="{00000000-0008-0000-0100-0000F1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34" name="Drop Down 2" hidden="1">
          <a:extLst>
            <a:ext uri="{FF2B5EF4-FFF2-40B4-BE49-F238E27FC236}">
              <a16:creationId xmlns:a16="http://schemas.microsoft.com/office/drawing/2014/main" id="{00000000-0008-0000-0100-0000F2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35" name="Drop Down 1" hidden="1">
          <a:extLst>
            <a:ext uri="{FF2B5EF4-FFF2-40B4-BE49-F238E27FC236}">
              <a16:creationId xmlns:a16="http://schemas.microsoft.com/office/drawing/2014/main" id="{00000000-0008-0000-0100-0000F3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36" name="Drop Down -1022" hidden="1">
          <a:extLst>
            <a:ext uri="{FF2B5EF4-FFF2-40B4-BE49-F238E27FC236}">
              <a16:creationId xmlns:a16="http://schemas.microsoft.com/office/drawing/2014/main" id="{00000000-0008-0000-0100-0000F4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37" name="Drop Down 1" hidden="1">
          <a:extLst>
            <a:ext uri="{FF2B5EF4-FFF2-40B4-BE49-F238E27FC236}">
              <a16:creationId xmlns:a16="http://schemas.microsoft.com/office/drawing/2014/main" id="{00000000-0008-0000-0100-0000F5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38" name="Drop Down 1" hidden="1">
          <a:extLst>
            <a:ext uri="{FF2B5EF4-FFF2-40B4-BE49-F238E27FC236}">
              <a16:creationId xmlns:a16="http://schemas.microsoft.com/office/drawing/2014/main" id="{00000000-0008-0000-0100-0000F6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39" name="Drop Down 1" hidden="1">
          <a:extLst>
            <a:ext uri="{FF2B5EF4-FFF2-40B4-BE49-F238E27FC236}">
              <a16:creationId xmlns:a16="http://schemas.microsoft.com/office/drawing/2014/main" id="{00000000-0008-0000-0100-0000F7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40" name="Drop Down 1" hidden="1">
          <a:extLst>
            <a:ext uri="{FF2B5EF4-FFF2-40B4-BE49-F238E27FC236}">
              <a16:creationId xmlns:a16="http://schemas.microsoft.com/office/drawing/2014/main" id="{00000000-0008-0000-0100-0000F8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41" name="Drop Down 2" hidden="1">
          <a:extLst>
            <a:ext uri="{FF2B5EF4-FFF2-40B4-BE49-F238E27FC236}">
              <a16:creationId xmlns:a16="http://schemas.microsoft.com/office/drawing/2014/main" id="{00000000-0008-0000-0100-0000F9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42" name="Drop Down 1" hidden="1">
          <a:extLst>
            <a:ext uri="{FF2B5EF4-FFF2-40B4-BE49-F238E27FC236}">
              <a16:creationId xmlns:a16="http://schemas.microsoft.com/office/drawing/2014/main" id="{00000000-0008-0000-0100-0000FA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43" name="Drop Down -1022" hidden="1">
          <a:extLst>
            <a:ext uri="{FF2B5EF4-FFF2-40B4-BE49-F238E27FC236}">
              <a16:creationId xmlns:a16="http://schemas.microsoft.com/office/drawing/2014/main" id="{00000000-0008-0000-0100-0000FB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44" name="Drop Down 1" hidden="1">
          <a:extLst>
            <a:ext uri="{FF2B5EF4-FFF2-40B4-BE49-F238E27FC236}">
              <a16:creationId xmlns:a16="http://schemas.microsoft.com/office/drawing/2014/main" id="{00000000-0008-0000-0100-0000FC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45" name="Drop Down 1" hidden="1">
          <a:extLst>
            <a:ext uri="{FF2B5EF4-FFF2-40B4-BE49-F238E27FC236}">
              <a16:creationId xmlns:a16="http://schemas.microsoft.com/office/drawing/2014/main" id="{00000000-0008-0000-0100-0000FD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46" name="Drop Down 1" hidden="1">
          <a:extLst>
            <a:ext uri="{FF2B5EF4-FFF2-40B4-BE49-F238E27FC236}">
              <a16:creationId xmlns:a16="http://schemas.microsoft.com/office/drawing/2014/main" id="{00000000-0008-0000-0100-0000FE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47" name="Drop Down 1" hidden="1">
          <a:extLst>
            <a:ext uri="{FF2B5EF4-FFF2-40B4-BE49-F238E27FC236}">
              <a16:creationId xmlns:a16="http://schemas.microsoft.com/office/drawing/2014/main" id="{00000000-0008-0000-0100-0000FF20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48" name="Drop Down 2" hidden="1">
          <a:extLst>
            <a:ext uri="{FF2B5EF4-FFF2-40B4-BE49-F238E27FC236}">
              <a16:creationId xmlns:a16="http://schemas.microsoft.com/office/drawing/2014/main" id="{00000000-0008-0000-0100-00000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49" name="Drop Down 1" hidden="1">
          <a:extLst>
            <a:ext uri="{FF2B5EF4-FFF2-40B4-BE49-F238E27FC236}">
              <a16:creationId xmlns:a16="http://schemas.microsoft.com/office/drawing/2014/main" id="{00000000-0008-0000-0100-00000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50" name="Drop Down -1022" hidden="1">
          <a:extLst>
            <a:ext uri="{FF2B5EF4-FFF2-40B4-BE49-F238E27FC236}">
              <a16:creationId xmlns:a16="http://schemas.microsoft.com/office/drawing/2014/main" id="{00000000-0008-0000-0100-00000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51" name="Drop Down 1" hidden="1">
          <a:extLst>
            <a:ext uri="{FF2B5EF4-FFF2-40B4-BE49-F238E27FC236}">
              <a16:creationId xmlns:a16="http://schemas.microsoft.com/office/drawing/2014/main" id="{00000000-0008-0000-0100-00000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52" name="Drop Down 1" hidden="1">
          <a:extLst>
            <a:ext uri="{FF2B5EF4-FFF2-40B4-BE49-F238E27FC236}">
              <a16:creationId xmlns:a16="http://schemas.microsoft.com/office/drawing/2014/main" id="{00000000-0008-0000-0100-00000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53" name="Drop Down 1" hidden="1">
          <a:extLst>
            <a:ext uri="{FF2B5EF4-FFF2-40B4-BE49-F238E27FC236}">
              <a16:creationId xmlns:a16="http://schemas.microsoft.com/office/drawing/2014/main" id="{00000000-0008-0000-0100-00000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54" name="Drop Down 1" hidden="1">
          <a:extLst>
            <a:ext uri="{FF2B5EF4-FFF2-40B4-BE49-F238E27FC236}">
              <a16:creationId xmlns:a16="http://schemas.microsoft.com/office/drawing/2014/main" id="{00000000-0008-0000-0100-00000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55" name="Drop Down 2" hidden="1">
          <a:extLst>
            <a:ext uri="{FF2B5EF4-FFF2-40B4-BE49-F238E27FC236}">
              <a16:creationId xmlns:a16="http://schemas.microsoft.com/office/drawing/2014/main" id="{00000000-0008-0000-0100-00000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56" name="Drop Down 1" hidden="1">
          <a:extLst>
            <a:ext uri="{FF2B5EF4-FFF2-40B4-BE49-F238E27FC236}">
              <a16:creationId xmlns:a16="http://schemas.microsoft.com/office/drawing/2014/main" id="{00000000-0008-0000-0100-00000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57" name="Drop Down -1022" hidden="1">
          <a:extLst>
            <a:ext uri="{FF2B5EF4-FFF2-40B4-BE49-F238E27FC236}">
              <a16:creationId xmlns:a16="http://schemas.microsoft.com/office/drawing/2014/main" id="{00000000-0008-0000-0100-00000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58" name="Drop Down 1" hidden="1">
          <a:extLst>
            <a:ext uri="{FF2B5EF4-FFF2-40B4-BE49-F238E27FC236}">
              <a16:creationId xmlns:a16="http://schemas.microsoft.com/office/drawing/2014/main" id="{00000000-0008-0000-0100-00000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59" name="Drop Down 1" hidden="1">
          <a:extLst>
            <a:ext uri="{FF2B5EF4-FFF2-40B4-BE49-F238E27FC236}">
              <a16:creationId xmlns:a16="http://schemas.microsoft.com/office/drawing/2014/main" id="{00000000-0008-0000-0100-00000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60" name="Drop Down 1" hidden="1">
          <a:extLst>
            <a:ext uri="{FF2B5EF4-FFF2-40B4-BE49-F238E27FC236}">
              <a16:creationId xmlns:a16="http://schemas.microsoft.com/office/drawing/2014/main" id="{00000000-0008-0000-0100-00000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61" name="Drop Down 1" hidden="1">
          <a:extLst>
            <a:ext uri="{FF2B5EF4-FFF2-40B4-BE49-F238E27FC236}">
              <a16:creationId xmlns:a16="http://schemas.microsoft.com/office/drawing/2014/main" id="{00000000-0008-0000-0100-00000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62" name="Drop Down 2" hidden="1">
          <a:extLst>
            <a:ext uri="{FF2B5EF4-FFF2-40B4-BE49-F238E27FC236}">
              <a16:creationId xmlns:a16="http://schemas.microsoft.com/office/drawing/2014/main" id="{00000000-0008-0000-0100-00000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63" name="Drop Down 1" hidden="1">
          <a:extLst>
            <a:ext uri="{FF2B5EF4-FFF2-40B4-BE49-F238E27FC236}">
              <a16:creationId xmlns:a16="http://schemas.microsoft.com/office/drawing/2014/main" id="{00000000-0008-0000-0100-00000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64" name="Drop Down -1022" hidden="1">
          <a:extLst>
            <a:ext uri="{FF2B5EF4-FFF2-40B4-BE49-F238E27FC236}">
              <a16:creationId xmlns:a16="http://schemas.microsoft.com/office/drawing/2014/main" id="{00000000-0008-0000-0100-00001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65" name="Drop Down 1" hidden="1">
          <a:extLst>
            <a:ext uri="{FF2B5EF4-FFF2-40B4-BE49-F238E27FC236}">
              <a16:creationId xmlns:a16="http://schemas.microsoft.com/office/drawing/2014/main" id="{00000000-0008-0000-0100-00001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66" name="Drop Down 1" hidden="1">
          <a:extLst>
            <a:ext uri="{FF2B5EF4-FFF2-40B4-BE49-F238E27FC236}">
              <a16:creationId xmlns:a16="http://schemas.microsoft.com/office/drawing/2014/main" id="{00000000-0008-0000-0100-00001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67" name="Drop Down 1" hidden="1">
          <a:extLst>
            <a:ext uri="{FF2B5EF4-FFF2-40B4-BE49-F238E27FC236}">
              <a16:creationId xmlns:a16="http://schemas.microsoft.com/office/drawing/2014/main" id="{00000000-0008-0000-0100-00001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68" name="Drop Down 1" hidden="1">
          <a:extLst>
            <a:ext uri="{FF2B5EF4-FFF2-40B4-BE49-F238E27FC236}">
              <a16:creationId xmlns:a16="http://schemas.microsoft.com/office/drawing/2014/main" id="{00000000-0008-0000-0100-00001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69" name="Drop Down 2" hidden="1">
          <a:extLst>
            <a:ext uri="{FF2B5EF4-FFF2-40B4-BE49-F238E27FC236}">
              <a16:creationId xmlns:a16="http://schemas.microsoft.com/office/drawing/2014/main" id="{00000000-0008-0000-0100-00001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70" name="Drop Down 1" hidden="1">
          <a:extLst>
            <a:ext uri="{FF2B5EF4-FFF2-40B4-BE49-F238E27FC236}">
              <a16:creationId xmlns:a16="http://schemas.microsoft.com/office/drawing/2014/main" id="{00000000-0008-0000-0100-00001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71" name="Drop Down -1022" hidden="1">
          <a:extLst>
            <a:ext uri="{FF2B5EF4-FFF2-40B4-BE49-F238E27FC236}">
              <a16:creationId xmlns:a16="http://schemas.microsoft.com/office/drawing/2014/main" id="{00000000-0008-0000-0100-00001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72" name="Drop Down 1" hidden="1">
          <a:extLst>
            <a:ext uri="{FF2B5EF4-FFF2-40B4-BE49-F238E27FC236}">
              <a16:creationId xmlns:a16="http://schemas.microsoft.com/office/drawing/2014/main" id="{00000000-0008-0000-0100-00001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73" name="Drop Down 1" hidden="1">
          <a:extLst>
            <a:ext uri="{FF2B5EF4-FFF2-40B4-BE49-F238E27FC236}">
              <a16:creationId xmlns:a16="http://schemas.microsoft.com/office/drawing/2014/main" id="{00000000-0008-0000-0100-00001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74" name="Drop Down 1" hidden="1">
          <a:extLst>
            <a:ext uri="{FF2B5EF4-FFF2-40B4-BE49-F238E27FC236}">
              <a16:creationId xmlns:a16="http://schemas.microsoft.com/office/drawing/2014/main" id="{00000000-0008-0000-0100-00001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75" name="Drop Down 1" hidden="1">
          <a:extLst>
            <a:ext uri="{FF2B5EF4-FFF2-40B4-BE49-F238E27FC236}">
              <a16:creationId xmlns:a16="http://schemas.microsoft.com/office/drawing/2014/main" id="{00000000-0008-0000-0100-00001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76" name="Drop Down 2" hidden="1">
          <a:extLst>
            <a:ext uri="{FF2B5EF4-FFF2-40B4-BE49-F238E27FC236}">
              <a16:creationId xmlns:a16="http://schemas.microsoft.com/office/drawing/2014/main" id="{00000000-0008-0000-0100-00001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77" name="Drop Down 1" hidden="1">
          <a:extLst>
            <a:ext uri="{FF2B5EF4-FFF2-40B4-BE49-F238E27FC236}">
              <a16:creationId xmlns:a16="http://schemas.microsoft.com/office/drawing/2014/main" id="{00000000-0008-0000-0100-00001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78" name="Drop Down -1022" hidden="1">
          <a:extLst>
            <a:ext uri="{FF2B5EF4-FFF2-40B4-BE49-F238E27FC236}">
              <a16:creationId xmlns:a16="http://schemas.microsoft.com/office/drawing/2014/main" id="{00000000-0008-0000-0100-00001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79" name="Drop Down 1" hidden="1">
          <a:extLst>
            <a:ext uri="{FF2B5EF4-FFF2-40B4-BE49-F238E27FC236}">
              <a16:creationId xmlns:a16="http://schemas.microsoft.com/office/drawing/2014/main" id="{00000000-0008-0000-0100-00001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80" name="Drop Down 1" hidden="1">
          <a:extLst>
            <a:ext uri="{FF2B5EF4-FFF2-40B4-BE49-F238E27FC236}">
              <a16:creationId xmlns:a16="http://schemas.microsoft.com/office/drawing/2014/main" id="{00000000-0008-0000-0100-00002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81" name="Drop Down 1" hidden="1">
          <a:extLst>
            <a:ext uri="{FF2B5EF4-FFF2-40B4-BE49-F238E27FC236}">
              <a16:creationId xmlns:a16="http://schemas.microsoft.com/office/drawing/2014/main" id="{00000000-0008-0000-0100-00002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82" name="Drop Down 1" hidden="1">
          <a:extLst>
            <a:ext uri="{FF2B5EF4-FFF2-40B4-BE49-F238E27FC236}">
              <a16:creationId xmlns:a16="http://schemas.microsoft.com/office/drawing/2014/main" id="{00000000-0008-0000-0100-00002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83" name="Drop Down 2" hidden="1">
          <a:extLst>
            <a:ext uri="{FF2B5EF4-FFF2-40B4-BE49-F238E27FC236}">
              <a16:creationId xmlns:a16="http://schemas.microsoft.com/office/drawing/2014/main" id="{00000000-0008-0000-0100-00002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84" name="Drop Down 1" hidden="1">
          <a:extLst>
            <a:ext uri="{FF2B5EF4-FFF2-40B4-BE49-F238E27FC236}">
              <a16:creationId xmlns:a16="http://schemas.microsoft.com/office/drawing/2014/main" id="{00000000-0008-0000-0100-00002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85" name="Drop Down -1022" hidden="1">
          <a:extLst>
            <a:ext uri="{FF2B5EF4-FFF2-40B4-BE49-F238E27FC236}">
              <a16:creationId xmlns:a16="http://schemas.microsoft.com/office/drawing/2014/main" id="{00000000-0008-0000-0100-00002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86" name="Drop Down 1" hidden="1">
          <a:extLst>
            <a:ext uri="{FF2B5EF4-FFF2-40B4-BE49-F238E27FC236}">
              <a16:creationId xmlns:a16="http://schemas.microsoft.com/office/drawing/2014/main" id="{00000000-0008-0000-0100-00002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87" name="Drop Down 1" hidden="1">
          <a:extLst>
            <a:ext uri="{FF2B5EF4-FFF2-40B4-BE49-F238E27FC236}">
              <a16:creationId xmlns:a16="http://schemas.microsoft.com/office/drawing/2014/main" id="{00000000-0008-0000-0100-00002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88" name="Drop Down 1" hidden="1">
          <a:extLst>
            <a:ext uri="{FF2B5EF4-FFF2-40B4-BE49-F238E27FC236}">
              <a16:creationId xmlns:a16="http://schemas.microsoft.com/office/drawing/2014/main" id="{00000000-0008-0000-0100-00002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89" name="Drop Down 1" hidden="1">
          <a:extLst>
            <a:ext uri="{FF2B5EF4-FFF2-40B4-BE49-F238E27FC236}">
              <a16:creationId xmlns:a16="http://schemas.microsoft.com/office/drawing/2014/main" id="{00000000-0008-0000-0100-00002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90" name="Drop Down 2" hidden="1">
          <a:extLst>
            <a:ext uri="{FF2B5EF4-FFF2-40B4-BE49-F238E27FC236}">
              <a16:creationId xmlns:a16="http://schemas.microsoft.com/office/drawing/2014/main" id="{00000000-0008-0000-0100-00002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91" name="Drop Down 1" hidden="1">
          <a:extLst>
            <a:ext uri="{FF2B5EF4-FFF2-40B4-BE49-F238E27FC236}">
              <a16:creationId xmlns:a16="http://schemas.microsoft.com/office/drawing/2014/main" id="{00000000-0008-0000-0100-00002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492" name="Drop Down -1022" hidden="1">
          <a:extLst>
            <a:ext uri="{FF2B5EF4-FFF2-40B4-BE49-F238E27FC236}">
              <a16:creationId xmlns:a16="http://schemas.microsoft.com/office/drawing/2014/main" id="{00000000-0008-0000-0100-00002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93" name="Drop Down 1" hidden="1">
          <a:extLst>
            <a:ext uri="{FF2B5EF4-FFF2-40B4-BE49-F238E27FC236}">
              <a16:creationId xmlns:a16="http://schemas.microsoft.com/office/drawing/2014/main" id="{00000000-0008-0000-0100-00002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94" name="Drop Down 1" hidden="1">
          <a:extLst>
            <a:ext uri="{FF2B5EF4-FFF2-40B4-BE49-F238E27FC236}">
              <a16:creationId xmlns:a16="http://schemas.microsoft.com/office/drawing/2014/main" id="{00000000-0008-0000-0100-00002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95" name="Drop Down 1" hidden="1">
          <a:extLst>
            <a:ext uri="{FF2B5EF4-FFF2-40B4-BE49-F238E27FC236}">
              <a16:creationId xmlns:a16="http://schemas.microsoft.com/office/drawing/2014/main" id="{00000000-0008-0000-0100-00002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96" name="Drop Down 1" hidden="1">
          <a:extLst>
            <a:ext uri="{FF2B5EF4-FFF2-40B4-BE49-F238E27FC236}">
              <a16:creationId xmlns:a16="http://schemas.microsoft.com/office/drawing/2014/main" id="{00000000-0008-0000-0100-00003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97" name="Drop Down 2" hidden="1">
          <a:extLst>
            <a:ext uri="{FF2B5EF4-FFF2-40B4-BE49-F238E27FC236}">
              <a16:creationId xmlns:a16="http://schemas.microsoft.com/office/drawing/2014/main" id="{00000000-0008-0000-0100-00003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98" name="Drop Down 1" hidden="1">
          <a:extLst>
            <a:ext uri="{FF2B5EF4-FFF2-40B4-BE49-F238E27FC236}">
              <a16:creationId xmlns:a16="http://schemas.microsoft.com/office/drawing/2014/main" id="{00000000-0008-0000-0100-00003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499" name="Drop Down -1022" hidden="1">
          <a:extLst>
            <a:ext uri="{FF2B5EF4-FFF2-40B4-BE49-F238E27FC236}">
              <a16:creationId xmlns:a16="http://schemas.microsoft.com/office/drawing/2014/main" id="{00000000-0008-0000-0100-00003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8500" name="Drop Down 1" hidden="1">
          <a:extLst>
            <a:ext uri="{FF2B5EF4-FFF2-40B4-BE49-F238E27FC236}">
              <a16:creationId xmlns:a16="http://schemas.microsoft.com/office/drawing/2014/main" id="{00000000-0008-0000-0100-00003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8501" name="Drop Down 1" hidden="1">
          <a:extLst>
            <a:ext uri="{FF2B5EF4-FFF2-40B4-BE49-F238E27FC236}">
              <a16:creationId xmlns:a16="http://schemas.microsoft.com/office/drawing/2014/main" id="{00000000-0008-0000-0100-00003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8502" name="Drop Down 1" hidden="1">
          <a:extLst>
            <a:ext uri="{FF2B5EF4-FFF2-40B4-BE49-F238E27FC236}">
              <a16:creationId xmlns:a16="http://schemas.microsoft.com/office/drawing/2014/main" id="{00000000-0008-0000-0100-00003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8503" name="Drop Down 1" hidden="1">
          <a:extLst>
            <a:ext uri="{FF2B5EF4-FFF2-40B4-BE49-F238E27FC236}">
              <a16:creationId xmlns:a16="http://schemas.microsoft.com/office/drawing/2014/main" id="{00000000-0008-0000-0100-00003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8504" name="Drop Down 2" hidden="1">
          <a:extLst>
            <a:ext uri="{FF2B5EF4-FFF2-40B4-BE49-F238E27FC236}">
              <a16:creationId xmlns:a16="http://schemas.microsoft.com/office/drawing/2014/main" id="{00000000-0008-0000-0100-00003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8505" name="Drop Down 1" hidden="1">
          <a:extLst>
            <a:ext uri="{FF2B5EF4-FFF2-40B4-BE49-F238E27FC236}">
              <a16:creationId xmlns:a16="http://schemas.microsoft.com/office/drawing/2014/main" id="{00000000-0008-0000-0100-00003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06910"/>
    <xdr:sp macro="" textlink="">
      <xdr:nvSpPr>
        <xdr:cNvPr id="8506" name="Drop Down -1022" hidden="1">
          <a:extLst>
            <a:ext uri="{FF2B5EF4-FFF2-40B4-BE49-F238E27FC236}">
              <a16:creationId xmlns:a16="http://schemas.microsoft.com/office/drawing/2014/main" id="{00000000-0008-0000-0100-00003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8507" name="Drop Down 1" hidden="1">
          <a:extLst>
            <a:ext uri="{FF2B5EF4-FFF2-40B4-BE49-F238E27FC236}">
              <a16:creationId xmlns:a16="http://schemas.microsoft.com/office/drawing/2014/main" id="{00000000-0008-0000-0100-00003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8508" name="Drop Down 1" hidden="1">
          <a:extLst>
            <a:ext uri="{FF2B5EF4-FFF2-40B4-BE49-F238E27FC236}">
              <a16:creationId xmlns:a16="http://schemas.microsoft.com/office/drawing/2014/main" id="{00000000-0008-0000-0100-00003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8509" name="Drop Down 1" hidden="1">
          <a:extLst>
            <a:ext uri="{FF2B5EF4-FFF2-40B4-BE49-F238E27FC236}">
              <a16:creationId xmlns:a16="http://schemas.microsoft.com/office/drawing/2014/main" id="{00000000-0008-0000-0100-00003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8510" name="Drop Down 1" hidden="1">
          <a:extLst>
            <a:ext uri="{FF2B5EF4-FFF2-40B4-BE49-F238E27FC236}">
              <a16:creationId xmlns:a16="http://schemas.microsoft.com/office/drawing/2014/main" id="{00000000-0008-0000-0100-00003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8511" name="Drop Down 2" hidden="1">
          <a:extLst>
            <a:ext uri="{FF2B5EF4-FFF2-40B4-BE49-F238E27FC236}">
              <a16:creationId xmlns:a16="http://schemas.microsoft.com/office/drawing/2014/main" id="{00000000-0008-0000-0100-00003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8512" name="Drop Down 1" hidden="1">
          <a:extLst>
            <a:ext uri="{FF2B5EF4-FFF2-40B4-BE49-F238E27FC236}">
              <a16:creationId xmlns:a16="http://schemas.microsoft.com/office/drawing/2014/main" id="{00000000-0008-0000-0100-00004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2774" cy="211501"/>
    <xdr:sp macro="" textlink="">
      <xdr:nvSpPr>
        <xdr:cNvPr id="8513" name="Drop Down -1022" hidden="1">
          <a:extLst>
            <a:ext uri="{FF2B5EF4-FFF2-40B4-BE49-F238E27FC236}">
              <a16:creationId xmlns:a16="http://schemas.microsoft.com/office/drawing/2014/main" id="{00000000-0008-0000-0100-00004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14" name="Drop Down 1" hidden="1">
          <a:extLst>
            <a:ext uri="{FF2B5EF4-FFF2-40B4-BE49-F238E27FC236}">
              <a16:creationId xmlns:a16="http://schemas.microsoft.com/office/drawing/2014/main" id="{00000000-0008-0000-0100-00004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15" name="Drop Down 1" hidden="1">
          <a:extLst>
            <a:ext uri="{FF2B5EF4-FFF2-40B4-BE49-F238E27FC236}">
              <a16:creationId xmlns:a16="http://schemas.microsoft.com/office/drawing/2014/main" id="{00000000-0008-0000-0100-00004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16" name="Drop Down 1" hidden="1">
          <a:extLst>
            <a:ext uri="{FF2B5EF4-FFF2-40B4-BE49-F238E27FC236}">
              <a16:creationId xmlns:a16="http://schemas.microsoft.com/office/drawing/2014/main" id="{00000000-0008-0000-0100-00004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17" name="Drop Down 1" hidden="1">
          <a:extLst>
            <a:ext uri="{FF2B5EF4-FFF2-40B4-BE49-F238E27FC236}">
              <a16:creationId xmlns:a16="http://schemas.microsoft.com/office/drawing/2014/main" id="{00000000-0008-0000-0100-00004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18" name="Drop Down 2" hidden="1">
          <a:extLst>
            <a:ext uri="{FF2B5EF4-FFF2-40B4-BE49-F238E27FC236}">
              <a16:creationId xmlns:a16="http://schemas.microsoft.com/office/drawing/2014/main" id="{00000000-0008-0000-0100-00004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19" name="Drop Down 1" hidden="1">
          <a:extLst>
            <a:ext uri="{FF2B5EF4-FFF2-40B4-BE49-F238E27FC236}">
              <a16:creationId xmlns:a16="http://schemas.microsoft.com/office/drawing/2014/main" id="{00000000-0008-0000-0100-00004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20" name="Drop Down -1022" hidden="1">
          <a:extLst>
            <a:ext uri="{FF2B5EF4-FFF2-40B4-BE49-F238E27FC236}">
              <a16:creationId xmlns:a16="http://schemas.microsoft.com/office/drawing/2014/main" id="{00000000-0008-0000-0100-00004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21" name="Drop Down 1" hidden="1">
          <a:extLst>
            <a:ext uri="{FF2B5EF4-FFF2-40B4-BE49-F238E27FC236}">
              <a16:creationId xmlns:a16="http://schemas.microsoft.com/office/drawing/2014/main" id="{00000000-0008-0000-0100-00004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22" name="Drop Down 1" hidden="1">
          <a:extLst>
            <a:ext uri="{FF2B5EF4-FFF2-40B4-BE49-F238E27FC236}">
              <a16:creationId xmlns:a16="http://schemas.microsoft.com/office/drawing/2014/main" id="{00000000-0008-0000-0100-00004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23" name="Drop Down 1" hidden="1">
          <a:extLst>
            <a:ext uri="{FF2B5EF4-FFF2-40B4-BE49-F238E27FC236}">
              <a16:creationId xmlns:a16="http://schemas.microsoft.com/office/drawing/2014/main" id="{00000000-0008-0000-0100-00004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24" name="Drop Down 1" hidden="1">
          <a:extLst>
            <a:ext uri="{FF2B5EF4-FFF2-40B4-BE49-F238E27FC236}">
              <a16:creationId xmlns:a16="http://schemas.microsoft.com/office/drawing/2014/main" id="{00000000-0008-0000-0100-00004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25" name="Drop Down 2" hidden="1">
          <a:extLst>
            <a:ext uri="{FF2B5EF4-FFF2-40B4-BE49-F238E27FC236}">
              <a16:creationId xmlns:a16="http://schemas.microsoft.com/office/drawing/2014/main" id="{00000000-0008-0000-0100-00004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26" name="Drop Down 1" hidden="1">
          <a:extLst>
            <a:ext uri="{FF2B5EF4-FFF2-40B4-BE49-F238E27FC236}">
              <a16:creationId xmlns:a16="http://schemas.microsoft.com/office/drawing/2014/main" id="{00000000-0008-0000-0100-00004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27" name="Drop Down -1022" hidden="1">
          <a:extLst>
            <a:ext uri="{FF2B5EF4-FFF2-40B4-BE49-F238E27FC236}">
              <a16:creationId xmlns:a16="http://schemas.microsoft.com/office/drawing/2014/main" id="{00000000-0008-0000-0100-00004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28" name="Drop Down 1" hidden="1">
          <a:extLst>
            <a:ext uri="{FF2B5EF4-FFF2-40B4-BE49-F238E27FC236}">
              <a16:creationId xmlns:a16="http://schemas.microsoft.com/office/drawing/2014/main" id="{00000000-0008-0000-0100-00005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29" name="Drop Down 1" hidden="1">
          <a:extLst>
            <a:ext uri="{FF2B5EF4-FFF2-40B4-BE49-F238E27FC236}">
              <a16:creationId xmlns:a16="http://schemas.microsoft.com/office/drawing/2014/main" id="{00000000-0008-0000-0100-00005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30" name="Drop Down 1" hidden="1">
          <a:extLst>
            <a:ext uri="{FF2B5EF4-FFF2-40B4-BE49-F238E27FC236}">
              <a16:creationId xmlns:a16="http://schemas.microsoft.com/office/drawing/2014/main" id="{00000000-0008-0000-0100-00005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31" name="Drop Down 1" hidden="1">
          <a:extLst>
            <a:ext uri="{FF2B5EF4-FFF2-40B4-BE49-F238E27FC236}">
              <a16:creationId xmlns:a16="http://schemas.microsoft.com/office/drawing/2014/main" id="{00000000-0008-0000-0100-00005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32" name="Drop Down 2" hidden="1">
          <a:extLst>
            <a:ext uri="{FF2B5EF4-FFF2-40B4-BE49-F238E27FC236}">
              <a16:creationId xmlns:a16="http://schemas.microsoft.com/office/drawing/2014/main" id="{00000000-0008-0000-0100-00005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33" name="Drop Down 1" hidden="1">
          <a:extLst>
            <a:ext uri="{FF2B5EF4-FFF2-40B4-BE49-F238E27FC236}">
              <a16:creationId xmlns:a16="http://schemas.microsoft.com/office/drawing/2014/main" id="{00000000-0008-0000-0100-00005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34" name="Drop Down -1022" hidden="1">
          <a:extLst>
            <a:ext uri="{FF2B5EF4-FFF2-40B4-BE49-F238E27FC236}">
              <a16:creationId xmlns:a16="http://schemas.microsoft.com/office/drawing/2014/main" id="{00000000-0008-0000-0100-00005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35" name="Drop Down 1" hidden="1">
          <a:extLst>
            <a:ext uri="{FF2B5EF4-FFF2-40B4-BE49-F238E27FC236}">
              <a16:creationId xmlns:a16="http://schemas.microsoft.com/office/drawing/2014/main" id="{00000000-0008-0000-0100-00005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36" name="Drop Down 1" hidden="1">
          <a:extLst>
            <a:ext uri="{FF2B5EF4-FFF2-40B4-BE49-F238E27FC236}">
              <a16:creationId xmlns:a16="http://schemas.microsoft.com/office/drawing/2014/main" id="{00000000-0008-0000-0100-00005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37" name="Drop Down 1" hidden="1">
          <a:extLst>
            <a:ext uri="{FF2B5EF4-FFF2-40B4-BE49-F238E27FC236}">
              <a16:creationId xmlns:a16="http://schemas.microsoft.com/office/drawing/2014/main" id="{00000000-0008-0000-0100-00005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38" name="Drop Down 1" hidden="1">
          <a:extLst>
            <a:ext uri="{FF2B5EF4-FFF2-40B4-BE49-F238E27FC236}">
              <a16:creationId xmlns:a16="http://schemas.microsoft.com/office/drawing/2014/main" id="{00000000-0008-0000-0100-00005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39" name="Drop Down 2" hidden="1">
          <a:extLst>
            <a:ext uri="{FF2B5EF4-FFF2-40B4-BE49-F238E27FC236}">
              <a16:creationId xmlns:a16="http://schemas.microsoft.com/office/drawing/2014/main" id="{00000000-0008-0000-0100-00005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40" name="Drop Down 1" hidden="1">
          <a:extLst>
            <a:ext uri="{FF2B5EF4-FFF2-40B4-BE49-F238E27FC236}">
              <a16:creationId xmlns:a16="http://schemas.microsoft.com/office/drawing/2014/main" id="{00000000-0008-0000-0100-00005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41" name="Drop Down -1022" hidden="1">
          <a:extLst>
            <a:ext uri="{FF2B5EF4-FFF2-40B4-BE49-F238E27FC236}">
              <a16:creationId xmlns:a16="http://schemas.microsoft.com/office/drawing/2014/main" id="{00000000-0008-0000-0100-00005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42" name="Drop Down 1" hidden="1">
          <a:extLst>
            <a:ext uri="{FF2B5EF4-FFF2-40B4-BE49-F238E27FC236}">
              <a16:creationId xmlns:a16="http://schemas.microsoft.com/office/drawing/2014/main" id="{00000000-0008-0000-0100-00005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43" name="Drop Down 1" hidden="1">
          <a:extLst>
            <a:ext uri="{FF2B5EF4-FFF2-40B4-BE49-F238E27FC236}">
              <a16:creationId xmlns:a16="http://schemas.microsoft.com/office/drawing/2014/main" id="{00000000-0008-0000-0100-00005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44" name="Drop Down 1" hidden="1">
          <a:extLst>
            <a:ext uri="{FF2B5EF4-FFF2-40B4-BE49-F238E27FC236}">
              <a16:creationId xmlns:a16="http://schemas.microsoft.com/office/drawing/2014/main" id="{00000000-0008-0000-0100-00006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45" name="Drop Down 1" hidden="1">
          <a:extLst>
            <a:ext uri="{FF2B5EF4-FFF2-40B4-BE49-F238E27FC236}">
              <a16:creationId xmlns:a16="http://schemas.microsoft.com/office/drawing/2014/main" id="{00000000-0008-0000-0100-00006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46" name="Drop Down 2" hidden="1">
          <a:extLst>
            <a:ext uri="{FF2B5EF4-FFF2-40B4-BE49-F238E27FC236}">
              <a16:creationId xmlns:a16="http://schemas.microsoft.com/office/drawing/2014/main" id="{00000000-0008-0000-0100-00006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47" name="Drop Down 1" hidden="1">
          <a:extLst>
            <a:ext uri="{FF2B5EF4-FFF2-40B4-BE49-F238E27FC236}">
              <a16:creationId xmlns:a16="http://schemas.microsoft.com/office/drawing/2014/main" id="{00000000-0008-0000-0100-00006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48" name="Drop Down -1022" hidden="1">
          <a:extLst>
            <a:ext uri="{FF2B5EF4-FFF2-40B4-BE49-F238E27FC236}">
              <a16:creationId xmlns:a16="http://schemas.microsoft.com/office/drawing/2014/main" id="{00000000-0008-0000-0100-00006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49" name="Drop Down 1" hidden="1">
          <a:extLst>
            <a:ext uri="{FF2B5EF4-FFF2-40B4-BE49-F238E27FC236}">
              <a16:creationId xmlns:a16="http://schemas.microsoft.com/office/drawing/2014/main" id="{00000000-0008-0000-0100-00006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50" name="Drop Down 1" hidden="1">
          <a:extLst>
            <a:ext uri="{FF2B5EF4-FFF2-40B4-BE49-F238E27FC236}">
              <a16:creationId xmlns:a16="http://schemas.microsoft.com/office/drawing/2014/main" id="{00000000-0008-0000-0100-00006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51" name="Drop Down 1" hidden="1">
          <a:extLst>
            <a:ext uri="{FF2B5EF4-FFF2-40B4-BE49-F238E27FC236}">
              <a16:creationId xmlns:a16="http://schemas.microsoft.com/office/drawing/2014/main" id="{00000000-0008-0000-0100-00006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52" name="Drop Down 1" hidden="1">
          <a:extLst>
            <a:ext uri="{FF2B5EF4-FFF2-40B4-BE49-F238E27FC236}">
              <a16:creationId xmlns:a16="http://schemas.microsoft.com/office/drawing/2014/main" id="{00000000-0008-0000-0100-00006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53" name="Drop Down 2" hidden="1">
          <a:extLst>
            <a:ext uri="{FF2B5EF4-FFF2-40B4-BE49-F238E27FC236}">
              <a16:creationId xmlns:a16="http://schemas.microsoft.com/office/drawing/2014/main" id="{00000000-0008-0000-0100-00006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54" name="Drop Down 1" hidden="1">
          <a:extLst>
            <a:ext uri="{FF2B5EF4-FFF2-40B4-BE49-F238E27FC236}">
              <a16:creationId xmlns:a16="http://schemas.microsoft.com/office/drawing/2014/main" id="{00000000-0008-0000-0100-00006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55" name="Drop Down -1022" hidden="1">
          <a:extLst>
            <a:ext uri="{FF2B5EF4-FFF2-40B4-BE49-F238E27FC236}">
              <a16:creationId xmlns:a16="http://schemas.microsoft.com/office/drawing/2014/main" id="{00000000-0008-0000-0100-00006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56" name="Drop Down 1" hidden="1">
          <a:extLst>
            <a:ext uri="{FF2B5EF4-FFF2-40B4-BE49-F238E27FC236}">
              <a16:creationId xmlns:a16="http://schemas.microsoft.com/office/drawing/2014/main" id="{00000000-0008-0000-0100-00006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57" name="Drop Down 1" hidden="1">
          <a:extLst>
            <a:ext uri="{FF2B5EF4-FFF2-40B4-BE49-F238E27FC236}">
              <a16:creationId xmlns:a16="http://schemas.microsoft.com/office/drawing/2014/main" id="{00000000-0008-0000-0100-00006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58" name="Drop Down 1" hidden="1">
          <a:extLst>
            <a:ext uri="{FF2B5EF4-FFF2-40B4-BE49-F238E27FC236}">
              <a16:creationId xmlns:a16="http://schemas.microsoft.com/office/drawing/2014/main" id="{00000000-0008-0000-0100-00006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59" name="Drop Down 1" hidden="1">
          <a:extLst>
            <a:ext uri="{FF2B5EF4-FFF2-40B4-BE49-F238E27FC236}">
              <a16:creationId xmlns:a16="http://schemas.microsoft.com/office/drawing/2014/main" id="{00000000-0008-0000-0100-00006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60" name="Drop Down 2" hidden="1">
          <a:extLst>
            <a:ext uri="{FF2B5EF4-FFF2-40B4-BE49-F238E27FC236}">
              <a16:creationId xmlns:a16="http://schemas.microsoft.com/office/drawing/2014/main" id="{00000000-0008-0000-0100-00007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61" name="Drop Down 1" hidden="1">
          <a:extLst>
            <a:ext uri="{FF2B5EF4-FFF2-40B4-BE49-F238E27FC236}">
              <a16:creationId xmlns:a16="http://schemas.microsoft.com/office/drawing/2014/main" id="{00000000-0008-0000-0100-00007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62" name="Drop Down -1022" hidden="1">
          <a:extLst>
            <a:ext uri="{FF2B5EF4-FFF2-40B4-BE49-F238E27FC236}">
              <a16:creationId xmlns:a16="http://schemas.microsoft.com/office/drawing/2014/main" id="{00000000-0008-0000-0100-00007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63" name="Drop Down 1" hidden="1">
          <a:extLst>
            <a:ext uri="{FF2B5EF4-FFF2-40B4-BE49-F238E27FC236}">
              <a16:creationId xmlns:a16="http://schemas.microsoft.com/office/drawing/2014/main" id="{00000000-0008-0000-0100-00007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64" name="Drop Down 1" hidden="1">
          <a:extLst>
            <a:ext uri="{FF2B5EF4-FFF2-40B4-BE49-F238E27FC236}">
              <a16:creationId xmlns:a16="http://schemas.microsoft.com/office/drawing/2014/main" id="{00000000-0008-0000-0100-00007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65" name="Drop Down 1" hidden="1">
          <a:extLst>
            <a:ext uri="{FF2B5EF4-FFF2-40B4-BE49-F238E27FC236}">
              <a16:creationId xmlns:a16="http://schemas.microsoft.com/office/drawing/2014/main" id="{00000000-0008-0000-0100-00007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66" name="Drop Down 1" hidden="1">
          <a:extLst>
            <a:ext uri="{FF2B5EF4-FFF2-40B4-BE49-F238E27FC236}">
              <a16:creationId xmlns:a16="http://schemas.microsoft.com/office/drawing/2014/main" id="{00000000-0008-0000-0100-00007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67" name="Drop Down 2" hidden="1">
          <a:extLst>
            <a:ext uri="{FF2B5EF4-FFF2-40B4-BE49-F238E27FC236}">
              <a16:creationId xmlns:a16="http://schemas.microsoft.com/office/drawing/2014/main" id="{00000000-0008-0000-0100-00007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68" name="Drop Down 1" hidden="1">
          <a:extLst>
            <a:ext uri="{FF2B5EF4-FFF2-40B4-BE49-F238E27FC236}">
              <a16:creationId xmlns:a16="http://schemas.microsoft.com/office/drawing/2014/main" id="{00000000-0008-0000-0100-00007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69" name="Drop Down -1022" hidden="1">
          <a:extLst>
            <a:ext uri="{FF2B5EF4-FFF2-40B4-BE49-F238E27FC236}">
              <a16:creationId xmlns:a16="http://schemas.microsoft.com/office/drawing/2014/main" id="{00000000-0008-0000-0100-00007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70" name="Drop Down 1" hidden="1">
          <a:extLst>
            <a:ext uri="{FF2B5EF4-FFF2-40B4-BE49-F238E27FC236}">
              <a16:creationId xmlns:a16="http://schemas.microsoft.com/office/drawing/2014/main" id="{00000000-0008-0000-0100-00007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71" name="Drop Down 1" hidden="1">
          <a:extLst>
            <a:ext uri="{FF2B5EF4-FFF2-40B4-BE49-F238E27FC236}">
              <a16:creationId xmlns:a16="http://schemas.microsoft.com/office/drawing/2014/main" id="{00000000-0008-0000-0100-00007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72" name="Drop Down 1" hidden="1">
          <a:extLst>
            <a:ext uri="{FF2B5EF4-FFF2-40B4-BE49-F238E27FC236}">
              <a16:creationId xmlns:a16="http://schemas.microsoft.com/office/drawing/2014/main" id="{00000000-0008-0000-0100-00007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73" name="Drop Down 1" hidden="1">
          <a:extLst>
            <a:ext uri="{FF2B5EF4-FFF2-40B4-BE49-F238E27FC236}">
              <a16:creationId xmlns:a16="http://schemas.microsoft.com/office/drawing/2014/main" id="{00000000-0008-0000-0100-00007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74" name="Drop Down 2" hidden="1">
          <a:extLst>
            <a:ext uri="{FF2B5EF4-FFF2-40B4-BE49-F238E27FC236}">
              <a16:creationId xmlns:a16="http://schemas.microsoft.com/office/drawing/2014/main" id="{00000000-0008-0000-0100-00007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75" name="Drop Down 1" hidden="1">
          <a:extLst>
            <a:ext uri="{FF2B5EF4-FFF2-40B4-BE49-F238E27FC236}">
              <a16:creationId xmlns:a16="http://schemas.microsoft.com/office/drawing/2014/main" id="{00000000-0008-0000-0100-00007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76" name="Drop Down -1022" hidden="1">
          <a:extLst>
            <a:ext uri="{FF2B5EF4-FFF2-40B4-BE49-F238E27FC236}">
              <a16:creationId xmlns:a16="http://schemas.microsoft.com/office/drawing/2014/main" id="{00000000-0008-0000-0100-00008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77" name="Drop Down 1" hidden="1">
          <a:extLst>
            <a:ext uri="{FF2B5EF4-FFF2-40B4-BE49-F238E27FC236}">
              <a16:creationId xmlns:a16="http://schemas.microsoft.com/office/drawing/2014/main" id="{00000000-0008-0000-0100-00008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78" name="Drop Down 1" hidden="1">
          <a:extLst>
            <a:ext uri="{FF2B5EF4-FFF2-40B4-BE49-F238E27FC236}">
              <a16:creationId xmlns:a16="http://schemas.microsoft.com/office/drawing/2014/main" id="{00000000-0008-0000-0100-00008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79" name="Drop Down 1" hidden="1">
          <a:extLst>
            <a:ext uri="{FF2B5EF4-FFF2-40B4-BE49-F238E27FC236}">
              <a16:creationId xmlns:a16="http://schemas.microsoft.com/office/drawing/2014/main" id="{00000000-0008-0000-0100-00008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80" name="Drop Down 1" hidden="1">
          <a:extLst>
            <a:ext uri="{FF2B5EF4-FFF2-40B4-BE49-F238E27FC236}">
              <a16:creationId xmlns:a16="http://schemas.microsoft.com/office/drawing/2014/main" id="{00000000-0008-0000-0100-00008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81" name="Drop Down 2" hidden="1">
          <a:extLst>
            <a:ext uri="{FF2B5EF4-FFF2-40B4-BE49-F238E27FC236}">
              <a16:creationId xmlns:a16="http://schemas.microsoft.com/office/drawing/2014/main" id="{00000000-0008-0000-0100-00008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82" name="Drop Down 1" hidden="1">
          <a:extLst>
            <a:ext uri="{FF2B5EF4-FFF2-40B4-BE49-F238E27FC236}">
              <a16:creationId xmlns:a16="http://schemas.microsoft.com/office/drawing/2014/main" id="{00000000-0008-0000-0100-00008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583" name="Drop Down -1022" hidden="1">
          <a:extLst>
            <a:ext uri="{FF2B5EF4-FFF2-40B4-BE49-F238E27FC236}">
              <a16:creationId xmlns:a16="http://schemas.microsoft.com/office/drawing/2014/main" id="{00000000-0008-0000-0100-00008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584" name="Drop Down 1" hidden="1">
          <a:extLst>
            <a:ext uri="{FF2B5EF4-FFF2-40B4-BE49-F238E27FC236}">
              <a16:creationId xmlns:a16="http://schemas.microsoft.com/office/drawing/2014/main" id="{00000000-0008-0000-0100-00008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585" name="Drop Down 1" hidden="1">
          <a:extLst>
            <a:ext uri="{FF2B5EF4-FFF2-40B4-BE49-F238E27FC236}">
              <a16:creationId xmlns:a16="http://schemas.microsoft.com/office/drawing/2014/main" id="{00000000-0008-0000-0100-00008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586" name="Drop Down 1" hidden="1">
          <a:extLst>
            <a:ext uri="{FF2B5EF4-FFF2-40B4-BE49-F238E27FC236}">
              <a16:creationId xmlns:a16="http://schemas.microsoft.com/office/drawing/2014/main" id="{00000000-0008-0000-0100-00008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587" name="Drop Down 1" hidden="1">
          <a:extLst>
            <a:ext uri="{FF2B5EF4-FFF2-40B4-BE49-F238E27FC236}">
              <a16:creationId xmlns:a16="http://schemas.microsoft.com/office/drawing/2014/main" id="{00000000-0008-0000-0100-00008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588" name="Drop Down 2" hidden="1">
          <a:extLst>
            <a:ext uri="{FF2B5EF4-FFF2-40B4-BE49-F238E27FC236}">
              <a16:creationId xmlns:a16="http://schemas.microsoft.com/office/drawing/2014/main" id="{00000000-0008-0000-0100-00008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589" name="Drop Down 1" hidden="1">
          <a:extLst>
            <a:ext uri="{FF2B5EF4-FFF2-40B4-BE49-F238E27FC236}">
              <a16:creationId xmlns:a16="http://schemas.microsoft.com/office/drawing/2014/main" id="{00000000-0008-0000-0100-00008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590" name="Drop Down -1022" hidden="1">
          <a:extLst>
            <a:ext uri="{FF2B5EF4-FFF2-40B4-BE49-F238E27FC236}">
              <a16:creationId xmlns:a16="http://schemas.microsoft.com/office/drawing/2014/main" id="{00000000-0008-0000-0100-00008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591" name="Drop Down 1" hidden="1">
          <a:extLst>
            <a:ext uri="{FF2B5EF4-FFF2-40B4-BE49-F238E27FC236}">
              <a16:creationId xmlns:a16="http://schemas.microsoft.com/office/drawing/2014/main" id="{00000000-0008-0000-0100-00008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592" name="Drop Down 1" hidden="1">
          <a:extLst>
            <a:ext uri="{FF2B5EF4-FFF2-40B4-BE49-F238E27FC236}">
              <a16:creationId xmlns:a16="http://schemas.microsoft.com/office/drawing/2014/main" id="{00000000-0008-0000-0100-00009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593" name="Drop Down 1" hidden="1">
          <a:extLst>
            <a:ext uri="{FF2B5EF4-FFF2-40B4-BE49-F238E27FC236}">
              <a16:creationId xmlns:a16="http://schemas.microsoft.com/office/drawing/2014/main" id="{00000000-0008-0000-0100-00009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594" name="Drop Down 1" hidden="1">
          <a:extLst>
            <a:ext uri="{FF2B5EF4-FFF2-40B4-BE49-F238E27FC236}">
              <a16:creationId xmlns:a16="http://schemas.microsoft.com/office/drawing/2014/main" id="{00000000-0008-0000-0100-00009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595" name="Drop Down 2" hidden="1">
          <a:extLst>
            <a:ext uri="{FF2B5EF4-FFF2-40B4-BE49-F238E27FC236}">
              <a16:creationId xmlns:a16="http://schemas.microsoft.com/office/drawing/2014/main" id="{00000000-0008-0000-0100-00009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596" name="Drop Down 1" hidden="1">
          <a:extLst>
            <a:ext uri="{FF2B5EF4-FFF2-40B4-BE49-F238E27FC236}">
              <a16:creationId xmlns:a16="http://schemas.microsoft.com/office/drawing/2014/main" id="{00000000-0008-0000-0100-00009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597" name="Drop Down -1022" hidden="1">
          <a:extLst>
            <a:ext uri="{FF2B5EF4-FFF2-40B4-BE49-F238E27FC236}">
              <a16:creationId xmlns:a16="http://schemas.microsoft.com/office/drawing/2014/main" id="{00000000-0008-0000-0100-00009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98" name="Drop Down 1" hidden="1">
          <a:extLst>
            <a:ext uri="{FF2B5EF4-FFF2-40B4-BE49-F238E27FC236}">
              <a16:creationId xmlns:a16="http://schemas.microsoft.com/office/drawing/2014/main" id="{00000000-0008-0000-0100-00009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599" name="Drop Down 1" hidden="1">
          <a:extLst>
            <a:ext uri="{FF2B5EF4-FFF2-40B4-BE49-F238E27FC236}">
              <a16:creationId xmlns:a16="http://schemas.microsoft.com/office/drawing/2014/main" id="{00000000-0008-0000-0100-00009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00" name="Drop Down 1" hidden="1">
          <a:extLst>
            <a:ext uri="{FF2B5EF4-FFF2-40B4-BE49-F238E27FC236}">
              <a16:creationId xmlns:a16="http://schemas.microsoft.com/office/drawing/2014/main" id="{00000000-0008-0000-0100-00009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01" name="Drop Down 1" hidden="1">
          <a:extLst>
            <a:ext uri="{FF2B5EF4-FFF2-40B4-BE49-F238E27FC236}">
              <a16:creationId xmlns:a16="http://schemas.microsoft.com/office/drawing/2014/main" id="{00000000-0008-0000-0100-00009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02" name="Drop Down 2" hidden="1">
          <a:extLst>
            <a:ext uri="{FF2B5EF4-FFF2-40B4-BE49-F238E27FC236}">
              <a16:creationId xmlns:a16="http://schemas.microsoft.com/office/drawing/2014/main" id="{00000000-0008-0000-0100-00009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03" name="Drop Down 1" hidden="1">
          <a:extLst>
            <a:ext uri="{FF2B5EF4-FFF2-40B4-BE49-F238E27FC236}">
              <a16:creationId xmlns:a16="http://schemas.microsoft.com/office/drawing/2014/main" id="{00000000-0008-0000-0100-00009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04" name="Drop Down -1022" hidden="1">
          <a:extLst>
            <a:ext uri="{FF2B5EF4-FFF2-40B4-BE49-F238E27FC236}">
              <a16:creationId xmlns:a16="http://schemas.microsoft.com/office/drawing/2014/main" id="{00000000-0008-0000-0100-00009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05" name="Drop Down 1" hidden="1">
          <a:extLst>
            <a:ext uri="{FF2B5EF4-FFF2-40B4-BE49-F238E27FC236}">
              <a16:creationId xmlns:a16="http://schemas.microsoft.com/office/drawing/2014/main" id="{00000000-0008-0000-0100-00009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06" name="Drop Down 1" hidden="1">
          <a:extLst>
            <a:ext uri="{FF2B5EF4-FFF2-40B4-BE49-F238E27FC236}">
              <a16:creationId xmlns:a16="http://schemas.microsoft.com/office/drawing/2014/main" id="{00000000-0008-0000-0100-00009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07" name="Drop Down 1" hidden="1">
          <a:extLst>
            <a:ext uri="{FF2B5EF4-FFF2-40B4-BE49-F238E27FC236}">
              <a16:creationId xmlns:a16="http://schemas.microsoft.com/office/drawing/2014/main" id="{00000000-0008-0000-0100-00009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08" name="Drop Down 1" hidden="1">
          <a:extLst>
            <a:ext uri="{FF2B5EF4-FFF2-40B4-BE49-F238E27FC236}">
              <a16:creationId xmlns:a16="http://schemas.microsoft.com/office/drawing/2014/main" id="{00000000-0008-0000-0100-0000A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09" name="Drop Down 2" hidden="1">
          <a:extLst>
            <a:ext uri="{FF2B5EF4-FFF2-40B4-BE49-F238E27FC236}">
              <a16:creationId xmlns:a16="http://schemas.microsoft.com/office/drawing/2014/main" id="{00000000-0008-0000-0100-0000A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10" name="Drop Down 1" hidden="1">
          <a:extLst>
            <a:ext uri="{FF2B5EF4-FFF2-40B4-BE49-F238E27FC236}">
              <a16:creationId xmlns:a16="http://schemas.microsoft.com/office/drawing/2014/main" id="{00000000-0008-0000-0100-0000A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11" name="Drop Down -1022" hidden="1">
          <a:extLst>
            <a:ext uri="{FF2B5EF4-FFF2-40B4-BE49-F238E27FC236}">
              <a16:creationId xmlns:a16="http://schemas.microsoft.com/office/drawing/2014/main" id="{00000000-0008-0000-0100-0000A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12" name="Drop Down 1" hidden="1">
          <a:extLst>
            <a:ext uri="{FF2B5EF4-FFF2-40B4-BE49-F238E27FC236}">
              <a16:creationId xmlns:a16="http://schemas.microsoft.com/office/drawing/2014/main" id="{00000000-0008-0000-0100-0000A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13" name="Drop Down 1" hidden="1">
          <a:extLst>
            <a:ext uri="{FF2B5EF4-FFF2-40B4-BE49-F238E27FC236}">
              <a16:creationId xmlns:a16="http://schemas.microsoft.com/office/drawing/2014/main" id="{00000000-0008-0000-0100-0000A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14" name="Drop Down 1" hidden="1">
          <a:extLst>
            <a:ext uri="{FF2B5EF4-FFF2-40B4-BE49-F238E27FC236}">
              <a16:creationId xmlns:a16="http://schemas.microsoft.com/office/drawing/2014/main" id="{00000000-0008-0000-0100-0000A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15" name="Drop Down 1" hidden="1">
          <a:extLst>
            <a:ext uri="{FF2B5EF4-FFF2-40B4-BE49-F238E27FC236}">
              <a16:creationId xmlns:a16="http://schemas.microsoft.com/office/drawing/2014/main" id="{00000000-0008-0000-0100-0000A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16" name="Drop Down 2" hidden="1">
          <a:extLst>
            <a:ext uri="{FF2B5EF4-FFF2-40B4-BE49-F238E27FC236}">
              <a16:creationId xmlns:a16="http://schemas.microsoft.com/office/drawing/2014/main" id="{00000000-0008-0000-0100-0000A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17" name="Drop Down 1" hidden="1">
          <a:extLst>
            <a:ext uri="{FF2B5EF4-FFF2-40B4-BE49-F238E27FC236}">
              <a16:creationId xmlns:a16="http://schemas.microsoft.com/office/drawing/2014/main" id="{00000000-0008-0000-0100-0000A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18" name="Drop Down -1022" hidden="1">
          <a:extLst>
            <a:ext uri="{FF2B5EF4-FFF2-40B4-BE49-F238E27FC236}">
              <a16:creationId xmlns:a16="http://schemas.microsoft.com/office/drawing/2014/main" id="{00000000-0008-0000-0100-0000A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19" name="Drop Down 1" hidden="1">
          <a:extLst>
            <a:ext uri="{FF2B5EF4-FFF2-40B4-BE49-F238E27FC236}">
              <a16:creationId xmlns:a16="http://schemas.microsoft.com/office/drawing/2014/main" id="{00000000-0008-0000-0100-0000A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20" name="Drop Down 1" hidden="1">
          <a:extLst>
            <a:ext uri="{FF2B5EF4-FFF2-40B4-BE49-F238E27FC236}">
              <a16:creationId xmlns:a16="http://schemas.microsoft.com/office/drawing/2014/main" id="{00000000-0008-0000-0100-0000A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21" name="Drop Down 1" hidden="1">
          <a:extLst>
            <a:ext uri="{FF2B5EF4-FFF2-40B4-BE49-F238E27FC236}">
              <a16:creationId xmlns:a16="http://schemas.microsoft.com/office/drawing/2014/main" id="{00000000-0008-0000-0100-0000A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22" name="Drop Down 1" hidden="1">
          <a:extLst>
            <a:ext uri="{FF2B5EF4-FFF2-40B4-BE49-F238E27FC236}">
              <a16:creationId xmlns:a16="http://schemas.microsoft.com/office/drawing/2014/main" id="{00000000-0008-0000-0100-0000A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23" name="Drop Down 2" hidden="1">
          <a:extLst>
            <a:ext uri="{FF2B5EF4-FFF2-40B4-BE49-F238E27FC236}">
              <a16:creationId xmlns:a16="http://schemas.microsoft.com/office/drawing/2014/main" id="{00000000-0008-0000-0100-0000A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24" name="Drop Down 1" hidden="1">
          <a:extLst>
            <a:ext uri="{FF2B5EF4-FFF2-40B4-BE49-F238E27FC236}">
              <a16:creationId xmlns:a16="http://schemas.microsoft.com/office/drawing/2014/main" id="{00000000-0008-0000-0100-0000B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25" name="Drop Down -1022" hidden="1">
          <a:extLst>
            <a:ext uri="{FF2B5EF4-FFF2-40B4-BE49-F238E27FC236}">
              <a16:creationId xmlns:a16="http://schemas.microsoft.com/office/drawing/2014/main" id="{00000000-0008-0000-0100-0000B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26" name="Drop Down 1" hidden="1">
          <a:extLst>
            <a:ext uri="{FF2B5EF4-FFF2-40B4-BE49-F238E27FC236}">
              <a16:creationId xmlns:a16="http://schemas.microsoft.com/office/drawing/2014/main" id="{00000000-0008-0000-0100-0000B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27" name="Drop Down 1" hidden="1">
          <a:extLst>
            <a:ext uri="{FF2B5EF4-FFF2-40B4-BE49-F238E27FC236}">
              <a16:creationId xmlns:a16="http://schemas.microsoft.com/office/drawing/2014/main" id="{00000000-0008-0000-0100-0000B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28" name="Drop Down 1" hidden="1">
          <a:extLst>
            <a:ext uri="{FF2B5EF4-FFF2-40B4-BE49-F238E27FC236}">
              <a16:creationId xmlns:a16="http://schemas.microsoft.com/office/drawing/2014/main" id="{00000000-0008-0000-0100-0000B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29" name="Drop Down 1" hidden="1">
          <a:extLst>
            <a:ext uri="{FF2B5EF4-FFF2-40B4-BE49-F238E27FC236}">
              <a16:creationId xmlns:a16="http://schemas.microsoft.com/office/drawing/2014/main" id="{00000000-0008-0000-0100-0000B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30" name="Drop Down 2" hidden="1">
          <a:extLst>
            <a:ext uri="{FF2B5EF4-FFF2-40B4-BE49-F238E27FC236}">
              <a16:creationId xmlns:a16="http://schemas.microsoft.com/office/drawing/2014/main" id="{00000000-0008-0000-0100-0000B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31" name="Drop Down 1" hidden="1">
          <a:extLst>
            <a:ext uri="{FF2B5EF4-FFF2-40B4-BE49-F238E27FC236}">
              <a16:creationId xmlns:a16="http://schemas.microsoft.com/office/drawing/2014/main" id="{00000000-0008-0000-0100-0000B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32" name="Drop Down -1022" hidden="1">
          <a:extLst>
            <a:ext uri="{FF2B5EF4-FFF2-40B4-BE49-F238E27FC236}">
              <a16:creationId xmlns:a16="http://schemas.microsoft.com/office/drawing/2014/main" id="{00000000-0008-0000-0100-0000B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33" name="Drop Down 1" hidden="1">
          <a:extLst>
            <a:ext uri="{FF2B5EF4-FFF2-40B4-BE49-F238E27FC236}">
              <a16:creationId xmlns:a16="http://schemas.microsoft.com/office/drawing/2014/main" id="{00000000-0008-0000-0100-0000B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34" name="Drop Down 1" hidden="1">
          <a:extLst>
            <a:ext uri="{FF2B5EF4-FFF2-40B4-BE49-F238E27FC236}">
              <a16:creationId xmlns:a16="http://schemas.microsoft.com/office/drawing/2014/main" id="{00000000-0008-0000-0100-0000B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35" name="Drop Down 1" hidden="1">
          <a:extLst>
            <a:ext uri="{FF2B5EF4-FFF2-40B4-BE49-F238E27FC236}">
              <a16:creationId xmlns:a16="http://schemas.microsoft.com/office/drawing/2014/main" id="{00000000-0008-0000-0100-0000B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36" name="Drop Down 1" hidden="1">
          <a:extLst>
            <a:ext uri="{FF2B5EF4-FFF2-40B4-BE49-F238E27FC236}">
              <a16:creationId xmlns:a16="http://schemas.microsoft.com/office/drawing/2014/main" id="{00000000-0008-0000-0100-0000B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37" name="Drop Down 2" hidden="1">
          <a:extLst>
            <a:ext uri="{FF2B5EF4-FFF2-40B4-BE49-F238E27FC236}">
              <a16:creationId xmlns:a16="http://schemas.microsoft.com/office/drawing/2014/main" id="{00000000-0008-0000-0100-0000B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38" name="Drop Down 1" hidden="1">
          <a:extLst>
            <a:ext uri="{FF2B5EF4-FFF2-40B4-BE49-F238E27FC236}">
              <a16:creationId xmlns:a16="http://schemas.microsoft.com/office/drawing/2014/main" id="{00000000-0008-0000-0100-0000B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39" name="Drop Down -1022" hidden="1">
          <a:extLst>
            <a:ext uri="{FF2B5EF4-FFF2-40B4-BE49-F238E27FC236}">
              <a16:creationId xmlns:a16="http://schemas.microsoft.com/office/drawing/2014/main" id="{00000000-0008-0000-0100-0000B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40" name="Drop Down 1" hidden="1">
          <a:extLst>
            <a:ext uri="{FF2B5EF4-FFF2-40B4-BE49-F238E27FC236}">
              <a16:creationId xmlns:a16="http://schemas.microsoft.com/office/drawing/2014/main" id="{00000000-0008-0000-0100-0000C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41" name="Drop Down 1" hidden="1">
          <a:extLst>
            <a:ext uri="{FF2B5EF4-FFF2-40B4-BE49-F238E27FC236}">
              <a16:creationId xmlns:a16="http://schemas.microsoft.com/office/drawing/2014/main" id="{00000000-0008-0000-0100-0000C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42" name="Drop Down 1" hidden="1">
          <a:extLst>
            <a:ext uri="{FF2B5EF4-FFF2-40B4-BE49-F238E27FC236}">
              <a16:creationId xmlns:a16="http://schemas.microsoft.com/office/drawing/2014/main" id="{00000000-0008-0000-0100-0000C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43" name="Drop Down 1" hidden="1">
          <a:extLst>
            <a:ext uri="{FF2B5EF4-FFF2-40B4-BE49-F238E27FC236}">
              <a16:creationId xmlns:a16="http://schemas.microsoft.com/office/drawing/2014/main" id="{00000000-0008-0000-0100-0000C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44" name="Drop Down 2" hidden="1">
          <a:extLst>
            <a:ext uri="{FF2B5EF4-FFF2-40B4-BE49-F238E27FC236}">
              <a16:creationId xmlns:a16="http://schemas.microsoft.com/office/drawing/2014/main" id="{00000000-0008-0000-0100-0000C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45" name="Drop Down 1" hidden="1">
          <a:extLst>
            <a:ext uri="{FF2B5EF4-FFF2-40B4-BE49-F238E27FC236}">
              <a16:creationId xmlns:a16="http://schemas.microsoft.com/office/drawing/2014/main" id="{00000000-0008-0000-0100-0000C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46" name="Drop Down -1022" hidden="1">
          <a:extLst>
            <a:ext uri="{FF2B5EF4-FFF2-40B4-BE49-F238E27FC236}">
              <a16:creationId xmlns:a16="http://schemas.microsoft.com/office/drawing/2014/main" id="{00000000-0008-0000-0100-0000C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47" name="Drop Down 1" hidden="1">
          <a:extLst>
            <a:ext uri="{FF2B5EF4-FFF2-40B4-BE49-F238E27FC236}">
              <a16:creationId xmlns:a16="http://schemas.microsoft.com/office/drawing/2014/main" id="{00000000-0008-0000-0100-0000C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48" name="Drop Down 1" hidden="1">
          <a:extLst>
            <a:ext uri="{FF2B5EF4-FFF2-40B4-BE49-F238E27FC236}">
              <a16:creationId xmlns:a16="http://schemas.microsoft.com/office/drawing/2014/main" id="{00000000-0008-0000-0100-0000C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49" name="Drop Down 1" hidden="1">
          <a:extLst>
            <a:ext uri="{FF2B5EF4-FFF2-40B4-BE49-F238E27FC236}">
              <a16:creationId xmlns:a16="http://schemas.microsoft.com/office/drawing/2014/main" id="{00000000-0008-0000-0100-0000C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50" name="Drop Down 1" hidden="1">
          <a:extLst>
            <a:ext uri="{FF2B5EF4-FFF2-40B4-BE49-F238E27FC236}">
              <a16:creationId xmlns:a16="http://schemas.microsoft.com/office/drawing/2014/main" id="{00000000-0008-0000-0100-0000C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51" name="Drop Down 2" hidden="1">
          <a:extLst>
            <a:ext uri="{FF2B5EF4-FFF2-40B4-BE49-F238E27FC236}">
              <a16:creationId xmlns:a16="http://schemas.microsoft.com/office/drawing/2014/main" id="{00000000-0008-0000-0100-0000C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52" name="Drop Down 1" hidden="1">
          <a:extLst>
            <a:ext uri="{FF2B5EF4-FFF2-40B4-BE49-F238E27FC236}">
              <a16:creationId xmlns:a16="http://schemas.microsoft.com/office/drawing/2014/main" id="{00000000-0008-0000-0100-0000C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53" name="Drop Down -1022" hidden="1">
          <a:extLst>
            <a:ext uri="{FF2B5EF4-FFF2-40B4-BE49-F238E27FC236}">
              <a16:creationId xmlns:a16="http://schemas.microsoft.com/office/drawing/2014/main" id="{00000000-0008-0000-0100-0000C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54" name="Drop Down 1" hidden="1">
          <a:extLst>
            <a:ext uri="{FF2B5EF4-FFF2-40B4-BE49-F238E27FC236}">
              <a16:creationId xmlns:a16="http://schemas.microsoft.com/office/drawing/2014/main" id="{00000000-0008-0000-0100-0000C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55" name="Drop Down 1" hidden="1">
          <a:extLst>
            <a:ext uri="{FF2B5EF4-FFF2-40B4-BE49-F238E27FC236}">
              <a16:creationId xmlns:a16="http://schemas.microsoft.com/office/drawing/2014/main" id="{00000000-0008-0000-0100-0000C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56" name="Drop Down 1" hidden="1">
          <a:extLst>
            <a:ext uri="{FF2B5EF4-FFF2-40B4-BE49-F238E27FC236}">
              <a16:creationId xmlns:a16="http://schemas.microsoft.com/office/drawing/2014/main" id="{00000000-0008-0000-0100-0000D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57" name="Drop Down 1" hidden="1">
          <a:extLst>
            <a:ext uri="{FF2B5EF4-FFF2-40B4-BE49-F238E27FC236}">
              <a16:creationId xmlns:a16="http://schemas.microsoft.com/office/drawing/2014/main" id="{00000000-0008-0000-0100-0000D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58" name="Drop Down 2" hidden="1">
          <a:extLst>
            <a:ext uri="{FF2B5EF4-FFF2-40B4-BE49-F238E27FC236}">
              <a16:creationId xmlns:a16="http://schemas.microsoft.com/office/drawing/2014/main" id="{00000000-0008-0000-0100-0000D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59" name="Drop Down 1" hidden="1">
          <a:extLst>
            <a:ext uri="{FF2B5EF4-FFF2-40B4-BE49-F238E27FC236}">
              <a16:creationId xmlns:a16="http://schemas.microsoft.com/office/drawing/2014/main" id="{00000000-0008-0000-0100-0000D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60" name="Drop Down -1022" hidden="1">
          <a:extLst>
            <a:ext uri="{FF2B5EF4-FFF2-40B4-BE49-F238E27FC236}">
              <a16:creationId xmlns:a16="http://schemas.microsoft.com/office/drawing/2014/main" id="{00000000-0008-0000-0100-0000D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61" name="Drop Down 1" hidden="1">
          <a:extLst>
            <a:ext uri="{FF2B5EF4-FFF2-40B4-BE49-F238E27FC236}">
              <a16:creationId xmlns:a16="http://schemas.microsoft.com/office/drawing/2014/main" id="{00000000-0008-0000-0100-0000D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62" name="Drop Down 1" hidden="1">
          <a:extLst>
            <a:ext uri="{FF2B5EF4-FFF2-40B4-BE49-F238E27FC236}">
              <a16:creationId xmlns:a16="http://schemas.microsoft.com/office/drawing/2014/main" id="{00000000-0008-0000-0100-0000D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63" name="Drop Down 1" hidden="1">
          <a:extLst>
            <a:ext uri="{FF2B5EF4-FFF2-40B4-BE49-F238E27FC236}">
              <a16:creationId xmlns:a16="http://schemas.microsoft.com/office/drawing/2014/main" id="{00000000-0008-0000-0100-0000D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64" name="Drop Down 1" hidden="1">
          <a:extLst>
            <a:ext uri="{FF2B5EF4-FFF2-40B4-BE49-F238E27FC236}">
              <a16:creationId xmlns:a16="http://schemas.microsoft.com/office/drawing/2014/main" id="{00000000-0008-0000-0100-0000D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65" name="Drop Down 2" hidden="1">
          <a:extLst>
            <a:ext uri="{FF2B5EF4-FFF2-40B4-BE49-F238E27FC236}">
              <a16:creationId xmlns:a16="http://schemas.microsoft.com/office/drawing/2014/main" id="{00000000-0008-0000-0100-0000D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66" name="Drop Down 1" hidden="1">
          <a:extLst>
            <a:ext uri="{FF2B5EF4-FFF2-40B4-BE49-F238E27FC236}">
              <a16:creationId xmlns:a16="http://schemas.microsoft.com/office/drawing/2014/main" id="{00000000-0008-0000-0100-0000D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67" name="Drop Down -1022" hidden="1">
          <a:extLst>
            <a:ext uri="{FF2B5EF4-FFF2-40B4-BE49-F238E27FC236}">
              <a16:creationId xmlns:a16="http://schemas.microsoft.com/office/drawing/2014/main" id="{00000000-0008-0000-0100-0000D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668" name="Drop Down 1" hidden="1">
          <a:extLst>
            <a:ext uri="{FF2B5EF4-FFF2-40B4-BE49-F238E27FC236}">
              <a16:creationId xmlns:a16="http://schemas.microsoft.com/office/drawing/2014/main" id="{00000000-0008-0000-0100-0000D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669" name="Drop Down 1" hidden="1">
          <a:extLst>
            <a:ext uri="{FF2B5EF4-FFF2-40B4-BE49-F238E27FC236}">
              <a16:creationId xmlns:a16="http://schemas.microsoft.com/office/drawing/2014/main" id="{00000000-0008-0000-0100-0000D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670" name="Drop Down 1" hidden="1">
          <a:extLst>
            <a:ext uri="{FF2B5EF4-FFF2-40B4-BE49-F238E27FC236}">
              <a16:creationId xmlns:a16="http://schemas.microsoft.com/office/drawing/2014/main" id="{00000000-0008-0000-0100-0000D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671" name="Drop Down 1" hidden="1">
          <a:extLst>
            <a:ext uri="{FF2B5EF4-FFF2-40B4-BE49-F238E27FC236}">
              <a16:creationId xmlns:a16="http://schemas.microsoft.com/office/drawing/2014/main" id="{00000000-0008-0000-0100-0000D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672" name="Drop Down 2" hidden="1">
          <a:extLst>
            <a:ext uri="{FF2B5EF4-FFF2-40B4-BE49-F238E27FC236}">
              <a16:creationId xmlns:a16="http://schemas.microsoft.com/office/drawing/2014/main" id="{00000000-0008-0000-0100-0000E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673" name="Drop Down 1" hidden="1">
          <a:extLst>
            <a:ext uri="{FF2B5EF4-FFF2-40B4-BE49-F238E27FC236}">
              <a16:creationId xmlns:a16="http://schemas.microsoft.com/office/drawing/2014/main" id="{00000000-0008-0000-0100-0000E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674" name="Drop Down -1022" hidden="1">
          <a:extLst>
            <a:ext uri="{FF2B5EF4-FFF2-40B4-BE49-F238E27FC236}">
              <a16:creationId xmlns:a16="http://schemas.microsoft.com/office/drawing/2014/main" id="{00000000-0008-0000-0100-0000E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675" name="Drop Down 1" hidden="1">
          <a:extLst>
            <a:ext uri="{FF2B5EF4-FFF2-40B4-BE49-F238E27FC236}">
              <a16:creationId xmlns:a16="http://schemas.microsoft.com/office/drawing/2014/main" id="{00000000-0008-0000-0100-0000E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676" name="Drop Down 1" hidden="1">
          <a:extLst>
            <a:ext uri="{FF2B5EF4-FFF2-40B4-BE49-F238E27FC236}">
              <a16:creationId xmlns:a16="http://schemas.microsoft.com/office/drawing/2014/main" id="{00000000-0008-0000-0100-0000E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677" name="Drop Down 1" hidden="1">
          <a:extLst>
            <a:ext uri="{FF2B5EF4-FFF2-40B4-BE49-F238E27FC236}">
              <a16:creationId xmlns:a16="http://schemas.microsoft.com/office/drawing/2014/main" id="{00000000-0008-0000-0100-0000E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678" name="Drop Down 1" hidden="1">
          <a:extLst>
            <a:ext uri="{FF2B5EF4-FFF2-40B4-BE49-F238E27FC236}">
              <a16:creationId xmlns:a16="http://schemas.microsoft.com/office/drawing/2014/main" id="{00000000-0008-0000-0100-0000E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679" name="Drop Down 2" hidden="1">
          <a:extLst>
            <a:ext uri="{FF2B5EF4-FFF2-40B4-BE49-F238E27FC236}">
              <a16:creationId xmlns:a16="http://schemas.microsoft.com/office/drawing/2014/main" id="{00000000-0008-0000-0100-0000E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680" name="Drop Down 1" hidden="1">
          <a:extLst>
            <a:ext uri="{FF2B5EF4-FFF2-40B4-BE49-F238E27FC236}">
              <a16:creationId xmlns:a16="http://schemas.microsoft.com/office/drawing/2014/main" id="{00000000-0008-0000-0100-0000E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681" name="Drop Down -1022" hidden="1">
          <a:extLst>
            <a:ext uri="{FF2B5EF4-FFF2-40B4-BE49-F238E27FC236}">
              <a16:creationId xmlns:a16="http://schemas.microsoft.com/office/drawing/2014/main" id="{00000000-0008-0000-0100-0000E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82" name="Drop Down 1" hidden="1">
          <a:extLst>
            <a:ext uri="{FF2B5EF4-FFF2-40B4-BE49-F238E27FC236}">
              <a16:creationId xmlns:a16="http://schemas.microsoft.com/office/drawing/2014/main" id="{00000000-0008-0000-0100-0000E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83" name="Drop Down 1" hidden="1">
          <a:extLst>
            <a:ext uri="{FF2B5EF4-FFF2-40B4-BE49-F238E27FC236}">
              <a16:creationId xmlns:a16="http://schemas.microsoft.com/office/drawing/2014/main" id="{00000000-0008-0000-0100-0000E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84" name="Drop Down 1" hidden="1">
          <a:extLst>
            <a:ext uri="{FF2B5EF4-FFF2-40B4-BE49-F238E27FC236}">
              <a16:creationId xmlns:a16="http://schemas.microsoft.com/office/drawing/2014/main" id="{00000000-0008-0000-0100-0000E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85" name="Drop Down 1" hidden="1">
          <a:extLst>
            <a:ext uri="{FF2B5EF4-FFF2-40B4-BE49-F238E27FC236}">
              <a16:creationId xmlns:a16="http://schemas.microsoft.com/office/drawing/2014/main" id="{00000000-0008-0000-0100-0000E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86" name="Drop Down 2" hidden="1">
          <a:extLst>
            <a:ext uri="{FF2B5EF4-FFF2-40B4-BE49-F238E27FC236}">
              <a16:creationId xmlns:a16="http://schemas.microsoft.com/office/drawing/2014/main" id="{00000000-0008-0000-0100-0000E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87" name="Drop Down 1" hidden="1">
          <a:extLst>
            <a:ext uri="{FF2B5EF4-FFF2-40B4-BE49-F238E27FC236}">
              <a16:creationId xmlns:a16="http://schemas.microsoft.com/office/drawing/2014/main" id="{00000000-0008-0000-0100-0000E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88" name="Drop Down -1022" hidden="1">
          <a:extLst>
            <a:ext uri="{FF2B5EF4-FFF2-40B4-BE49-F238E27FC236}">
              <a16:creationId xmlns:a16="http://schemas.microsoft.com/office/drawing/2014/main" id="{00000000-0008-0000-0100-0000F0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89" name="Drop Down 1" hidden="1">
          <a:extLst>
            <a:ext uri="{FF2B5EF4-FFF2-40B4-BE49-F238E27FC236}">
              <a16:creationId xmlns:a16="http://schemas.microsoft.com/office/drawing/2014/main" id="{00000000-0008-0000-0100-0000F1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90" name="Drop Down 1" hidden="1">
          <a:extLst>
            <a:ext uri="{FF2B5EF4-FFF2-40B4-BE49-F238E27FC236}">
              <a16:creationId xmlns:a16="http://schemas.microsoft.com/office/drawing/2014/main" id="{00000000-0008-0000-0100-0000F2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91" name="Drop Down 1" hidden="1">
          <a:extLst>
            <a:ext uri="{FF2B5EF4-FFF2-40B4-BE49-F238E27FC236}">
              <a16:creationId xmlns:a16="http://schemas.microsoft.com/office/drawing/2014/main" id="{00000000-0008-0000-0100-0000F3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92" name="Drop Down 1" hidden="1">
          <a:extLst>
            <a:ext uri="{FF2B5EF4-FFF2-40B4-BE49-F238E27FC236}">
              <a16:creationId xmlns:a16="http://schemas.microsoft.com/office/drawing/2014/main" id="{00000000-0008-0000-0100-0000F4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93" name="Drop Down 2" hidden="1">
          <a:extLst>
            <a:ext uri="{FF2B5EF4-FFF2-40B4-BE49-F238E27FC236}">
              <a16:creationId xmlns:a16="http://schemas.microsoft.com/office/drawing/2014/main" id="{00000000-0008-0000-0100-0000F5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94" name="Drop Down 1" hidden="1">
          <a:extLst>
            <a:ext uri="{FF2B5EF4-FFF2-40B4-BE49-F238E27FC236}">
              <a16:creationId xmlns:a16="http://schemas.microsoft.com/office/drawing/2014/main" id="{00000000-0008-0000-0100-0000F6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695" name="Drop Down -1022" hidden="1">
          <a:extLst>
            <a:ext uri="{FF2B5EF4-FFF2-40B4-BE49-F238E27FC236}">
              <a16:creationId xmlns:a16="http://schemas.microsoft.com/office/drawing/2014/main" id="{00000000-0008-0000-0100-0000F7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96" name="Drop Down 1" hidden="1">
          <a:extLst>
            <a:ext uri="{FF2B5EF4-FFF2-40B4-BE49-F238E27FC236}">
              <a16:creationId xmlns:a16="http://schemas.microsoft.com/office/drawing/2014/main" id="{00000000-0008-0000-0100-0000F8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97" name="Drop Down 1" hidden="1">
          <a:extLst>
            <a:ext uri="{FF2B5EF4-FFF2-40B4-BE49-F238E27FC236}">
              <a16:creationId xmlns:a16="http://schemas.microsoft.com/office/drawing/2014/main" id="{00000000-0008-0000-0100-0000F9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98" name="Drop Down 1" hidden="1">
          <a:extLst>
            <a:ext uri="{FF2B5EF4-FFF2-40B4-BE49-F238E27FC236}">
              <a16:creationId xmlns:a16="http://schemas.microsoft.com/office/drawing/2014/main" id="{00000000-0008-0000-0100-0000FA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699" name="Drop Down 1" hidden="1">
          <a:extLst>
            <a:ext uri="{FF2B5EF4-FFF2-40B4-BE49-F238E27FC236}">
              <a16:creationId xmlns:a16="http://schemas.microsoft.com/office/drawing/2014/main" id="{00000000-0008-0000-0100-0000FB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00" name="Drop Down 2" hidden="1">
          <a:extLst>
            <a:ext uri="{FF2B5EF4-FFF2-40B4-BE49-F238E27FC236}">
              <a16:creationId xmlns:a16="http://schemas.microsoft.com/office/drawing/2014/main" id="{00000000-0008-0000-0100-0000FC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01" name="Drop Down 1" hidden="1">
          <a:extLst>
            <a:ext uri="{FF2B5EF4-FFF2-40B4-BE49-F238E27FC236}">
              <a16:creationId xmlns:a16="http://schemas.microsoft.com/office/drawing/2014/main" id="{00000000-0008-0000-0100-0000FD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02" name="Drop Down -1022" hidden="1">
          <a:extLst>
            <a:ext uri="{FF2B5EF4-FFF2-40B4-BE49-F238E27FC236}">
              <a16:creationId xmlns:a16="http://schemas.microsoft.com/office/drawing/2014/main" id="{00000000-0008-0000-0100-0000FE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03" name="Drop Down 1" hidden="1">
          <a:extLst>
            <a:ext uri="{FF2B5EF4-FFF2-40B4-BE49-F238E27FC236}">
              <a16:creationId xmlns:a16="http://schemas.microsoft.com/office/drawing/2014/main" id="{00000000-0008-0000-0100-0000FF21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04" name="Drop Down 1" hidden="1">
          <a:extLst>
            <a:ext uri="{FF2B5EF4-FFF2-40B4-BE49-F238E27FC236}">
              <a16:creationId xmlns:a16="http://schemas.microsoft.com/office/drawing/2014/main" id="{00000000-0008-0000-0100-00000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05" name="Drop Down 1" hidden="1">
          <a:extLst>
            <a:ext uri="{FF2B5EF4-FFF2-40B4-BE49-F238E27FC236}">
              <a16:creationId xmlns:a16="http://schemas.microsoft.com/office/drawing/2014/main" id="{00000000-0008-0000-0100-00000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06" name="Drop Down 1" hidden="1">
          <a:extLst>
            <a:ext uri="{FF2B5EF4-FFF2-40B4-BE49-F238E27FC236}">
              <a16:creationId xmlns:a16="http://schemas.microsoft.com/office/drawing/2014/main" id="{00000000-0008-0000-0100-00000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07" name="Drop Down 2" hidden="1">
          <a:extLst>
            <a:ext uri="{FF2B5EF4-FFF2-40B4-BE49-F238E27FC236}">
              <a16:creationId xmlns:a16="http://schemas.microsoft.com/office/drawing/2014/main" id="{00000000-0008-0000-0100-00000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08" name="Drop Down 1" hidden="1">
          <a:extLst>
            <a:ext uri="{FF2B5EF4-FFF2-40B4-BE49-F238E27FC236}">
              <a16:creationId xmlns:a16="http://schemas.microsoft.com/office/drawing/2014/main" id="{00000000-0008-0000-0100-00000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09" name="Drop Down -1022" hidden="1">
          <a:extLst>
            <a:ext uri="{FF2B5EF4-FFF2-40B4-BE49-F238E27FC236}">
              <a16:creationId xmlns:a16="http://schemas.microsoft.com/office/drawing/2014/main" id="{00000000-0008-0000-0100-00000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10" name="Drop Down 1" hidden="1">
          <a:extLst>
            <a:ext uri="{FF2B5EF4-FFF2-40B4-BE49-F238E27FC236}">
              <a16:creationId xmlns:a16="http://schemas.microsoft.com/office/drawing/2014/main" id="{00000000-0008-0000-0100-00000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11" name="Drop Down 1" hidden="1">
          <a:extLst>
            <a:ext uri="{FF2B5EF4-FFF2-40B4-BE49-F238E27FC236}">
              <a16:creationId xmlns:a16="http://schemas.microsoft.com/office/drawing/2014/main" id="{00000000-0008-0000-0100-00000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12" name="Drop Down 1" hidden="1">
          <a:extLst>
            <a:ext uri="{FF2B5EF4-FFF2-40B4-BE49-F238E27FC236}">
              <a16:creationId xmlns:a16="http://schemas.microsoft.com/office/drawing/2014/main" id="{00000000-0008-0000-0100-00000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13" name="Drop Down 1" hidden="1">
          <a:extLst>
            <a:ext uri="{FF2B5EF4-FFF2-40B4-BE49-F238E27FC236}">
              <a16:creationId xmlns:a16="http://schemas.microsoft.com/office/drawing/2014/main" id="{00000000-0008-0000-0100-00000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14" name="Drop Down 2" hidden="1">
          <a:extLst>
            <a:ext uri="{FF2B5EF4-FFF2-40B4-BE49-F238E27FC236}">
              <a16:creationId xmlns:a16="http://schemas.microsoft.com/office/drawing/2014/main" id="{00000000-0008-0000-0100-00000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15" name="Drop Down 1" hidden="1">
          <a:extLst>
            <a:ext uri="{FF2B5EF4-FFF2-40B4-BE49-F238E27FC236}">
              <a16:creationId xmlns:a16="http://schemas.microsoft.com/office/drawing/2014/main" id="{00000000-0008-0000-0100-00000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16" name="Drop Down -1022" hidden="1">
          <a:extLst>
            <a:ext uri="{FF2B5EF4-FFF2-40B4-BE49-F238E27FC236}">
              <a16:creationId xmlns:a16="http://schemas.microsoft.com/office/drawing/2014/main" id="{00000000-0008-0000-0100-00000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17" name="Drop Down 1" hidden="1">
          <a:extLst>
            <a:ext uri="{FF2B5EF4-FFF2-40B4-BE49-F238E27FC236}">
              <a16:creationId xmlns:a16="http://schemas.microsoft.com/office/drawing/2014/main" id="{00000000-0008-0000-0100-00000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18" name="Drop Down 1" hidden="1">
          <a:extLst>
            <a:ext uri="{FF2B5EF4-FFF2-40B4-BE49-F238E27FC236}">
              <a16:creationId xmlns:a16="http://schemas.microsoft.com/office/drawing/2014/main" id="{00000000-0008-0000-0100-00000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19" name="Drop Down 1" hidden="1">
          <a:extLst>
            <a:ext uri="{FF2B5EF4-FFF2-40B4-BE49-F238E27FC236}">
              <a16:creationId xmlns:a16="http://schemas.microsoft.com/office/drawing/2014/main" id="{00000000-0008-0000-0100-00000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20" name="Drop Down 1" hidden="1">
          <a:extLst>
            <a:ext uri="{FF2B5EF4-FFF2-40B4-BE49-F238E27FC236}">
              <a16:creationId xmlns:a16="http://schemas.microsoft.com/office/drawing/2014/main" id="{00000000-0008-0000-0100-00001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21" name="Drop Down 2" hidden="1">
          <a:extLst>
            <a:ext uri="{FF2B5EF4-FFF2-40B4-BE49-F238E27FC236}">
              <a16:creationId xmlns:a16="http://schemas.microsoft.com/office/drawing/2014/main" id="{00000000-0008-0000-0100-00001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22" name="Drop Down 1" hidden="1">
          <a:extLst>
            <a:ext uri="{FF2B5EF4-FFF2-40B4-BE49-F238E27FC236}">
              <a16:creationId xmlns:a16="http://schemas.microsoft.com/office/drawing/2014/main" id="{00000000-0008-0000-0100-00001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23" name="Drop Down -1022" hidden="1">
          <a:extLst>
            <a:ext uri="{FF2B5EF4-FFF2-40B4-BE49-F238E27FC236}">
              <a16:creationId xmlns:a16="http://schemas.microsoft.com/office/drawing/2014/main" id="{00000000-0008-0000-0100-00001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24" name="Drop Down 1" hidden="1">
          <a:extLst>
            <a:ext uri="{FF2B5EF4-FFF2-40B4-BE49-F238E27FC236}">
              <a16:creationId xmlns:a16="http://schemas.microsoft.com/office/drawing/2014/main" id="{00000000-0008-0000-0100-00001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25" name="Drop Down 1" hidden="1">
          <a:extLst>
            <a:ext uri="{FF2B5EF4-FFF2-40B4-BE49-F238E27FC236}">
              <a16:creationId xmlns:a16="http://schemas.microsoft.com/office/drawing/2014/main" id="{00000000-0008-0000-0100-00001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26" name="Drop Down 1" hidden="1">
          <a:extLst>
            <a:ext uri="{FF2B5EF4-FFF2-40B4-BE49-F238E27FC236}">
              <a16:creationId xmlns:a16="http://schemas.microsoft.com/office/drawing/2014/main" id="{00000000-0008-0000-0100-00001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27" name="Drop Down 1" hidden="1">
          <a:extLst>
            <a:ext uri="{FF2B5EF4-FFF2-40B4-BE49-F238E27FC236}">
              <a16:creationId xmlns:a16="http://schemas.microsoft.com/office/drawing/2014/main" id="{00000000-0008-0000-0100-00001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28" name="Drop Down 2" hidden="1">
          <a:extLst>
            <a:ext uri="{FF2B5EF4-FFF2-40B4-BE49-F238E27FC236}">
              <a16:creationId xmlns:a16="http://schemas.microsoft.com/office/drawing/2014/main" id="{00000000-0008-0000-0100-00001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29" name="Drop Down 1" hidden="1">
          <a:extLst>
            <a:ext uri="{FF2B5EF4-FFF2-40B4-BE49-F238E27FC236}">
              <a16:creationId xmlns:a16="http://schemas.microsoft.com/office/drawing/2014/main" id="{00000000-0008-0000-0100-00001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30" name="Drop Down -1022" hidden="1">
          <a:extLst>
            <a:ext uri="{FF2B5EF4-FFF2-40B4-BE49-F238E27FC236}">
              <a16:creationId xmlns:a16="http://schemas.microsoft.com/office/drawing/2014/main" id="{00000000-0008-0000-0100-00001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31" name="Drop Down 1" hidden="1">
          <a:extLst>
            <a:ext uri="{FF2B5EF4-FFF2-40B4-BE49-F238E27FC236}">
              <a16:creationId xmlns:a16="http://schemas.microsoft.com/office/drawing/2014/main" id="{00000000-0008-0000-0100-00001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32" name="Drop Down 1" hidden="1">
          <a:extLst>
            <a:ext uri="{FF2B5EF4-FFF2-40B4-BE49-F238E27FC236}">
              <a16:creationId xmlns:a16="http://schemas.microsoft.com/office/drawing/2014/main" id="{00000000-0008-0000-0100-00001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33" name="Drop Down 1" hidden="1">
          <a:extLst>
            <a:ext uri="{FF2B5EF4-FFF2-40B4-BE49-F238E27FC236}">
              <a16:creationId xmlns:a16="http://schemas.microsoft.com/office/drawing/2014/main" id="{00000000-0008-0000-0100-00001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34" name="Drop Down 1" hidden="1">
          <a:extLst>
            <a:ext uri="{FF2B5EF4-FFF2-40B4-BE49-F238E27FC236}">
              <a16:creationId xmlns:a16="http://schemas.microsoft.com/office/drawing/2014/main" id="{00000000-0008-0000-0100-00001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35" name="Drop Down 2" hidden="1">
          <a:extLst>
            <a:ext uri="{FF2B5EF4-FFF2-40B4-BE49-F238E27FC236}">
              <a16:creationId xmlns:a16="http://schemas.microsoft.com/office/drawing/2014/main" id="{00000000-0008-0000-0100-00001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36" name="Drop Down 1" hidden="1">
          <a:extLst>
            <a:ext uri="{FF2B5EF4-FFF2-40B4-BE49-F238E27FC236}">
              <a16:creationId xmlns:a16="http://schemas.microsoft.com/office/drawing/2014/main" id="{00000000-0008-0000-0100-00002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37" name="Drop Down -1022" hidden="1">
          <a:extLst>
            <a:ext uri="{FF2B5EF4-FFF2-40B4-BE49-F238E27FC236}">
              <a16:creationId xmlns:a16="http://schemas.microsoft.com/office/drawing/2014/main" id="{00000000-0008-0000-0100-00002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38" name="Drop Down 1" hidden="1">
          <a:extLst>
            <a:ext uri="{FF2B5EF4-FFF2-40B4-BE49-F238E27FC236}">
              <a16:creationId xmlns:a16="http://schemas.microsoft.com/office/drawing/2014/main" id="{00000000-0008-0000-0100-00002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39" name="Drop Down 1" hidden="1">
          <a:extLst>
            <a:ext uri="{FF2B5EF4-FFF2-40B4-BE49-F238E27FC236}">
              <a16:creationId xmlns:a16="http://schemas.microsoft.com/office/drawing/2014/main" id="{00000000-0008-0000-0100-00002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40" name="Drop Down 1" hidden="1">
          <a:extLst>
            <a:ext uri="{FF2B5EF4-FFF2-40B4-BE49-F238E27FC236}">
              <a16:creationId xmlns:a16="http://schemas.microsoft.com/office/drawing/2014/main" id="{00000000-0008-0000-0100-00002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41" name="Drop Down 1" hidden="1">
          <a:extLst>
            <a:ext uri="{FF2B5EF4-FFF2-40B4-BE49-F238E27FC236}">
              <a16:creationId xmlns:a16="http://schemas.microsoft.com/office/drawing/2014/main" id="{00000000-0008-0000-0100-00002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42" name="Drop Down 2" hidden="1">
          <a:extLst>
            <a:ext uri="{FF2B5EF4-FFF2-40B4-BE49-F238E27FC236}">
              <a16:creationId xmlns:a16="http://schemas.microsoft.com/office/drawing/2014/main" id="{00000000-0008-0000-0100-00002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43" name="Drop Down 1" hidden="1">
          <a:extLst>
            <a:ext uri="{FF2B5EF4-FFF2-40B4-BE49-F238E27FC236}">
              <a16:creationId xmlns:a16="http://schemas.microsoft.com/office/drawing/2014/main" id="{00000000-0008-0000-0100-00002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44" name="Drop Down -1022" hidden="1">
          <a:extLst>
            <a:ext uri="{FF2B5EF4-FFF2-40B4-BE49-F238E27FC236}">
              <a16:creationId xmlns:a16="http://schemas.microsoft.com/office/drawing/2014/main" id="{00000000-0008-0000-0100-00002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45" name="Drop Down 1" hidden="1">
          <a:extLst>
            <a:ext uri="{FF2B5EF4-FFF2-40B4-BE49-F238E27FC236}">
              <a16:creationId xmlns:a16="http://schemas.microsoft.com/office/drawing/2014/main" id="{00000000-0008-0000-0100-00002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46" name="Drop Down 1" hidden="1">
          <a:extLst>
            <a:ext uri="{FF2B5EF4-FFF2-40B4-BE49-F238E27FC236}">
              <a16:creationId xmlns:a16="http://schemas.microsoft.com/office/drawing/2014/main" id="{00000000-0008-0000-0100-00002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47" name="Drop Down 1" hidden="1">
          <a:extLst>
            <a:ext uri="{FF2B5EF4-FFF2-40B4-BE49-F238E27FC236}">
              <a16:creationId xmlns:a16="http://schemas.microsoft.com/office/drawing/2014/main" id="{00000000-0008-0000-0100-00002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48" name="Drop Down 1" hidden="1">
          <a:extLst>
            <a:ext uri="{FF2B5EF4-FFF2-40B4-BE49-F238E27FC236}">
              <a16:creationId xmlns:a16="http://schemas.microsoft.com/office/drawing/2014/main" id="{00000000-0008-0000-0100-00002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49" name="Drop Down 2" hidden="1">
          <a:extLst>
            <a:ext uri="{FF2B5EF4-FFF2-40B4-BE49-F238E27FC236}">
              <a16:creationId xmlns:a16="http://schemas.microsoft.com/office/drawing/2014/main" id="{00000000-0008-0000-0100-00002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50" name="Drop Down 1" hidden="1">
          <a:extLst>
            <a:ext uri="{FF2B5EF4-FFF2-40B4-BE49-F238E27FC236}">
              <a16:creationId xmlns:a16="http://schemas.microsoft.com/office/drawing/2014/main" id="{00000000-0008-0000-0100-00002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51" name="Drop Down -1022" hidden="1">
          <a:extLst>
            <a:ext uri="{FF2B5EF4-FFF2-40B4-BE49-F238E27FC236}">
              <a16:creationId xmlns:a16="http://schemas.microsoft.com/office/drawing/2014/main" id="{00000000-0008-0000-0100-00002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752" name="Drop Down 1" hidden="1">
          <a:extLst>
            <a:ext uri="{FF2B5EF4-FFF2-40B4-BE49-F238E27FC236}">
              <a16:creationId xmlns:a16="http://schemas.microsoft.com/office/drawing/2014/main" id="{00000000-0008-0000-0100-00003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753" name="Drop Down 1" hidden="1">
          <a:extLst>
            <a:ext uri="{FF2B5EF4-FFF2-40B4-BE49-F238E27FC236}">
              <a16:creationId xmlns:a16="http://schemas.microsoft.com/office/drawing/2014/main" id="{00000000-0008-0000-0100-00003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754" name="Drop Down 1" hidden="1">
          <a:extLst>
            <a:ext uri="{FF2B5EF4-FFF2-40B4-BE49-F238E27FC236}">
              <a16:creationId xmlns:a16="http://schemas.microsoft.com/office/drawing/2014/main" id="{00000000-0008-0000-0100-00003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755" name="Drop Down 1" hidden="1">
          <a:extLst>
            <a:ext uri="{FF2B5EF4-FFF2-40B4-BE49-F238E27FC236}">
              <a16:creationId xmlns:a16="http://schemas.microsoft.com/office/drawing/2014/main" id="{00000000-0008-0000-0100-00003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756" name="Drop Down 2" hidden="1">
          <a:extLst>
            <a:ext uri="{FF2B5EF4-FFF2-40B4-BE49-F238E27FC236}">
              <a16:creationId xmlns:a16="http://schemas.microsoft.com/office/drawing/2014/main" id="{00000000-0008-0000-0100-00003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757" name="Drop Down 1" hidden="1">
          <a:extLst>
            <a:ext uri="{FF2B5EF4-FFF2-40B4-BE49-F238E27FC236}">
              <a16:creationId xmlns:a16="http://schemas.microsoft.com/office/drawing/2014/main" id="{00000000-0008-0000-0100-00003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8758" name="Drop Down -1022" hidden="1">
          <a:extLst>
            <a:ext uri="{FF2B5EF4-FFF2-40B4-BE49-F238E27FC236}">
              <a16:creationId xmlns:a16="http://schemas.microsoft.com/office/drawing/2014/main" id="{00000000-0008-0000-0100-00003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759" name="Drop Down 1" hidden="1">
          <a:extLst>
            <a:ext uri="{FF2B5EF4-FFF2-40B4-BE49-F238E27FC236}">
              <a16:creationId xmlns:a16="http://schemas.microsoft.com/office/drawing/2014/main" id="{00000000-0008-0000-0100-00003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760" name="Drop Down 1" hidden="1">
          <a:extLst>
            <a:ext uri="{FF2B5EF4-FFF2-40B4-BE49-F238E27FC236}">
              <a16:creationId xmlns:a16="http://schemas.microsoft.com/office/drawing/2014/main" id="{00000000-0008-0000-0100-00003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761" name="Drop Down 1" hidden="1">
          <a:extLst>
            <a:ext uri="{FF2B5EF4-FFF2-40B4-BE49-F238E27FC236}">
              <a16:creationId xmlns:a16="http://schemas.microsoft.com/office/drawing/2014/main" id="{00000000-0008-0000-0100-00003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762" name="Drop Down 1" hidden="1">
          <a:extLst>
            <a:ext uri="{FF2B5EF4-FFF2-40B4-BE49-F238E27FC236}">
              <a16:creationId xmlns:a16="http://schemas.microsoft.com/office/drawing/2014/main" id="{00000000-0008-0000-0100-00003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763" name="Drop Down 2" hidden="1">
          <a:extLst>
            <a:ext uri="{FF2B5EF4-FFF2-40B4-BE49-F238E27FC236}">
              <a16:creationId xmlns:a16="http://schemas.microsoft.com/office/drawing/2014/main" id="{00000000-0008-0000-0100-00003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764" name="Drop Down 1" hidden="1">
          <a:extLst>
            <a:ext uri="{FF2B5EF4-FFF2-40B4-BE49-F238E27FC236}">
              <a16:creationId xmlns:a16="http://schemas.microsoft.com/office/drawing/2014/main" id="{00000000-0008-0000-0100-00003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8765" name="Drop Down -1022" hidden="1">
          <a:extLst>
            <a:ext uri="{FF2B5EF4-FFF2-40B4-BE49-F238E27FC236}">
              <a16:creationId xmlns:a16="http://schemas.microsoft.com/office/drawing/2014/main" id="{00000000-0008-0000-0100-00003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66" name="Drop Down 1" hidden="1">
          <a:extLst>
            <a:ext uri="{FF2B5EF4-FFF2-40B4-BE49-F238E27FC236}">
              <a16:creationId xmlns:a16="http://schemas.microsoft.com/office/drawing/2014/main" id="{00000000-0008-0000-0100-00003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67" name="Drop Down 1" hidden="1">
          <a:extLst>
            <a:ext uri="{FF2B5EF4-FFF2-40B4-BE49-F238E27FC236}">
              <a16:creationId xmlns:a16="http://schemas.microsoft.com/office/drawing/2014/main" id="{00000000-0008-0000-0100-00003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68" name="Drop Down 1" hidden="1">
          <a:extLst>
            <a:ext uri="{FF2B5EF4-FFF2-40B4-BE49-F238E27FC236}">
              <a16:creationId xmlns:a16="http://schemas.microsoft.com/office/drawing/2014/main" id="{00000000-0008-0000-0100-00004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69" name="Drop Down 1" hidden="1">
          <a:extLst>
            <a:ext uri="{FF2B5EF4-FFF2-40B4-BE49-F238E27FC236}">
              <a16:creationId xmlns:a16="http://schemas.microsoft.com/office/drawing/2014/main" id="{00000000-0008-0000-0100-00004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70" name="Drop Down 2" hidden="1">
          <a:extLst>
            <a:ext uri="{FF2B5EF4-FFF2-40B4-BE49-F238E27FC236}">
              <a16:creationId xmlns:a16="http://schemas.microsoft.com/office/drawing/2014/main" id="{00000000-0008-0000-0100-00004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71" name="Drop Down 1" hidden="1">
          <a:extLst>
            <a:ext uri="{FF2B5EF4-FFF2-40B4-BE49-F238E27FC236}">
              <a16:creationId xmlns:a16="http://schemas.microsoft.com/office/drawing/2014/main" id="{00000000-0008-0000-0100-00004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72" name="Drop Down -1022" hidden="1">
          <a:extLst>
            <a:ext uri="{FF2B5EF4-FFF2-40B4-BE49-F238E27FC236}">
              <a16:creationId xmlns:a16="http://schemas.microsoft.com/office/drawing/2014/main" id="{00000000-0008-0000-0100-00004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73" name="Drop Down 1" hidden="1">
          <a:extLst>
            <a:ext uri="{FF2B5EF4-FFF2-40B4-BE49-F238E27FC236}">
              <a16:creationId xmlns:a16="http://schemas.microsoft.com/office/drawing/2014/main" id="{00000000-0008-0000-0100-00004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74" name="Drop Down 1" hidden="1">
          <a:extLst>
            <a:ext uri="{FF2B5EF4-FFF2-40B4-BE49-F238E27FC236}">
              <a16:creationId xmlns:a16="http://schemas.microsoft.com/office/drawing/2014/main" id="{00000000-0008-0000-0100-00004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75" name="Drop Down 1" hidden="1">
          <a:extLst>
            <a:ext uri="{FF2B5EF4-FFF2-40B4-BE49-F238E27FC236}">
              <a16:creationId xmlns:a16="http://schemas.microsoft.com/office/drawing/2014/main" id="{00000000-0008-0000-0100-00004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76" name="Drop Down 1" hidden="1">
          <a:extLst>
            <a:ext uri="{FF2B5EF4-FFF2-40B4-BE49-F238E27FC236}">
              <a16:creationId xmlns:a16="http://schemas.microsoft.com/office/drawing/2014/main" id="{00000000-0008-0000-0100-00004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77" name="Drop Down 2" hidden="1">
          <a:extLst>
            <a:ext uri="{FF2B5EF4-FFF2-40B4-BE49-F238E27FC236}">
              <a16:creationId xmlns:a16="http://schemas.microsoft.com/office/drawing/2014/main" id="{00000000-0008-0000-0100-00004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78" name="Drop Down 1" hidden="1">
          <a:extLst>
            <a:ext uri="{FF2B5EF4-FFF2-40B4-BE49-F238E27FC236}">
              <a16:creationId xmlns:a16="http://schemas.microsoft.com/office/drawing/2014/main" id="{00000000-0008-0000-0100-00004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79" name="Drop Down -1022" hidden="1">
          <a:extLst>
            <a:ext uri="{FF2B5EF4-FFF2-40B4-BE49-F238E27FC236}">
              <a16:creationId xmlns:a16="http://schemas.microsoft.com/office/drawing/2014/main" id="{00000000-0008-0000-0100-00004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80" name="Drop Down 1" hidden="1">
          <a:extLst>
            <a:ext uri="{FF2B5EF4-FFF2-40B4-BE49-F238E27FC236}">
              <a16:creationId xmlns:a16="http://schemas.microsoft.com/office/drawing/2014/main" id="{00000000-0008-0000-0100-00004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81" name="Drop Down 1" hidden="1">
          <a:extLst>
            <a:ext uri="{FF2B5EF4-FFF2-40B4-BE49-F238E27FC236}">
              <a16:creationId xmlns:a16="http://schemas.microsoft.com/office/drawing/2014/main" id="{00000000-0008-0000-0100-00004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82" name="Drop Down 1" hidden="1">
          <a:extLst>
            <a:ext uri="{FF2B5EF4-FFF2-40B4-BE49-F238E27FC236}">
              <a16:creationId xmlns:a16="http://schemas.microsoft.com/office/drawing/2014/main" id="{00000000-0008-0000-0100-00004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83" name="Drop Down 1" hidden="1">
          <a:extLst>
            <a:ext uri="{FF2B5EF4-FFF2-40B4-BE49-F238E27FC236}">
              <a16:creationId xmlns:a16="http://schemas.microsoft.com/office/drawing/2014/main" id="{00000000-0008-0000-0100-00004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84" name="Drop Down 2" hidden="1">
          <a:extLst>
            <a:ext uri="{FF2B5EF4-FFF2-40B4-BE49-F238E27FC236}">
              <a16:creationId xmlns:a16="http://schemas.microsoft.com/office/drawing/2014/main" id="{00000000-0008-0000-0100-00005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85" name="Drop Down 1" hidden="1">
          <a:extLst>
            <a:ext uri="{FF2B5EF4-FFF2-40B4-BE49-F238E27FC236}">
              <a16:creationId xmlns:a16="http://schemas.microsoft.com/office/drawing/2014/main" id="{00000000-0008-0000-0100-00005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86" name="Drop Down -1022" hidden="1">
          <a:extLst>
            <a:ext uri="{FF2B5EF4-FFF2-40B4-BE49-F238E27FC236}">
              <a16:creationId xmlns:a16="http://schemas.microsoft.com/office/drawing/2014/main" id="{00000000-0008-0000-0100-00005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87" name="Drop Down 1" hidden="1">
          <a:extLst>
            <a:ext uri="{FF2B5EF4-FFF2-40B4-BE49-F238E27FC236}">
              <a16:creationId xmlns:a16="http://schemas.microsoft.com/office/drawing/2014/main" id="{00000000-0008-0000-0100-00005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88" name="Drop Down 1" hidden="1">
          <a:extLst>
            <a:ext uri="{FF2B5EF4-FFF2-40B4-BE49-F238E27FC236}">
              <a16:creationId xmlns:a16="http://schemas.microsoft.com/office/drawing/2014/main" id="{00000000-0008-0000-0100-00005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89" name="Drop Down 1" hidden="1">
          <a:extLst>
            <a:ext uri="{FF2B5EF4-FFF2-40B4-BE49-F238E27FC236}">
              <a16:creationId xmlns:a16="http://schemas.microsoft.com/office/drawing/2014/main" id="{00000000-0008-0000-0100-00005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90" name="Drop Down 1" hidden="1">
          <a:extLst>
            <a:ext uri="{FF2B5EF4-FFF2-40B4-BE49-F238E27FC236}">
              <a16:creationId xmlns:a16="http://schemas.microsoft.com/office/drawing/2014/main" id="{00000000-0008-0000-0100-00005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91" name="Drop Down 2" hidden="1">
          <a:extLst>
            <a:ext uri="{FF2B5EF4-FFF2-40B4-BE49-F238E27FC236}">
              <a16:creationId xmlns:a16="http://schemas.microsoft.com/office/drawing/2014/main" id="{00000000-0008-0000-0100-00005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92" name="Drop Down 1" hidden="1">
          <a:extLst>
            <a:ext uri="{FF2B5EF4-FFF2-40B4-BE49-F238E27FC236}">
              <a16:creationId xmlns:a16="http://schemas.microsoft.com/office/drawing/2014/main" id="{00000000-0008-0000-0100-00005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793" name="Drop Down -1022" hidden="1">
          <a:extLst>
            <a:ext uri="{FF2B5EF4-FFF2-40B4-BE49-F238E27FC236}">
              <a16:creationId xmlns:a16="http://schemas.microsoft.com/office/drawing/2014/main" id="{00000000-0008-0000-0100-00005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94" name="Drop Down 1" hidden="1">
          <a:extLst>
            <a:ext uri="{FF2B5EF4-FFF2-40B4-BE49-F238E27FC236}">
              <a16:creationId xmlns:a16="http://schemas.microsoft.com/office/drawing/2014/main" id="{00000000-0008-0000-0100-00005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95" name="Drop Down 1" hidden="1">
          <a:extLst>
            <a:ext uri="{FF2B5EF4-FFF2-40B4-BE49-F238E27FC236}">
              <a16:creationId xmlns:a16="http://schemas.microsoft.com/office/drawing/2014/main" id="{00000000-0008-0000-0100-00005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96" name="Drop Down 1" hidden="1">
          <a:extLst>
            <a:ext uri="{FF2B5EF4-FFF2-40B4-BE49-F238E27FC236}">
              <a16:creationId xmlns:a16="http://schemas.microsoft.com/office/drawing/2014/main" id="{00000000-0008-0000-0100-00005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97" name="Drop Down 1" hidden="1">
          <a:extLst>
            <a:ext uri="{FF2B5EF4-FFF2-40B4-BE49-F238E27FC236}">
              <a16:creationId xmlns:a16="http://schemas.microsoft.com/office/drawing/2014/main" id="{00000000-0008-0000-0100-00005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98" name="Drop Down 2" hidden="1">
          <a:extLst>
            <a:ext uri="{FF2B5EF4-FFF2-40B4-BE49-F238E27FC236}">
              <a16:creationId xmlns:a16="http://schemas.microsoft.com/office/drawing/2014/main" id="{00000000-0008-0000-0100-00005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799" name="Drop Down 1" hidden="1">
          <a:extLst>
            <a:ext uri="{FF2B5EF4-FFF2-40B4-BE49-F238E27FC236}">
              <a16:creationId xmlns:a16="http://schemas.microsoft.com/office/drawing/2014/main" id="{00000000-0008-0000-0100-00005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00" name="Drop Down -1022" hidden="1">
          <a:extLst>
            <a:ext uri="{FF2B5EF4-FFF2-40B4-BE49-F238E27FC236}">
              <a16:creationId xmlns:a16="http://schemas.microsoft.com/office/drawing/2014/main" id="{00000000-0008-0000-0100-00006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01" name="Drop Down 1" hidden="1">
          <a:extLst>
            <a:ext uri="{FF2B5EF4-FFF2-40B4-BE49-F238E27FC236}">
              <a16:creationId xmlns:a16="http://schemas.microsoft.com/office/drawing/2014/main" id="{00000000-0008-0000-0100-00006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02" name="Drop Down 1" hidden="1">
          <a:extLst>
            <a:ext uri="{FF2B5EF4-FFF2-40B4-BE49-F238E27FC236}">
              <a16:creationId xmlns:a16="http://schemas.microsoft.com/office/drawing/2014/main" id="{00000000-0008-0000-0100-00006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03" name="Drop Down 1" hidden="1">
          <a:extLst>
            <a:ext uri="{FF2B5EF4-FFF2-40B4-BE49-F238E27FC236}">
              <a16:creationId xmlns:a16="http://schemas.microsoft.com/office/drawing/2014/main" id="{00000000-0008-0000-0100-00006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04" name="Drop Down 1" hidden="1">
          <a:extLst>
            <a:ext uri="{FF2B5EF4-FFF2-40B4-BE49-F238E27FC236}">
              <a16:creationId xmlns:a16="http://schemas.microsoft.com/office/drawing/2014/main" id="{00000000-0008-0000-0100-00006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05" name="Drop Down 2" hidden="1">
          <a:extLst>
            <a:ext uri="{FF2B5EF4-FFF2-40B4-BE49-F238E27FC236}">
              <a16:creationId xmlns:a16="http://schemas.microsoft.com/office/drawing/2014/main" id="{00000000-0008-0000-0100-00006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06" name="Drop Down 1" hidden="1">
          <a:extLst>
            <a:ext uri="{FF2B5EF4-FFF2-40B4-BE49-F238E27FC236}">
              <a16:creationId xmlns:a16="http://schemas.microsoft.com/office/drawing/2014/main" id="{00000000-0008-0000-0100-00006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07" name="Drop Down -1022" hidden="1">
          <a:extLst>
            <a:ext uri="{FF2B5EF4-FFF2-40B4-BE49-F238E27FC236}">
              <a16:creationId xmlns:a16="http://schemas.microsoft.com/office/drawing/2014/main" id="{00000000-0008-0000-0100-00006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08" name="Drop Down 1" hidden="1">
          <a:extLst>
            <a:ext uri="{FF2B5EF4-FFF2-40B4-BE49-F238E27FC236}">
              <a16:creationId xmlns:a16="http://schemas.microsoft.com/office/drawing/2014/main" id="{00000000-0008-0000-0100-00006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09" name="Drop Down 1" hidden="1">
          <a:extLst>
            <a:ext uri="{FF2B5EF4-FFF2-40B4-BE49-F238E27FC236}">
              <a16:creationId xmlns:a16="http://schemas.microsoft.com/office/drawing/2014/main" id="{00000000-0008-0000-0100-00006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10" name="Drop Down 1" hidden="1">
          <a:extLst>
            <a:ext uri="{FF2B5EF4-FFF2-40B4-BE49-F238E27FC236}">
              <a16:creationId xmlns:a16="http://schemas.microsoft.com/office/drawing/2014/main" id="{00000000-0008-0000-0100-00006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11" name="Drop Down 1" hidden="1">
          <a:extLst>
            <a:ext uri="{FF2B5EF4-FFF2-40B4-BE49-F238E27FC236}">
              <a16:creationId xmlns:a16="http://schemas.microsoft.com/office/drawing/2014/main" id="{00000000-0008-0000-0100-00006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12" name="Drop Down 2" hidden="1">
          <a:extLst>
            <a:ext uri="{FF2B5EF4-FFF2-40B4-BE49-F238E27FC236}">
              <a16:creationId xmlns:a16="http://schemas.microsoft.com/office/drawing/2014/main" id="{00000000-0008-0000-0100-00006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13" name="Drop Down 1" hidden="1">
          <a:extLst>
            <a:ext uri="{FF2B5EF4-FFF2-40B4-BE49-F238E27FC236}">
              <a16:creationId xmlns:a16="http://schemas.microsoft.com/office/drawing/2014/main" id="{00000000-0008-0000-0100-00006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14" name="Drop Down -1022" hidden="1">
          <a:extLst>
            <a:ext uri="{FF2B5EF4-FFF2-40B4-BE49-F238E27FC236}">
              <a16:creationId xmlns:a16="http://schemas.microsoft.com/office/drawing/2014/main" id="{00000000-0008-0000-0100-00006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15" name="Drop Down 1" hidden="1">
          <a:extLst>
            <a:ext uri="{FF2B5EF4-FFF2-40B4-BE49-F238E27FC236}">
              <a16:creationId xmlns:a16="http://schemas.microsoft.com/office/drawing/2014/main" id="{00000000-0008-0000-0100-00006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16" name="Drop Down 1" hidden="1">
          <a:extLst>
            <a:ext uri="{FF2B5EF4-FFF2-40B4-BE49-F238E27FC236}">
              <a16:creationId xmlns:a16="http://schemas.microsoft.com/office/drawing/2014/main" id="{00000000-0008-0000-0100-00007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17" name="Drop Down 1" hidden="1">
          <a:extLst>
            <a:ext uri="{FF2B5EF4-FFF2-40B4-BE49-F238E27FC236}">
              <a16:creationId xmlns:a16="http://schemas.microsoft.com/office/drawing/2014/main" id="{00000000-0008-0000-0100-00007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18" name="Drop Down 1" hidden="1">
          <a:extLst>
            <a:ext uri="{FF2B5EF4-FFF2-40B4-BE49-F238E27FC236}">
              <a16:creationId xmlns:a16="http://schemas.microsoft.com/office/drawing/2014/main" id="{00000000-0008-0000-0100-00007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19" name="Drop Down 2" hidden="1">
          <a:extLst>
            <a:ext uri="{FF2B5EF4-FFF2-40B4-BE49-F238E27FC236}">
              <a16:creationId xmlns:a16="http://schemas.microsoft.com/office/drawing/2014/main" id="{00000000-0008-0000-0100-00007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20" name="Drop Down 1" hidden="1">
          <a:extLst>
            <a:ext uri="{FF2B5EF4-FFF2-40B4-BE49-F238E27FC236}">
              <a16:creationId xmlns:a16="http://schemas.microsoft.com/office/drawing/2014/main" id="{00000000-0008-0000-0100-00007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21" name="Drop Down -1022" hidden="1">
          <a:extLst>
            <a:ext uri="{FF2B5EF4-FFF2-40B4-BE49-F238E27FC236}">
              <a16:creationId xmlns:a16="http://schemas.microsoft.com/office/drawing/2014/main" id="{00000000-0008-0000-0100-00007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22" name="Drop Down 1" hidden="1">
          <a:extLst>
            <a:ext uri="{FF2B5EF4-FFF2-40B4-BE49-F238E27FC236}">
              <a16:creationId xmlns:a16="http://schemas.microsoft.com/office/drawing/2014/main" id="{00000000-0008-0000-0100-00007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23" name="Drop Down 1" hidden="1">
          <a:extLst>
            <a:ext uri="{FF2B5EF4-FFF2-40B4-BE49-F238E27FC236}">
              <a16:creationId xmlns:a16="http://schemas.microsoft.com/office/drawing/2014/main" id="{00000000-0008-0000-0100-00007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24" name="Drop Down 1" hidden="1">
          <a:extLst>
            <a:ext uri="{FF2B5EF4-FFF2-40B4-BE49-F238E27FC236}">
              <a16:creationId xmlns:a16="http://schemas.microsoft.com/office/drawing/2014/main" id="{00000000-0008-0000-0100-00007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25" name="Drop Down 1" hidden="1">
          <a:extLst>
            <a:ext uri="{FF2B5EF4-FFF2-40B4-BE49-F238E27FC236}">
              <a16:creationId xmlns:a16="http://schemas.microsoft.com/office/drawing/2014/main" id="{00000000-0008-0000-0100-00007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26" name="Drop Down 2" hidden="1">
          <a:extLst>
            <a:ext uri="{FF2B5EF4-FFF2-40B4-BE49-F238E27FC236}">
              <a16:creationId xmlns:a16="http://schemas.microsoft.com/office/drawing/2014/main" id="{00000000-0008-0000-0100-00007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27" name="Drop Down 1" hidden="1">
          <a:extLst>
            <a:ext uri="{FF2B5EF4-FFF2-40B4-BE49-F238E27FC236}">
              <a16:creationId xmlns:a16="http://schemas.microsoft.com/office/drawing/2014/main" id="{00000000-0008-0000-0100-00007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28" name="Drop Down -1022" hidden="1">
          <a:extLst>
            <a:ext uri="{FF2B5EF4-FFF2-40B4-BE49-F238E27FC236}">
              <a16:creationId xmlns:a16="http://schemas.microsoft.com/office/drawing/2014/main" id="{00000000-0008-0000-0100-00007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29" name="Drop Down 1" hidden="1">
          <a:extLst>
            <a:ext uri="{FF2B5EF4-FFF2-40B4-BE49-F238E27FC236}">
              <a16:creationId xmlns:a16="http://schemas.microsoft.com/office/drawing/2014/main" id="{00000000-0008-0000-0100-00007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30" name="Drop Down 1" hidden="1">
          <a:extLst>
            <a:ext uri="{FF2B5EF4-FFF2-40B4-BE49-F238E27FC236}">
              <a16:creationId xmlns:a16="http://schemas.microsoft.com/office/drawing/2014/main" id="{00000000-0008-0000-0100-00007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31" name="Drop Down 1" hidden="1">
          <a:extLst>
            <a:ext uri="{FF2B5EF4-FFF2-40B4-BE49-F238E27FC236}">
              <a16:creationId xmlns:a16="http://schemas.microsoft.com/office/drawing/2014/main" id="{00000000-0008-0000-0100-00007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32" name="Drop Down 1" hidden="1">
          <a:extLst>
            <a:ext uri="{FF2B5EF4-FFF2-40B4-BE49-F238E27FC236}">
              <a16:creationId xmlns:a16="http://schemas.microsoft.com/office/drawing/2014/main" id="{00000000-0008-0000-0100-00008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33" name="Drop Down 2" hidden="1">
          <a:extLst>
            <a:ext uri="{FF2B5EF4-FFF2-40B4-BE49-F238E27FC236}">
              <a16:creationId xmlns:a16="http://schemas.microsoft.com/office/drawing/2014/main" id="{00000000-0008-0000-0100-00008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34" name="Drop Down 1" hidden="1">
          <a:extLst>
            <a:ext uri="{FF2B5EF4-FFF2-40B4-BE49-F238E27FC236}">
              <a16:creationId xmlns:a16="http://schemas.microsoft.com/office/drawing/2014/main" id="{00000000-0008-0000-0100-00008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35" name="Drop Down -1022" hidden="1">
          <a:extLst>
            <a:ext uri="{FF2B5EF4-FFF2-40B4-BE49-F238E27FC236}">
              <a16:creationId xmlns:a16="http://schemas.microsoft.com/office/drawing/2014/main" id="{00000000-0008-0000-0100-00008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5580"/>
    <xdr:sp macro="" textlink="">
      <xdr:nvSpPr>
        <xdr:cNvPr id="8836" name="Drop Down 1" hidden="1">
          <a:extLst>
            <a:ext uri="{FF2B5EF4-FFF2-40B4-BE49-F238E27FC236}">
              <a16:creationId xmlns:a16="http://schemas.microsoft.com/office/drawing/2014/main" id="{00000000-0008-0000-0100-000084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5580"/>
    <xdr:sp macro="" textlink="">
      <xdr:nvSpPr>
        <xdr:cNvPr id="8837" name="Drop Down 1" hidden="1">
          <a:extLst>
            <a:ext uri="{FF2B5EF4-FFF2-40B4-BE49-F238E27FC236}">
              <a16:creationId xmlns:a16="http://schemas.microsoft.com/office/drawing/2014/main" id="{00000000-0008-0000-0100-000085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5580"/>
    <xdr:sp macro="" textlink="">
      <xdr:nvSpPr>
        <xdr:cNvPr id="8838" name="Drop Down 1" hidden="1">
          <a:extLst>
            <a:ext uri="{FF2B5EF4-FFF2-40B4-BE49-F238E27FC236}">
              <a16:creationId xmlns:a16="http://schemas.microsoft.com/office/drawing/2014/main" id="{00000000-0008-0000-0100-000086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5580"/>
    <xdr:sp macro="" textlink="">
      <xdr:nvSpPr>
        <xdr:cNvPr id="8839" name="Drop Down 1" hidden="1">
          <a:extLst>
            <a:ext uri="{FF2B5EF4-FFF2-40B4-BE49-F238E27FC236}">
              <a16:creationId xmlns:a16="http://schemas.microsoft.com/office/drawing/2014/main" id="{00000000-0008-0000-0100-000087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5580"/>
    <xdr:sp macro="" textlink="">
      <xdr:nvSpPr>
        <xdr:cNvPr id="8840" name="Drop Down 2" hidden="1">
          <a:extLst>
            <a:ext uri="{FF2B5EF4-FFF2-40B4-BE49-F238E27FC236}">
              <a16:creationId xmlns:a16="http://schemas.microsoft.com/office/drawing/2014/main" id="{00000000-0008-0000-0100-000088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5580"/>
    <xdr:sp macro="" textlink="">
      <xdr:nvSpPr>
        <xdr:cNvPr id="8841" name="Drop Down 1" hidden="1">
          <a:extLst>
            <a:ext uri="{FF2B5EF4-FFF2-40B4-BE49-F238E27FC236}">
              <a16:creationId xmlns:a16="http://schemas.microsoft.com/office/drawing/2014/main" id="{00000000-0008-0000-0100-000089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5580"/>
    <xdr:sp macro="" textlink="">
      <xdr:nvSpPr>
        <xdr:cNvPr id="8842" name="Drop Down -1022" hidden="1">
          <a:extLst>
            <a:ext uri="{FF2B5EF4-FFF2-40B4-BE49-F238E27FC236}">
              <a16:creationId xmlns:a16="http://schemas.microsoft.com/office/drawing/2014/main" id="{00000000-0008-0000-0100-00008A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3821"/>
    <xdr:sp macro="" textlink="">
      <xdr:nvSpPr>
        <xdr:cNvPr id="8843" name="Drop Down 1" hidden="1">
          <a:extLst>
            <a:ext uri="{FF2B5EF4-FFF2-40B4-BE49-F238E27FC236}">
              <a16:creationId xmlns:a16="http://schemas.microsoft.com/office/drawing/2014/main" id="{00000000-0008-0000-0100-00008B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3821"/>
    <xdr:sp macro="" textlink="">
      <xdr:nvSpPr>
        <xdr:cNvPr id="8844" name="Drop Down 1" hidden="1">
          <a:extLst>
            <a:ext uri="{FF2B5EF4-FFF2-40B4-BE49-F238E27FC236}">
              <a16:creationId xmlns:a16="http://schemas.microsoft.com/office/drawing/2014/main" id="{00000000-0008-0000-0100-00008C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3821"/>
    <xdr:sp macro="" textlink="">
      <xdr:nvSpPr>
        <xdr:cNvPr id="8845" name="Drop Down 1" hidden="1">
          <a:extLst>
            <a:ext uri="{FF2B5EF4-FFF2-40B4-BE49-F238E27FC236}">
              <a16:creationId xmlns:a16="http://schemas.microsoft.com/office/drawing/2014/main" id="{00000000-0008-0000-0100-00008D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3821"/>
    <xdr:sp macro="" textlink="">
      <xdr:nvSpPr>
        <xdr:cNvPr id="8846" name="Drop Down 1" hidden="1">
          <a:extLst>
            <a:ext uri="{FF2B5EF4-FFF2-40B4-BE49-F238E27FC236}">
              <a16:creationId xmlns:a16="http://schemas.microsoft.com/office/drawing/2014/main" id="{00000000-0008-0000-0100-00008E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3821"/>
    <xdr:sp macro="" textlink="">
      <xdr:nvSpPr>
        <xdr:cNvPr id="8847" name="Drop Down 2" hidden="1">
          <a:extLst>
            <a:ext uri="{FF2B5EF4-FFF2-40B4-BE49-F238E27FC236}">
              <a16:creationId xmlns:a16="http://schemas.microsoft.com/office/drawing/2014/main" id="{00000000-0008-0000-0100-00008F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3821"/>
    <xdr:sp macro="" textlink="">
      <xdr:nvSpPr>
        <xdr:cNvPr id="8848" name="Drop Down 1" hidden="1">
          <a:extLst>
            <a:ext uri="{FF2B5EF4-FFF2-40B4-BE49-F238E27FC236}">
              <a16:creationId xmlns:a16="http://schemas.microsoft.com/office/drawing/2014/main" id="{00000000-0008-0000-0100-000090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9002" cy="213821"/>
    <xdr:sp macro="" textlink="">
      <xdr:nvSpPr>
        <xdr:cNvPr id="8849" name="Drop Down -1022" hidden="1">
          <a:extLst>
            <a:ext uri="{FF2B5EF4-FFF2-40B4-BE49-F238E27FC236}">
              <a16:creationId xmlns:a16="http://schemas.microsoft.com/office/drawing/2014/main" id="{00000000-0008-0000-0100-000091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50" name="Drop Down 1" hidden="1">
          <a:extLst>
            <a:ext uri="{FF2B5EF4-FFF2-40B4-BE49-F238E27FC236}">
              <a16:creationId xmlns:a16="http://schemas.microsoft.com/office/drawing/2014/main" id="{00000000-0008-0000-0100-000092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51" name="Drop Down 1" hidden="1">
          <a:extLst>
            <a:ext uri="{FF2B5EF4-FFF2-40B4-BE49-F238E27FC236}">
              <a16:creationId xmlns:a16="http://schemas.microsoft.com/office/drawing/2014/main" id="{00000000-0008-0000-0100-000093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52" name="Drop Down 1" hidden="1">
          <a:extLst>
            <a:ext uri="{FF2B5EF4-FFF2-40B4-BE49-F238E27FC236}">
              <a16:creationId xmlns:a16="http://schemas.microsoft.com/office/drawing/2014/main" id="{00000000-0008-0000-0100-000094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53" name="Drop Down 1" hidden="1">
          <a:extLst>
            <a:ext uri="{FF2B5EF4-FFF2-40B4-BE49-F238E27FC236}">
              <a16:creationId xmlns:a16="http://schemas.microsoft.com/office/drawing/2014/main" id="{00000000-0008-0000-0100-000095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54" name="Drop Down 2" hidden="1">
          <a:extLst>
            <a:ext uri="{FF2B5EF4-FFF2-40B4-BE49-F238E27FC236}">
              <a16:creationId xmlns:a16="http://schemas.microsoft.com/office/drawing/2014/main" id="{00000000-0008-0000-0100-000096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55" name="Drop Down 1" hidden="1">
          <a:extLst>
            <a:ext uri="{FF2B5EF4-FFF2-40B4-BE49-F238E27FC236}">
              <a16:creationId xmlns:a16="http://schemas.microsoft.com/office/drawing/2014/main" id="{00000000-0008-0000-0100-000097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856" name="Drop Down -1022" hidden="1">
          <a:extLst>
            <a:ext uri="{FF2B5EF4-FFF2-40B4-BE49-F238E27FC236}">
              <a16:creationId xmlns:a16="http://schemas.microsoft.com/office/drawing/2014/main" id="{00000000-0008-0000-0100-000098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57" name="Drop Down 1" hidden="1">
          <a:extLst>
            <a:ext uri="{FF2B5EF4-FFF2-40B4-BE49-F238E27FC236}">
              <a16:creationId xmlns:a16="http://schemas.microsoft.com/office/drawing/2014/main" id="{00000000-0008-0000-0100-000099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58" name="Drop Down 1" hidden="1">
          <a:extLst>
            <a:ext uri="{FF2B5EF4-FFF2-40B4-BE49-F238E27FC236}">
              <a16:creationId xmlns:a16="http://schemas.microsoft.com/office/drawing/2014/main" id="{00000000-0008-0000-0100-00009A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59" name="Drop Down 1" hidden="1">
          <a:extLst>
            <a:ext uri="{FF2B5EF4-FFF2-40B4-BE49-F238E27FC236}">
              <a16:creationId xmlns:a16="http://schemas.microsoft.com/office/drawing/2014/main" id="{00000000-0008-0000-0100-00009B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60" name="Drop Down 1" hidden="1">
          <a:extLst>
            <a:ext uri="{FF2B5EF4-FFF2-40B4-BE49-F238E27FC236}">
              <a16:creationId xmlns:a16="http://schemas.microsoft.com/office/drawing/2014/main" id="{00000000-0008-0000-0100-00009C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61" name="Drop Down 2" hidden="1">
          <a:extLst>
            <a:ext uri="{FF2B5EF4-FFF2-40B4-BE49-F238E27FC236}">
              <a16:creationId xmlns:a16="http://schemas.microsoft.com/office/drawing/2014/main" id="{00000000-0008-0000-0100-00009D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62" name="Drop Down 1" hidden="1">
          <a:extLst>
            <a:ext uri="{FF2B5EF4-FFF2-40B4-BE49-F238E27FC236}">
              <a16:creationId xmlns:a16="http://schemas.microsoft.com/office/drawing/2014/main" id="{00000000-0008-0000-0100-00009E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863" name="Drop Down -1022" hidden="1">
          <a:extLst>
            <a:ext uri="{FF2B5EF4-FFF2-40B4-BE49-F238E27FC236}">
              <a16:creationId xmlns:a16="http://schemas.microsoft.com/office/drawing/2014/main" id="{00000000-0008-0000-0100-00009F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64" name="Drop Down 1" hidden="1">
          <a:extLst>
            <a:ext uri="{FF2B5EF4-FFF2-40B4-BE49-F238E27FC236}">
              <a16:creationId xmlns:a16="http://schemas.microsoft.com/office/drawing/2014/main" id="{00000000-0008-0000-0100-0000A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65" name="Drop Down 1" hidden="1">
          <a:extLst>
            <a:ext uri="{FF2B5EF4-FFF2-40B4-BE49-F238E27FC236}">
              <a16:creationId xmlns:a16="http://schemas.microsoft.com/office/drawing/2014/main" id="{00000000-0008-0000-0100-0000A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66" name="Drop Down 1" hidden="1">
          <a:extLst>
            <a:ext uri="{FF2B5EF4-FFF2-40B4-BE49-F238E27FC236}">
              <a16:creationId xmlns:a16="http://schemas.microsoft.com/office/drawing/2014/main" id="{00000000-0008-0000-0100-0000A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67" name="Drop Down 1" hidden="1">
          <a:extLst>
            <a:ext uri="{FF2B5EF4-FFF2-40B4-BE49-F238E27FC236}">
              <a16:creationId xmlns:a16="http://schemas.microsoft.com/office/drawing/2014/main" id="{00000000-0008-0000-0100-0000A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68" name="Drop Down 2" hidden="1">
          <a:extLst>
            <a:ext uri="{FF2B5EF4-FFF2-40B4-BE49-F238E27FC236}">
              <a16:creationId xmlns:a16="http://schemas.microsoft.com/office/drawing/2014/main" id="{00000000-0008-0000-0100-0000A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69" name="Drop Down 1" hidden="1">
          <a:extLst>
            <a:ext uri="{FF2B5EF4-FFF2-40B4-BE49-F238E27FC236}">
              <a16:creationId xmlns:a16="http://schemas.microsoft.com/office/drawing/2014/main" id="{00000000-0008-0000-0100-0000A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70" name="Drop Down -1022" hidden="1">
          <a:extLst>
            <a:ext uri="{FF2B5EF4-FFF2-40B4-BE49-F238E27FC236}">
              <a16:creationId xmlns:a16="http://schemas.microsoft.com/office/drawing/2014/main" id="{00000000-0008-0000-0100-0000A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71" name="Drop Down 1" hidden="1">
          <a:extLst>
            <a:ext uri="{FF2B5EF4-FFF2-40B4-BE49-F238E27FC236}">
              <a16:creationId xmlns:a16="http://schemas.microsoft.com/office/drawing/2014/main" id="{00000000-0008-0000-0100-0000A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72" name="Drop Down 1" hidden="1">
          <a:extLst>
            <a:ext uri="{FF2B5EF4-FFF2-40B4-BE49-F238E27FC236}">
              <a16:creationId xmlns:a16="http://schemas.microsoft.com/office/drawing/2014/main" id="{00000000-0008-0000-0100-0000A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73" name="Drop Down 1" hidden="1">
          <a:extLst>
            <a:ext uri="{FF2B5EF4-FFF2-40B4-BE49-F238E27FC236}">
              <a16:creationId xmlns:a16="http://schemas.microsoft.com/office/drawing/2014/main" id="{00000000-0008-0000-0100-0000A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74" name="Drop Down 1" hidden="1">
          <a:extLst>
            <a:ext uri="{FF2B5EF4-FFF2-40B4-BE49-F238E27FC236}">
              <a16:creationId xmlns:a16="http://schemas.microsoft.com/office/drawing/2014/main" id="{00000000-0008-0000-0100-0000A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75" name="Drop Down 2" hidden="1">
          <a:extLst>
            <a:ext uri="{FF2B5EF4-FFF2-40B4-BE49-F238E27FC236}">
              <a16:creationId xmlns:a16="http://schemas.microsoft.com/office/drawing/2014/main" id="{00000000-0008-0000-0100-0000A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76" name="Drop Down 1" hidden="1">
          <a:extLst>
            <a:ext uri="{FF2B5EF4-FFF2-40B4-BE49-F238E27FC236}">
              <a16:creationId xmlns:a16="http://schemas.microsoft.com/office/drawing/2014/main" id="{00000000-0008-0000-0100-0000A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77" name="Drop Down -1022" hidden="1">
          <a:extLst>
            <a:ext uri="{FF2B5EF4-FFF2-40B4-BE49-F238E27FC236}">
              <a16:creationId xmlns:a16="http://schemas.microsoft.com/office/drawing/2014/main" id="{00000000-0008-0000-0100-0000A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78" name="Drop Down 1" hidden="1">
          <a:extLst>
            <a:ext uri="{FF2B5EF4-FFF2-40B4-BE49-F238E27FC236}">
              <a16:creationId xmlns:a16="http://schemas.microsoft.com/office/drawing/2014/main" id="{00000000-0008-0000-0100-0000A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79" name="Drop Down 1" hidden="1">
          <a:extLst>
            <a:ext uri="{FF2B5EF4-FFF2-40B4-BE49-F238E27FC236}">
              <a16:creationId xmlns:a16="http://schemas.microsoft.com/office/drawing/2014/main" id="{00000000-0008-0000-0100-0000A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80" name="Drop Down 1" hidden="1">
          <a:extLst>
            <a:ext uri="{FF2B5EF4-FFF2-40B4-BE49-F238E27FC236}">
              <a16:creationId xmlns:a16="http://schemas.microsoft.com/office/drawing/2014/main" id="{00000000-0008-0000-0100-0000B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81" name="Drop Down 1" hidden="1">
          <a:extLst>
            <a:ext uri="{FF2B5EF4-FFF2-40B4-BE49-F238E27FC236}">
              <a16:creationId xmlns:a16="http://schemas.microsoft.com/office/drawing/2014/main" id="{00000000-0008-0000-0100-0000B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82" name="Drop Down 2" hidden="1">
          <a:extLst>
            <a:ext uri="{FF2B5EF4-FFF2-40B4-BE49-F238E27FC236}">
              <a16:creationId xmlns:a16="http://schemas.microsoft.com/office/drawing/2014/main" id="{00000000-0008-0000-0100-0000B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83" name="Drop Down 1" hidden="1">
          <a:extLst>
            <a:ext uri="{FF2B5EF4-FFF2-40B4-BE49-F238E27FC236}">
              <a16:creationId xmlns:a16="http://schemas.microsoft.com/office/drawing/2014/main" id="{00000000-0008-0000-0100-0000B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84" name="Drop Down -1022" hidden="1">
          <a:extLst>
            <a:ext uri="{FF2B5EF4-FFF2-40B4-BE49-F238E27FC236}">
              <a16:creationId xmlns:a16="http://schemas.microsoft.com/office/drawing/2014/main" id="{00000000-0008-0000-0100-0000B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85" name="Drop Down 1" hidden="1">
          <a:extLst>
            <a:ext uri="{FF2B5EF4-FFF2-40B4-BE49-F238E27FC236}">
              <a16:creationId xmlns:a16="http://schemas.microsoft.com/office/drawing/2014/main" id="{00000000-0008-0000-0100-0000B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86" name="Drop Down 1" hidden="1">
          <a:extLst>
            <a:ext uri="{FF2B5EF4-FFF2-40B4-BE49-F238E27FC236}">
              <a16:creationId xmlns:a16="http://schemas.microsoft.com/office/drawing/2014/main" id="{00000000-0008-0000-0100-0000B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87" name="Drop Down 1" hidden="1">
          <a:extLst>
            <a:ext uri="{FF2B5EF4-FFF2-40B4-BE49-F238E27FC236}">
              <a16:creationId xmlns:a16="http://schemas.microsoft.com/office/drawing/2014/main" id="{00000000-0008-0000-0100-0000B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88" name="Drop Down 1" hidden="1">
          <a:extLst>
            <a:ext uri="{FF2B5EF4-FFF2-40B4-BE49-F238E27FC236}">
              <a16:creationId xmlns:a16="http://schemas.microsoft.com/office/drawing/2014/main" id="{00000000-0008-0000-0100-0000B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89" name="Drop Down 2" hidden="1">
          <a:extLst>
            <a:ext uri="{FF2B5EF4-FFF2-40B4-BE49-F238E27FC236}">
              <a16:creationId xmlns:a16="http://schemas.microsoft.com/office/drawing/2014/main" id="{00000000-0008-0000-0100-0000B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90" name="Drop Down 1" hidden="1">
          <a:extLst>
            <a:ext uri="{FF2B5EF4-FFF2-40B4-BE49-F238E27FC236}">
              <a16:creationId xmlns:a16="http://schemas.microsoft.com/office/drawing/2014/main" id="{00000000-0008-0000-0100-0000B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91" name="Drop Down -1022" hidden="1">
          <a:extLst>
            <a:ext uri="{FF2B5EF4-FFF2-40B4-BE49-F238E27FC236}">
              <a16:creationId xmlns:a16="http://schemas.microsoft.com/office/drawing/2014/main" id="{00000000-0008-0000-0100-0000B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92" name="Drop Down 1" hidden="1">
          <a:extLst>
            <a:ext uri="{FF2B5EF4-FFF2-40B4-BE49-F238E27FC236}">
              <a16:creationId xmlns:a16="http://schemas.microsoft.com/office/drawing/2014/main" id="{00000000-0008-0000-0100-0000B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93" name="Drop Down 1" hidden="1">
          <a:extLst>
            <a:ext uri="{FF2B5EF4-FFF2-40B4-BE49-F238E27FC236}">
              <a16:creationId xmlns:a16="http://schemas.microsoft.com/office/drawing/2014/main" id="{00000000-0008-0000-0100-0000B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94" name="Drop Down 1" hidden="1">
          <a:extLst>
            <a:ext uri="{FF2B5EF4-FFF2-40B4-BE49-F238E27FC236}">
              <a16:creationId xmlns:a16="http://schemas.microsoft.com/office/drawing/2014/main" id="{00000000-0008-0000-0100-0000B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95" name="Drop Down 1" hidden="1">
          <a:extLst>
            <a:ext uri="{FF2B5EF4-FFF2-40B4-BE49-F238E27FC236}">
              <a16:creationId xmlns:a16="http://schemas.microsoft.com/office/drawing/2014/main" id="{00000000-0008-0000-0100-0000B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96" name="Drop Down 2" hidden="1">
          <a:extLst>
            <a:ext uri="{FF2B5EF4-FFF2-40B4-BE49-F238E27FC236}">
              <a16:creationId xmlns:a16="http://schemas.microsoft.com/office/drawing/2014/main" id="{00000000-0008-0000-0100-0000C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97" name="Drop Down 1" hidden="1">
          <a:extLst>
            <a:ext uri="{FF2B5EF4-FFF2-40B4-BE49-F238E27FC236}">
              <a16:creationId xmlns:a16="http://schemas.microsoft.com/office/drawing/2014/main" id="{00000000-0008-0000-0100-0000C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898" name="Drop Down -1022" hidden="1">
          <a:extLst>
            <a:ext uri="{FF2B5EF4-FFF2-40B4-BE49-F238E27FC236}">
              <a16:creationId xmlns:a16="http://schemas.microsoft.com/office/drawing/2014/main" id="{00000000-0008-0000-0100-0000C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899" name="Drop Down 1" hidden="1">
          <a:extLst>
            <a:ext uri="{FF2B5EF4-FFF2-40B4-BE49-F238E27FC236}">
              <a16:creationId xmlns:a16="http://schemas.microsoft.com/office/drawing/2014/main" id="{00000000-0008-0000-0100-0000C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00" name="Drop Down 1" hidden="1">
          <a:extLst>
            <a:ext uri="{FF2B5EF4-FFF2-40B4-BE49-F238E27FC236}">
              <a16:creationId xmlns:a16="http://schemas.microsoft.com/office/drawing/2014/main" id="{00000000-0008-0000-0100-0000C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01" name="Drop Down 1" hidden="1">
          <a:extLst>
            <a:ext uri="{FF2B5EF4-FFF2-40B4-BE49-F238E27FC236}">
              <a16:creationId xmlns:a16="http://schemas.microsoft.com/office/drawing/2014/main" id="{00000000-0008-0000-0100-0000C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02" name="Drop Down 1" hidden="1">
          <a:extLst>
            <a:ext uri="{FF2B5EF4-FFF2-40B4-BE49-F238E27FC236}">
              <a16:creationId xmlns:a16="http://schemas.microsoft.com/office/drawing/2014/main" id="{00000000-0008-0000-0100-0000C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03" name="Drop Down 2" hidden="1">
          <a:extLst>
            <a:ext uri="{FF2B5EF4-FFF2-40B4-BE49-F238E27FC236}">
              <a16:creationId xmlns:a16="http://schemas.microsoft.com/office/drawing/2014/main" id="{00000000-0008-0000-0100-0000C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04" name="Drop Down 1" hidden="1">
          <a:extLst>
            <a:ext uri="{FF2B5EF4-FFF2-40B4-BE49-F238E27FC236}">
              <a16:creationId xmlns:a16="http://schemas.microsoft.com/office/drawing/2014/main" id="{00000000-0008-0000-0100-0000C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05" name="Drop Down -1022" hidden="1">
          <a:extLst>
            <a:ext uri="{FF2B5EF4-FFF2-40B4-BE49-F238E27FC236}">
              <a16:creationId xmlns:a16="http://schemas.microsoft.com/office/drawing/2014/main" id="{00000000-0008-0000-0100-0000C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06" name="Drop Down 1" hidden="1">
          <a:extLst>
            <a:ext uri="{FF2B5EF4-FFF2-40B4-BE49-F238E27FC236}">
              <a16:creationId xmlns:a16="http://schemas.microsoft.com/office/drawing/2014/main" id="{00000000-0008-0000-0100-0000C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07" name="Drop Down 1" hidden="1">
          <a:extLst>
            <a:ext uri="{FF2B5EF4-FFF2-40B4-BE49-F238E27FC236}">
              <a16:creationId xmlns:a16="http://schemas.microsoft.com/office/drawing/2014/main" id="{00000000-0008-0000-0100-0000C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08" name="Drop Down 1" hidden="1">
          <a:extLst>
            <a:ext uri="{FF2B5EF4-FFF2-40B4-BE49-F238E27FC236}">
              <a16:creationId xmlns:a16="http://schemas.microsoft.com/office/drawing/2014/main" id="{00000000-0008-0000-0100-0000C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09" name="Drop Down 1" hidden="1">
          <a:extLst>
            <a:ext uri="{FF2B5EF4-FFF2-40B4-BE49-F238E27FC236}">
              <a16:creationId xmlns:a16="http://schemas.microsoft.com/office/drawing/2014/main" id="{00000000-0008-0000-0100-0000C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10" name="Drop Down 2" hidden="1">
          <a:extLst>
            <a:ext uri="{FF2B5EF4-FFF2-40B4-BE49-F238E27FC236}">
              <a16:creationId xmlns:a16="http://schemas.microsoft.com/office/drawing/2014/main" id="{00000000-0008-0000-0100-0000C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11" name="Drop Down 1" hidden="1">
          <a:extLst>
            <a:ext uri="{FF2B5EF4-FFF2-40B4-BE49-F238E27FC236}">
              <a16:creationId xmlns:a16="http://schemas.microsoft.com/office/drawing/2014/main" id="{00000000-0008-0000-0100-0000C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12" name="Drop Down -1022" hidden="1">
          <a:extLst>
            <a:ext uri="{FF2B5EF4-FFF2-40B4-BE49-F238E27FC236}">
              <a16:creationId xmlns:a16="http://schemas.microsoft.com/office/drawing/2014/main" id="{00000000-0008-0000-0100-0000D0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13" name="Drop Down 1" hidden="1">
          <a:extLst>
            <a:ext uri="{FF2B5EF4-FFF2-40B4-BE49-F238E27FC236}">
              <a16:creationId xmlns:a16="http://schemas.microsoft.com/office/drawing/2014/main" id="{00000000-0008-0000-0100-0000D1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14" name="Drop Down 1" hidden="1">
          <a:extLst>
            <a:ext uri="{FF2B5EF4-FFF2-40B4-BE49-F238E27FC236}">
              <a16:creationId xmlns:a16="http://schemas.microsoft.com/office/drawing/2014/main" id="{00000000-0008-0000-0100-0000D2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15" name="Drop Down 1" hidden="1">
          <a:extLst>
            <a:ext uri="{FF2B5EF4-FFF2-40B4-BE49-F238E27FC236}">
              <a16:creationId xmlns:a16="http://schemas.microsoft.com/office/drawing/2014/main" id="{00000000-0008-0000-0100-0000D3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16" name="Drop Down 1" hidden="1">
          <a:extLst>
            <a:ext uri="{FF2B5EF4-FFF2-40B4-BE49-F238E27FC236}">
              <a16:creationId xmlns:a16="http://schemas.microsoft.com/office/drawing/2014/main" id="{00000000-0008-0000-0100-0000D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17" name="Drop Down 2" hidden="1">
          <a:extLst>
            <a:ext uri="{FF2B5EF4-FFF2-40B4-BE49-F238E27FC236}">
              <a16:creationId xmlns:a16="http://schemas.microsoft.com/office/drawing/2014/main" id="{00000000-0008-0000-0100-0000D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18" name="Drop Down 1" hidden="1">
          <a:extLst>
            <a:ext uri="{FF2B5EF4-FFF2-40B4-BE49-F238E27FC236}">
              <a16:creationId xmlns:a16="http://schemas.microsoft.com/office/drawing/2014/main" id="{00000000-0008-0000-0100-0000D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19" name="Drop Down -1022" hidden="1">
          <a:extLst>
            <a:ext uri="{FF2B5EF4-FFF2-40B4-BE49-F238E27FC236}">
              <a16:creationId xmlns:a16="http://schemas.microsoft.com/office/drawing/2014/main" id="{00000000-0008-0000-0100-0000D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20" name="Drop Down 1" hidden="1">
          <a:extLst>
            <a:ext uri="{FF2B5EF4-FFF2-40B4-BE49-F238E27FC236}">
              <a16:creationId xmlns:a16="http://schemas.microsoft.com/office/drawing/2014/main" id="{00000000-0008-0000-0100-0000D8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21" name="Drop Down 1" hidden="1">
          <a:extLst>
            <a:ext uri="{FF2B5EF4-FFF2-40B4-BE49-F238E27FC236}">
              <a16:creationId xmlns:a16="http://schemas.microsoft.com/office/drawing/2014/main" id="{00000000-0008-0000-0100-0000D9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22" name="Drop Down 1" hidden="1">
          <a:extLst>
            <a:ext uri="{FF2B5EF4-FFF2-40B4-BE49-F238E27FC236}">
              <a16:creationId xmlns:a16="http://schemas.microsoft.com/office/drawing/2014/main" id="{00000000-0008-0000-0100-0000DA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23" name="Drop Down 1" hidden="1">
          <a:extLst>
            <a:ext uri="{FF2B5EF4-FFF2-40B4-BE49-F238E27FC236}">
              <a16:creationId xmlns:a16="http://schemas.microsoft.com/office/drawing/2014/main" id="{00000000-0008-0000-0100-0000DB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24" name="Drop Down 2" hidden="1">
          <a:extLst>
            <a:ext uri="{FF2B5EF4-FFF2-40B4-BE49-F238E27FC236}">
              <a16:creationId xmlns:a16="http://schemas.microsoft.com/office/drawing/2014/main" id="{00000000-0008-0000-0100-0000DC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25" name="Drop Down 1" hidden="1">
          <a:extLst>
            <a:ext uri="{FF2B5EF4-FFF2-40B4-BE49-F238E27FC236}">
              <a16:creationId xmlns:a16="http://schemas.microsoft.com/office/drawing/2014/main" id="{00000000-0008-0000-0100-0000DD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26" name="Drop Down -1022" hidden="1">
          <a:extLst>
            <a:ext uri="{FF2B5EF4-FFF2-40B4-BE49-F238E27FC236}">
              <a16:creationId xmlns:a16="http://schemas.microsoft.com/office/drawing/2014/main" id="{00000000-0008-0000-0100-0000DE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27" name="Drop Down 1" hidden="1">
          <a:extLst>
            <a:ext uri="{FF2B5EF4-FFF2-40B4-BE49-F238E27FC236}">
              <a16:creationId xmlns:a16="http://schemas.microsoft.com/office/drawing/2014/main" id="{00000000-0008-0000-0100-0000DF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28" name="Drop Down 1" hidden="1">
          <a:extLst>
            <a:ext uri="{FF2B5EF4-FFF2-40B4-BE49-F238E27FC236}">
              <a16:creationId xmlns:a16="http://schemas.microsoft.com/office/drawing/2014/main" id="{00000000-0008-0000-0100-0000E0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29" name="Drop Down 1" hidden="1">
          <a:extLst>
            <a:ext uri="{FF2B5EF4-FFF2-40B4-BE49-F238E27FC236}">
              <a16:creationId xmlns:a16="http://schemas.microsoft.com/office/drawing/2014/main" id="{00000000-0008-0000-0100-0000E1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30" name="Drop Down 1" hidden="1">
          <a:extLst>
            <a:ext uri="{FF2B5EF4-FFF2-40B4-BE49-F238E27FC236}">
              <a16:creationId xmlns:a16="http://schemas.microsoft.com/office/drawing/2014/main" id="{00000000-0008-0000-0100-0000E2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31" name="Drop Down 2" hidden="1">
          <a:extLst>
            <a:ext uri="{FF2B5EF4-FFF2-40B4-BE49-F238E27FC236}">
              <a16:creationId xmlns:a16="http://schemas.microsoft.com/office/drawing/2014/main" id="{00000000-0008-0000-0100-0000E3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32" name="Drop Down 1" hidden="1">
          <a:extLst>
            <a:ext uri="{FF2B5EF4-FFF2-40B4-BE49-F238E27FC236}">
              <a16:creationId xmlns:a16="http://schemas.microsoft.com/office/drawing/2014/main" id="{00000000-0008-0000-0100-0000E4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33" name="Drop Down -1022" hidden="1">
          <a:extLst>
            <a:ext uri="{FF2B5EF4-FFF2-40B4-BE49-F238E27FC236}">
              <a16:creationId xmlns:a16="http://schemas.microsoft.com/office/drawing/2014/main" id="{00000000-0008-0000-0100-0000E5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34" name="Drop Down 1" hidden="1">
          <a:extLst>
            <a:ext uri="{FF2B5EF4-FFF2-40B4-BE49-F238E27FC236}">
              <a16:creationId xmlns:a16="http://schemas.microsoft.com/office/drawing/2014/main" id="{00000000-0008-0000-0100-0000E6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35" name="Drop Down 1" hidden="1">
          <a:extLst>
            <a:ext uri="{FF2B5EF4-FFF2-40B4-BE49-F238E27FC236}">
              <a16:creationId xmlns:a16="http://schemas.microsoft.com/office/drawing/2014/main" id="{00000000-0008-0000-0100-0000E7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36" name="Drop Down 1" hidden="1">
          <a:extLst>
            <a:ext uri="{FF2B5EF4-FFF2-40B4-BE49-F238E27FC236}">
              <a16:creationId xmlns:a16="http://schemas.microsoft.com/office/drawing/2014/main" id="{00000000-0008-0000-0100-0000E8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37" name="Drop Down 1" hidden="1">
          <a:extLst>
            <a:ext uri="{FF2B5EF4-FFF2-40B4-BE49-F238E27FC236}">
              <a16:creationId xmlns:a16="http://schemas.microsoft.com/office/drawing/2014/main" id="{00000000-0008-0000-0100-0000E9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38" name="Drop Down 2" hidden="1">
          <a:extLst>
            <a:ext uri="{FF2B5EF4-FFF2-40B4-BE49-F238E27FC236}">
              <a16:creationId xmlns:a16="http://schemas.microsoft.com/office/drawing/2014/main" id="{00000000-0008-0000-0100-0000EA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39" name="Drop Down 1" hidden="1">
          <a:extLst>
            <a:ext uri="{FF2B5EF4-FFF2-40B4-BE49-F238E27FC236}">
              <a16:creationId xmlns:a16="http://schemas.microsoft.com/office/drawing/2014/main" id="{00000000-0008-0000-0100-0000EB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40" name="Drop Down -1022" hidden="1">
          <a:extLst>
            <a:ext uri="{FF2B5EF4-FFF2-40B4-BE49-F238E27FC236}">
              <a16:creationId xmlns:a16="http://schemas.microsoft.com/office/drawing/2014/main" id="{00000000-0008-0000-0100-0000EC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41" name="Drop Down 1" hidden="1">
          <a:extLst>
            <a:ext uri="{FF2B5EF4-FFF2-40B4-BE49-F238E27FC236}">
              <a16:creationId xmlns:a16="http://schemas.microsoft.com/office/drawing/2014/main" id="{00000000-0008-0000-0100-0000ED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42" name="Drop Down 1" hidden="1">
          <a:extLst>
            <a:ext uri="{FF2B5EF4-FFF2-40B4-BE49-F238E27FC236}">
              <a16:creationId xmlns:a16="http://schemas.microsoft.com/office/drawing/2014/main" id="{00000000-0008-0000-0100-0000EE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43" name="Drop Down 1" hidden="1">
          <a:extLst>
            <a:ext uri="{FF2B5EF4-FFF2-40B4-BE49-F238E27FC236}">
              <a16:creationId xmlns:a16="http://schemas.microsoft.com/office/drawing/2014/main" id="{00000000-0008-0000-0100-0000EF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44" name="Drop Down 1" hidden="1">
          <a:extLst>
            <a:ext uri="{FF2B5EF4-FFF2-40B4-BE49-F238E27FC236}">
              <a16:creationId xmlns:a16="http://schemas.microsoft.com/office/drawing/2014/main" id="{00000000-0008-0000-0100-0000F0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45" name="Drop Down 2" hidden="1">
          <a:extLst>
            <a:ext uri="{FF2B5EF4-FFF2-40B4-BE49-F238E27FC236}">
              <a16:creationId xmlns:a16="http://schemas.microsoft.com/office/drawing/2014/main" id="{00000000-0008-0000-0100-0000F1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46" name="Drop Down 1" hidden="1">
          <a:extLst>
            <a:ext uri="{FF2B5EF4-FFF2-40B4-BE49-F238E27FC236}">
              <a16:creationId xmlns:a16="http://schemas.microsoft.com/office/drawing/2014/main" id="{00000000-0008-0000-0100-0000F2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47" name="Drop Down -1022" hidden="1">
          <a:extLst>
            <a:ext uri="{FF2B5EF4-FFF2-40B4-BE49-F238E27FC236}">
              <a16:creationId xmlns:a16="http://schemas.microsoft.com/office/drawing/2014/main" id="{00000000-0008-0000-0100-0000F322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48" name="Drop Down 1" hidden="1">
          <a:extLst>
            <a:ext uri="{FF2B5EF4-FFF2-40B4-BE49-F238E27FC236}">
              <a16:creationId xmlns:a16="http://schemas.microsoft.com/office/drawing/2014/main" id="{00000000-0008-0000-0100-0000F4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49" name="Drop Down 1" hidden="1">
          <a:extLst>
            <a:ext uri="{FF2B5EF4-FFF2-40B4-BE49-F238E27FC236}">
              <a16:creationId xmlns:a16="http://schemas.microsoft.com/office/drawing/2014/main" id="{00000000-0008-0000-0100-0000F5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50" name="Drop Down 1" hidden="1">
          <a:extLst>
            <a:ext uri="{FF2B5EF4-FFF2-40B4-BE49-F238E27FC236}">
              <a16:creationId xmlns:a16="http://schemas.microsoft.com/office/drawing/2014/main" id="{00000000-0008-0000-0100-0000F6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51" name="Drop Down 1" hidden="1">
          <a:extLst>
            <a:ext uri="{FF2B5EF4-FFF2-40B4-BE49-F238E27FC236}">
              <a16:creationId xmlns:a16="http://schemas.microsoft.com/office/drawing/2014/main" id="{00000000-0008-0000-0100-0000F7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52" name="Drop Down 2" hidden="1">
          <a:extLst>
            <a:ext uri="{FF2B5EF4-FFF2-40B4-BE49-F238E27FC236}">
              <a16:creationId xmlns:a16="http://schemas.microsoft.com/office/drawing/2014/main" id="{00000000-0008-0000-0100-0000F8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53" name="Drop Down 1" hidden="1">
          <a:extLst>
            <a:ext uri="{FF2B5EF4-FFF2-40B4-BE49-F238E27FC236}">
              <a16:creationId xmlns:a16="http://schemas.microsoft.com/office/drawing/2014/main" id="{00000000-0008-0000-0100-0000F9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54" name="Drop Down -1022" hidden="1">
          <a:extLst>
            <a:ext uri="{FF2B5EF4-FFF2-40B4-BE49-F238E27FC236}">
              <a16:creationId xmlns:a16="http://schemas.microsoft.com/office/drawing/2014/main" id="{00000000-0008-0000-0100-0000FA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55" name="Drop Down 1" hidden="1">
          <a:extLst>
            <a:ext uri="{FF2B5EF4-FFF2-40B4-BE49-F238E27FC236}">
              <a16:creationId xmlns:a16="http://schemas.microsoft.com/office/drawing/2014/main" id="{00000000-0008-0000-0100-0000FB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56" name="Drop Down 1" hidden="1">
          <a:extLst>
            <a:ext uri="{FF2B5EF4-FFF2-40B4-BE49-F238E27FC236}">
              <a16:creationId xmlns:a16="http://schemas.microsoft.com/office/drawing/2014/main" id="{00000000-0008-0000-0100-0000FC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57" name="Drop Down 1" hidden="1">
          <a:extLst>
            <a:ext uri="{FF2B5EF4-FFF2-40B4-BE49-F238E27FC236}">
              <a16:creationId xmlns:a16="http://schemas.microsoft.com/office/drawing/2014/main" id="{00000000-0008-0000-0100-0000FD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58" name="Drop Down 1" hidden="1">
          <a:extLst>
            <a:ext uri="{FF2B5EF4-FFF2-40B4-BE49-F238E27FC236}">
              <a16:creationId xmlns:a16="http://schemas.microsoft.com/office/drawing/2014/main" id="{00000000-0008-0000-0100-0000FE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59" name="Drop Down 2" hidden="1">
          <a:extLst>
            <a:ext uri="{FF2B5EF4-FFF2-40B4-BE49-F238E27FC236}">
              <a16:creationId xmlns:a16="http://schemas.microsoft.com/office/drawing/2014/main" id="{00000000-0008-0000-0100-0000FF22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60" name="Drop Down 1" hidden="1">
          <a:extLst>
            <a:ext uri="{FF2B5EF4-FFF2-40B4-BE49-F238E27FC236}">
              <a16:creationId xmlns:a16="http://schemas.microsoft.com/office/drawing/2014/main" id="{00000000-0008-0000-0100-000000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61" name="Drop Down -1022" hidden="1">
          <a:extLst>
            <a:ext uri="{FF2B5EF4-FFF2-40B4-BE49-F238E27FC236}">
              <a16:creationId xmlns:a16="http://schemas.microsoft.com/office/drawing/2014/main" id="{00000000-0008-0000-0100-000001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62" name="Drop Down 1" hidden="1">
          <a:extLst>
            <a:ext uri="{FF2B5EF4-FFF2-40B4-BE49-F238E27FC236}">
              <a16:creationId xmlns:a16="http://schemas.microsoft.com/office/drawing/2014/main" id="{00000000-0008-0000-0100-000002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63" name="Drop Down 1" hidden="1">
          <a:extLst>
            <a:ext uri="{FF2B5EF4-FFF2-40B4-BE49-F238E27FC236}">
              <a16:creationId xmlns:a16="http://schemas.microsoft.com/office/drawing/2014/main" id="{00000000-0008-0000-0100-000003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64" name="Drop Down 1" hidden="1">
          <a:extLst>
            <a:ext uri="{FF2B5EF4-FFF2-40B4-BE49-F238E27FC236}">
              <a16:creationId xmlns:a16="http://schemas.microsoft.com/office/drawing/2014/main" id="{00000000-0008-0000-0100-00000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65" name="Drop Down 1" hidden="1">
          <a:extLst>
            <a:ext uri="{FF2B5EF4-FFF2-40B4-BE49-F238E27FC236}">
              <a16:creationId xmlns:a16="http://schemas.microsoft.com/office/drawing/2014/main" id="{00000000-0008-0000-0100-00000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66" name="Drop Down 2" hidden="1">
          <a:extLst>
            <a:ext uri="{FF2B5EF4-FFF2-40B4-BE49-F238E27FC236}">
              <a16:creationId xmlns:a16="http://schemas.microsoft.com/office/drawing/2014/main" id="{00000000-0008-0000-0100-00000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67" name="Drop Down 1" hidden="1">
          <a:extLst>
            <a:ext uri="{FF2B5EF4-FFF2-40B4-BE49-F238E27FC236}">
              <a16:creationId xmlns:a16="http://schemas.microsoft.com/office/drawing/2014/main" id="{00000000-0008-0000-0100-00000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8968" name="Drop Down -1022" hidden="1">
          <a:extLst>
            <a:ext uri="{FF2B5EF4-FFF2-40B4-BE49-F238E27FC236}">
              <a16:creationId xmlns:a16="http://schemas.microsoft.com/office/drawing/2014/main" id="{00000000-0008-0000-0100-00000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69" name="Drop Down 1" hidden="1">
          <a:extLst>
            <a:ext uri="{FF2B5EF4-FFF2-40B4-BE49-F238E27FC236}">
              <a16:creationId xmlns:a16="http://schemas.microsoft.com/office/drawing/2014/main" id="{00000000-0008-0000-0100-00000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70" name="Drop Down 1" hidden="1">
          <a:extLst>
            <a:ext uri="{FF2B5EF4-FFF2-40B4-BE49-F238E27FC236}">
              <a16:creationId xmlns:a16="http://schemas.microsoft.com/office/drawing/2014/main" id="{00000000-0008-0000-0100-00000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71" name="Drop Down 1" hidden="1">
          <a:extLst>
            <a:ext uri="{FF2B5EF4-FFF2-40B4-BE49-F238E27FC236}">
              <a16:creationId xmlns:a16="http://schemas.microsoft.com/office/drawing/2014/main" id="{00000000-0008-0000-0100-00000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72" name="Drop Down 1" hidden="1">
          <a:extLst>
            <a:ext uri="{FF2B5EF4-FFF2-40B4-BE49-F238E27FC236}">
              <a16:creationId xmlns:a16="http://schemas.microsoft.com/office/drawing/2014/main" id="{00000000-0008-0000-0100-00000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73" name="Drop Down 2" hidden="1">
          <a:extLst>
            <a:ext uri="{FF2B5EF4-FFF2-40B4-BE49-F238E27FC236}">
              <a16:creationId xmlns:a16="http://schemas.microsoft.com/office/drawing/2014/main" id="{00000000-0008-0000-0100-00000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74" name="Drop Down 1" hidden="1">
          <a:extLst>
            <a:ext uri="{FF2B5EF4-FFF2-40B4-BE49-F238E27FC236}">
              <a16:creationId xmlns:a16="http://schemas.microsoft.com/office/drawing/2014/main" id="{00000000-0008-0000-0100-00000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8975" name="Drop Down -1022" hidden="1">
          <a:extLst>
            <a:ext uri="{FF2B5EF4-FFF2-40B4-BE49-F238E27FC236}">
              <a16:creationId xmlns:a16="http://schemas.microsoft.com/office/drawing/2014/main" id="{00000000-0008-0000-0100-00000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76" name="Drop Down 1" hidden="1">
          <a:extLst>
            <a:ext uri="{FF2B5EF4-FFF2-40B4-BE49-F238E27FC236}">
              <a16:creationId xmlns:a16="http://schemas.microsoft.com/office/drawing/2014/main" id="{00000000-0008-0000-0100-000010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77" name="Drop Down 1" hidden="1">
          <a:extLst>
            <a:ext uri="{FF2B5EF4-FFF2-40B4-BE49-F238E27FC236}">
              <a16:creationId xmlns:a16="http://schemas.microsoft.com/office/drawing/2014/main" id="{00000000-0008-0000-0100-000011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78" name="Drop Down 1" hidden="1">
          <a:extLst>
            <a:ext uri="{FF2B5EF4-FFF2-40B4-BE49-F238E27FC236}">
              <a16:creationId xmlns:a16="http://schemas.microsoft.com/office/drawing/2014/main" id="{00000000-0008-0000-0100-000012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79" name="Drop Down 1" hidden="1">
          <a:extLst>
            <a:ext uri="{FF2B5EF4-FFF2-40B4-BE49-F238E27FC236}">
              <a16:creationId xmlns:a16="http://schemas.microsoft.com/office/drawing/2014/main" id="{00000000-0008-0000-0100-000013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80" name="Drop Down 2" hidden="1">
          <a:extLst>
            <a:ext uri="{FF2B5EF4-FFF2-40B4-BE49-F238E27FC236}">
              <a16:creationId xmlns:a16="http://schemas.microsoft.com/office/drawing/2014/main" id="{00000000-0008-0000-0100-000014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81" name="Drop Down 1" hidden="1">
          <a:extLst>
            <a:ext uri="{FF2B5EF4-FFF2-40B4-BE49-F238E27FC236}">
              <a16:creationId xmlns:a16="http://schemas.microsoft.com/office/drawing/2014/main" id="{00000000-0008-0000-0100-000015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82" name="Drop Down -1022" hidden="1">
          <a:extLst>
            <a:ext uri="{FF2B5EF4-FFF2-40B4-BE49-F238E27FC236}">
              <a16:creationId xmlns:a16="http://schemas.microsoft.com/office/drawing/2014/main" id="{00000000-0008-0000-0100-000016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83" name="Drop Down 1" hidden="1">
          <a:extLst>
            <a:ext uri="{FF2B5EF4-FFF2-40B4-BE49-F238E27FC236}">
              <a16:creationId xmlns:a16="http://schemas.microsoft.com/office/drawing/2014/main" id="{00000000-0008-0000-0100-000017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84" name="Drop Down 1" hidden="1">
          <a:extLst>
            <a:ext uri="{FF2B5EF4-FFF2-40B4-BE49-F238E27FC236}">
              <a16:creationId xmlns:a16="http://schemas.microsoft.com/office/drawing/2014/main" id="{00000000-0008-0000-0100-000018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85" name="Drop Down 1" hidden="1">
          <a:extLst>
            <a:ext uri="{FF2B5EF4-FFF2-40B4-BE49-F238E27FC236}">
              <a16:creationId xmlns:a16="http://schemas.microsoft.com/office/drawing/2014/main" id="{00000000-0008-0000-0100-000019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86" name="Drop Down 1" hidden="1">
          <a:extLst>
            <a:ext uri="{FF2B5EF4-FFF2-40B4-BE49-F238E27FC236}">
              <a16:creationId xmlns:a16="http://schemas.microsoft.com/office/drawing/2014/main" id="{00000000-0008-0000-0100-00001A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87" name="Drop Down 2" hidden="1">
          <a:extLst>
            <a:ext uri="{FF2B5EF4-FFF2-40B4-BE49-F238E27FC236}">
              <a16:creationId xmlns:a16="http://schemas.microsoft.com/office/drawing/2014/main" id="{00000000-0008-0000-0100-00001B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88" name="Drop Down 1" hidden="1">
          <a:extLst>
            <a:ext uri="{FF2B5EF4-FFF2-40B4-BE49-F238E27FC236}">
              <a16:creationId xmlns:a16="http://schemas.microsoft.com/office/drawing/2014/main" id="{00000000-0008-0000-0100-00001C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89" name="Drop Down -1022" hidden="1">
          <a:extLst>
            <a:ext uri="{FF2B5EF4-FFF2-40B4-BE49-F238E27FC236}">
              <a16:creationId xmlns:a16="http://schemas.microsoft.com/office/drawing/2014/main" id="{00000000-0008-0000-0100-00001D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90" name="Drop Down 1" hidden="1">
          <a:extLst>
            <a:ext uri="{FF2B5EF4-FFF2-40B4-BE49-F238E27FC236}">
              <a16:creationId xmlns:a16="http://schemas.microsoft.com/office/drawing/2014/main" id="{00000000-0008-0000-0100-00001E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91" name="Drop Down 1" hidden="1">
          <a:extLst>
            <a:ext uri="{FF2B5EF4-FFF2-40B4-BE49-F238E27FC236}">
              <a16:creationId xmlns:a16="http://schemas.microsoft.com/office/drawing/2014/main" id="{00000000-0008-0000-0100-00001F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92" name="Drop Down 1" hidden="1">
          <a:extLst>
            <a:ext uri="{FF2B5EF4-FFF2-40B4-BE49-F238E27FC236}">
              <a16:creationId xmlns:a16="http://schemas.microsoft.com/office/drawing/2014/main" id="{00000000-0008-0000-0100-000020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93" name="Drop Down 1" hidden="1">
          <a:extLst>
            <a:ext uri="{FF2B5EF4-FFF2-40B4-BE49-F238E27FC236}">
              <a16:creationId xmlns:a16="http://schemas.microsoft.com/office/drawing/2014/main" id="{00000000-0008-0000-0100-000021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94" name="Drop Down 2" hidden="1">
          <a:extLst>
            <a:ext uri="{FF2B5EF4-FFF2-40B4-BE49-F238E27FC236}">
              <a16:creationId xmlns:a16="http://schemas.microsoft.com/office/drawing/2014/main" id="{00000000-0008-0000-0100-000022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95" name="Drop Down 1" hidden="1">
          <a:extLst>
            <a:ext uri="{FF2B5EF4-FFF2-40B4-BE49-F238E27FC236}">
              <a16:creationId xmlns:a16="http://schemas.microsoft.com/office/drawing/2014/main" id="{00000000-0008-0000-0100-000023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8996" name="Drop Down -1022" hidden="1">
          <a:extLst>
            <a:ext uri="{FF2B5EF4-FFF2-40B4-BE49-F238E27FC236}">
              <a16:creationId xmlns:a16="http://schemas.microsoft.com/office/drawing/2014/main" id="{00000000-0008-0000-0100-000024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97" name="Drop Down 1" hidden="1">
          <a:extLst>
            <a:ext uri="{FF2B5EF4-FFF2-40B4-BE49-F238E27FC236}">
              <a16:creationId xmlns:a16="http://schemas.microsoft.com/office/drawing/2014/main" id="{00000000-0008-0000-0100-000025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98" name="Drop Down 1" hidden="1">
          <a:extLst>
            <a:ext uri="{FF2B5EF4-FFF2-40B4-BE49-F238E27FC236}">
              <a16:creationId xmlns:a16="http://schemas.microsoft.com/office/drawing/2014/main" id="{00000000-0008-0000-0100-000026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8999" name="Drop Down 1" hidden="1">
          <a:extLst>
            <a:ext uri="{FF2B5EF4-FFF2-40B4-BE49-F238E27FC236}">
              <a16:creationId xmlns:a16="http://schemas.microsoft.com/office/drawing/2014/main" id="{00000000-0008-0000-0100-000027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00" name="Drop Down 1" hidden="1">
          <a:extLst>
            <a:ext uri="{FF2B5EF4-FFF2-40B4-BE49-F238E27FC236}">
              <a16:creationId xmlns:a16="http://schemas.microsoft.com/office/drawing/2014/main" id="{00000000-0008-0000-0100-000028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01" name="Drop Down 2" hidden="1">
          <a:extLst>
            <a:ext uri="{FF2B5EF4-FFF2-40B4-BE49-F238E27FC236}">
              <a16:creationId xmlns:a16="http://schemas.microsoft.com/office/drawing/2014/main" id="{00000000-0008-0000-0100-000029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02" name="Drop Down 1" hidden="1">
          <a:extLst>
            <a:ext uri="{FF2B5EF4-FFF2-40B4-BE49-F238E27FC236}">
              <a16:creationId xmlns:a16="http://schemas.microsoft.com/office/drawing/2014/main" id="{00000000-0008-0000-0100-00002A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03" name="Drop Down -1022" hidden="1">
          <a:extLst>
            <a:ext uri="{FF2B5EF4-FFF2-40B4-BE49-F238E27FC236}">
              <a16:creationId xmlns:a16="http://schemas.microsoft.com/office/drawing/2014/main" id="{00000000-0008-0000-0100-00002B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004" name="Drop Down 1" hidden="1">
          <a:extLst>
            <a:ext uri="{FF2B5EF4-FFF2-40B4-BE49-F238E27FC236}">
              <a16:creationId xmlns:a16="http://schemas.microsoft.com/office/drawing/2014/main" id="{00000000-0008-0000-0100-00002C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005" name="Drop Down 1" hidden="1">
          <a:extLst>
            <a:ext uri="{FF2B5EF4-FFF2-40B4-BE49-F238E27FC236}">
              <a16:creationId xmlns:a16="http://schemas.microsoft.com/office/drawing/2014/main" id="{00000000-0008-0000-0100-00002D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006" name="Drop Down 1" hidden="1">
          <a:extLst>
            <a:ext uri="{FF2B5EF4-FFF2-40B4-BE49-F238E27FC236}">
              <a16:creationId xmlns:a16="http://schemas.microsoft.com/office/drawing/2014/main" id="{00000000-0008-0000-0100-00002E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007" name="Drop Down 1" hidden="1">
          <a:extLst>
            <a:ext uri="{FF2B5EF4-FFF2-40B4-BE49-F238E27FC236}">
              <a16:creationId xmlns:a16="http://schemas.microsoft.com/office/drawing/2014/main" id="{00000000-0008-0000-0100-00002F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008" name="Drop Down 2" hidden="1">
          <a:extLst>
            <a:ext uri="{FF2B5EF4-FFF2-40B4-BE49-F238E27FC236}">
              <a16:creationId xmlns:a16="http://schemas.microsoft.com/office/drawing/2014/main" id="{00000000-0008-0000-0100-000030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009" name="Drop Down 1" hidden="1">
          <a:extLst>
            <a:ext uri="{FF2B5EF4-FFF2-40B4-BE49-F238E27FC236}">
              <a16:creationId xmlns:a16="http://schemas.microsoft.com/office/drawing/2014/main" id="{00000000-0008-0000-0100-000031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010" name="Drop Down -1022" hidden="1">
          <a:extLst>
            <a:ext uri="{FF2B5EF4-FFF2-40B4-BE49-F238E27FC236}">
              <a16:creationId xmlns:a16="http://schemas.microsoft.com/office/drawing/2014/main" id="{00000000-0008-0000-0100-000032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011" name="Drop Down 1" hidden="1">
          <a:extLst>
            <a:ext uri="{FF2B5EF4-FFF2-40B4-BE49-F238E27FC236}">
              <a16:creationId xmlns:a16="http://schemas.microsoft.com/office/drawing/2014/main" id="{00000000-0008-0000-0100-000033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012" name="Drop Down 1" hidden="1">
          <a:extLst>
            <a:ext uri="{FF2B5EF4-FFF2-40B4-BE49-F238E27FC236}">
              <a16:creationId xmlns:a16="http://schemas.microsoft.com/office/drawing/2014/main" id="{00000000-0008-0000-0100-000034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013" name="Drop Down 1" hidden="1">
          <a:extLst>
            <a:ext uri="{FF2B5EF4-FFF2-40B4-BE49-F238E27FC236}">
              <a16:creationId xmlns:a16="http://schemas.microsoft.com/office/drawing/2014/main" id="{00000000-0008-0000-0100-000035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014" name="Drop Down 1" hidden="1">
          <a:extLst>
            <a:ext uri="{FF2B5EF4-FFF2-40B4-BE49-F238E27FC236}">
              <a16:creationId xmlns:a16="http://schemas.microsoft.com/office/drawing/2014/main" id="{00000000-0008-0000-0100-000036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015" name="Drop Down 2" hidden="1">
          <a:extLst>
            <a:ext uri="{FF2B5EF4-FFF2-40B4-BE49-F238E27FC236}">
              <a16:creationId xmlns:a16="http://schemas.microsoft.com/office/drawing/2014/main" id="{00000000-0008-0000-0100-000037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016" name="Drop Down 1" hidden="1">
          <a:extLst>
            <a:ext uri="{FF2B5EF4-FFF2-40B4-BE49-F238E27FC236}">
              <a16:creationId xmlns:a16="http://schemas.microsoft.com/office/drawing/2014/main" id="{00000000-0008-0000-0100-000038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017" name="Drop Down -1022" hidden="1">
          <a:extLst>
            <a:ext uri="{FF2B5EF4-FFF2-40B4-BE49-F238E27FC236}">
              <a16:creationId xmlns:a16="http://schemas.microsoft.com/office/drawing/2014/main" id="{00000000-0008-0000-0100-000039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18" name="Drop Down 1" hidden="1">
          <a:extLst>
            <a:ext uri="{FF2B5EF4-FFF2-40B4-BE49-F238E27FC236}">
              <a16:creationId xmlns:a16="http://schemas.microsoft.com/office/drawing/2014/main" id="{00000000-0008-0000-0100-00003A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19" name="Drop Down 1" hidden="1">
          <a:extLst>
            <a:ext uri="{FF2B5EF4-FFF2-40B4-BE49-F238E27FC236}">
              <a16:creationId xmlns:a16="http://schemas.microsoft.com/office/drawing/2014/main" id="{00000000-0008-0000-0100-00003B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20" name="Drop Down 1" hidden="1">
          <a:extLst>
            <a:ext uri="{FF2B5EF4-FFF2-40B4-BE49-F238E27FC236}">
              <a16:creationId xmlns:a16="http://schemas.microsoft.com/office/drawing/2014/main" id="{00000000-0008-0000-0100-00003C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21" name="Drop Down 1" hidden="1">
          <a:extLst>
            <a:ext uri="{FF2B5EF4-FFF2-40B4-BE49-F238E27FC236}">
              <a16:creationId xmlns:a16="http://schemas.microsoft.com/office/drawing/2014/main" id="{00000000-0008-0000-0100-00003D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22" name="Drop Down 2" hidden="1">
          <a:extLst>
            <a:ext uri="{FF2B5EF4-FFF2-40B4-BE49-F238E27FC236}">
              <a16:creationId xmlns:a16="http://schemas.microsoft.com/office/drawing/2014/main" id="{00000000-0008-0000-0100-00003E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23" name="Drop Down 1" hidden="1">
          <a:extLst>
            <a:ext uri="{FF2B5EF4-FFF2-40B4-BE49-F238E27FC236}">
              <a16:creationId xmlns:a16="http://schemas.microsoft.com/office/drawing/2014/main" id="{00000000-0008-0000-0100-00003F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24" name="Drop Down -1022" hidden="1">
          <a:extLst>
            <a:ext uri="{FF2B5EF4-FFF2-40B4-BE49-F238E27FC236}">
              <a16:creationId xmlns:a16="http://schemas.microsoft.com/office/drawing/2014/main" id="{00000000-0008-0000-0100-000040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25" name="Drop Down 1" hidden="1">
          <a:extLst>
            <a:ext uri="{FF2B5EF4-FFF2-40B4-BE49-F238E27FC236}">
              <a16:creationId xmlns:a16="http://schemas.microsoft.com/office/drawing/2014/main" id="{00000000-0008-0000-0100-000041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26" name="Drop Down 1" hidden="1">
          <a:extLst>
            <a:ext uri="{FF2B5EF4-FFF2-40B4-BE49-F238E27FC236}">
              <a16:creationId xmlns:a16="http://schemas.microsoft.com/office/drawing/2014/main" id="{00000000-0008-0000-0100-000042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27" name="Drop Down 1" hidden="1">
          <a:extLst>
            <a:ext uri="{FF2B5EF4-FFF2-40B4-BE49-F238E27FC236}">
              <a16:creationId xmlns:a16="http://schemas.microsoft.com/office/drawing/2014/main" id="{00000000-0008-0000-0100-000043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28" name="Drop Down 1" hidden="1">
          <a:extLst>
            <a:ext uri="{FF2B5EF4-FFF2-40B4-BE49-F238E27FC236}">
              <a16:creationId xmlns:a16="http://schemas.microsoft.com/office/drawing/2014/main" id="{00000000-0008-0000-0100-000044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29" name="Drop Down 2" hidden="1">
          <a:extLst>
            <a:ext uri="{FF2B5EF4-FFF2-40B4-BE49-F238E27FC236}">
              <a16:creationId xmlns:a16="http://schemas.microsoft.com/office/drawing/2014/main" id="{00000000-0008-0000-0100-000045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30" name="Drop Down 1" hidden="1">
          <a:extLst>
            <a:ext uri="{FF2B5EF4-FFF2-40B4-BE49-F238E27FC236}">
              <a16:creationId xmlns:a16="http://schemas.microsoft.com/office/drawing/2014/main" id="{00000000-0008-0000-0100-000046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31" name="Drop Down -1022" hidden="1">
          <a:extLst>
            <a:ext uri="{FF2B5EF4-FFF2-40B4-BE49-F238E27FC236}">
              <a16:creationId xmlns:a16="http://schemas.microsoft.com/office/drawing/2014/main" id="{00000000-0008-0000-0100-000047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32" name="Drop Down 1" hidden="1">
          <a:extLst>
            <a:ext uri="{FF2B5EF4-FFF2-40B4-BE49-F238E27FC236}">
              <a16:creationId xmlns:a16="http://schemas.microsoft.com/office/drawing/2014/main" id="{00000000-0008-0000-0100-00004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33" name="Drop Down 1" hidden="1">
          <a:extLst>
            <a:ext uri="{FF2B5EF4-FFF2-40B4-BE49-F238E27FC236}">
              <a16:creationId xmlns:a16="http://schemas.microsoft.com/office/drawing/2014/main" id="{00000000-0008-0000-0100-00004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34" name="Drop Down 1" hidden="1">
          <a:extLst>
            <a:ext uri="{FF2B5EF4-FFF2-40B4-BE49-F238E27FC236}">
              <a16:creationId xmlns:a16="http://schemas.microsoft.com/office/drawing/2014/main" id="{00000000-0008-0000-0100-00004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35" name="Drop Down 1" hidden="1">
          <a:extLst>
            <a:ext uri="{FF2B5EF4-FFF2-40B4-BE49-F238E27FC236}">
              <a16:creationId xmlns:a16="http://schemas.microsoft.com/office/drawing/2014/main" id="{00000000-0008-0000-0100-00004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36" name="Drop Down 2" hidden="1">
          <a:extLst>
            <a:ext uri="{FF2B5EF4-FFF2-40B4-BE49-F238E27FC236}">
              <a16:creationId xmlns:a16="http://schemas.microsoft.com/office/drawing/2014/main" id="{00000000-0008-0000-0100-00004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37" name="Drop Down 1" hidden="1">
          <a:extLst>
            <a:ext uri="{FF2B5EF4-FFF2-40B4-BE49-F238E27FC236}">
              <a16:creationId xmlns:a16="http://schemas.microsoft.com/office/drawing/2014/main" id="{00000000-0008-0000-0100-00004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38" name="Drop Down -1022" hidden="1">
          <a:extLst>
            <a:ext uri="{FF2B5EF4-FFF2-40B4-BE49-F238E27FC236}">
              <a16:creationId xmlns:a16="http://schemas.microsoft.com/office/drawing/2014/main" id="{00000000-0008-0000-0100-00004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39" name="Drop Down 1" hidden="1">
          <a:extLst>
            <a:ext uri="{FF2B5EF4-FFF2-40B4-BE49-F238E27FC236}">
              <a16:creationId xmlns:a16="http://schemas.microsoft.com/office/drawing/2014/main" id="{00000000-0008-0000-0100-00004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40" name="Drop Down 1" hidden="1">
          <a:extLst>
            <a:ext uri="{FF2B5EF4-FFF2-40B4-BE49-F238E27FC236}">
              <a16:creationId xmlns:a16="http://schemas.microsoft.com/office/drawing/2014/main" id="{00000000-0008-0000-0100-000050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41" name="Drop Down 1" hidden="1">
          <a:extLst>
            <a:ext uri="{FF2B5EF4-FFF2-40B4-BE49-F238E27FC236}">
              <a16:creationId xmlns:a16="http://schemas.microsoft.com/office/drawing/2014/main" id="{00000000-0008-0000-0100-000051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42" name="Drop Down 1" hidden="1">
          <a:extLst>
            <a:ext uri="{FF2B5EF4-FFF2-40B4-BE49-F238E27FC236}">
              <a16:creationId xmlns:a16="http://schemas.microsoft.com/office/drawing/2014/main" id="{00000000-0008-0000-0100-000052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43" name="Drop Down 2" hidden="1">
          <a:extLst>
            <a:ext uri="{FF2B5EF4-FFF2-40B4-BE49-F238E27FC236}">
              <a16:creationId xmlns:a16="http://schemas.microsoft.com/office/drawing/2014/main" id="{00000000-0008-0000-0100-000053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44" name="Drop Down 1" hidden="1">
          <a:extLst>
            <a:ext uri="{FF2B5EF4-FFF2-40B4-BE49-F238E27FC236}">
              <a16:creationId xmlns:a16="http://schemas.microsoft.com/office/drawing/2014/main" id="{00000000-0008-0000-0100-00005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45" name="Drop Down -1022" hidden="1">
          <a:extLst>
            <a:ext uri="{FF2B5EF4-FFF2-40B4-BE49-F238E27FC236}">
              <a16:creationId xmlns:a16="http://schemas.microsoft.com/office/drawing/2014/main" id="{00000000-0008-0000-0100-00005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46" name="Drop Down 1" hidden="1">
          <a:extLst>
            <a:ext uri="{FF2B5EF4-FFF2-40B4-BE49-F238E27FC236}">
              <a16:creationId xmlns:a16="http://schemas.microsoft.com/office/drawing/2014/main" id="{00000000-0008-0000-0100-00005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47" name="Drop Down 1" hidden="1">
          <a:extLst>
            <a:ext uri="{FF2B5EF4-FFF2-40B4-BE49-F238E27FC236}">
              <a16:creationId xmlns:a16="http://schemas.microsoft.com/office/drawing/2014/main" id="{00000000-0008-0000-0100-00005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48" name="Drop Down 1" hidden="1">
          <a:extLst>
            <a:ext uri="{FF2B5EF4-FFF2-40B4-BE49-F238E27FC236}">
              <a16:creationId xmlns:a16="http://schemas.microsoft.com/office/drawing/2014/main" id="{00000000-0008-0000-0100-00005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49" name="Drop Down 1" hidden="1">
          <a:extLst>
            <a:ext uri="{FF2B5EF4-FFF2-40B4-BE49-F238E27FC236}">
              <a16:creationId xmlns:a16="http://schemas.microsoft.com/office/drawing/2014/main" id="{00000000-0008-0000-0100-00005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50" name="Drop Down 2" hidden="1">
          <a:extLst>
            <a:ext uri="{FF2B5EF4-FFF2-40B4-BE49-F238E27FC236}">
              <a16:creationId xmlns:a16="http://schemas.microsoft.com/office/drawing/2014/main" id="{00000000-0008-0000-0100-00005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51" name="Drop Down 1" hidden="1">
          <a:extLst>
            <a:ext uri="{FF2B5EF4-FFF2-40B4-BE49-F238E27FC236}">
              <a16:creationId xmlns:a16="http://schemas.microsoft.com/office/drawing/2014/main" id="{00000000-0008-0000-0100-00005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52" name="Drop Down -1022" hidden="1">
          <a:extLst>
            <a:ext uri="{FF2B5EF4-FFF2-40B4-BE49-F238E27FC236}">
              <a16:creationId xmlns:a16="http://schemas.microsoft.com/office/drawing/2014/main" id="{00000000-0008-0000-0100-00005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53" name="Drop Down 1" hidden="1">
          <a:extLst>
            <a:ext uri="{FF2B5EF4-FFF2-40B4-BE49-F238E27FC236}">
              <a16:creationId xmlns:a16="http://schemas.microsoft.com/office/drawing/2014/main" id="{00000000-0008-0000-0100-00005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54" name="Drop Down 1" hidden="1">
          <a:extLst>
            <a:ext uri="{FF2B5EF4-FFF2-40B4-BE49-F238E27FC236}">
              <a16:creationId xmlns:a16="http://schemas.microsoft.com/office/drawing/2014/main" id="{00000000-0008-0000-0100-00005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55" name="Drop Down 1" hidden="1">
          <a:extLst>
            <a:ext uri="{FF2B5EF4-FFF2-40B4-BE49-F238E27FC236}">
              <a16:creationId xmlns:a16="http://schemas.microsoft.com/office/drawing/2014/main" id="{00000000-0008-0000-0100-00005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56" name="Drop Down 1" hidden="1">
          <a:extLst>
            <a:ext uri="{FF2B5EF4-FFF2-40B4-BE49-F238E27FC236}">
              <a16:creationId xmlns:a16="http://schemas.microsoft.com/office/drawing/2014/main" id="{00000000-0008-0000-0100-000060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57" name="Drop Down 2" hidden="1">
          <a:extLst>
            <a:ext uri="{FF2B5EF4-FFF2-40B4-BE49-F238E27FC236}">
              <a16:creationId xmlns:a16="http://schemas.microsoft.com/office/drawing/2014/main" id="{00000000-0008-0000-0100-000061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58" name="Drop Down 1" hidden="1">
          <a:extLst>
            <a:ext uri="{FF2B5EF4-FFF2-40B4-BE49-F238E27FC236}">
              <a16:creationId xmlns:a16="http://schemas.microsoft.com/office/drawing/2014/main" id="{00000000-0008-0000-0100-000062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59" name="Drop Down -1022" hidden="1">
          <a:extLst>
            <a:ext uri="{FF2B5EF4-FFF2-40B4-BE49-F238E27FC236}">
              <a16:creationId xmlns:a16="http://schemas.microsoft.com/office/drawing/2014/main" id="{00000000-0008-0000-0100-000063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60" name="Drop Down 1" hidden="1">
          <a:extLst>
            <a:ext uri="{FF2B5EF4-FFF2-40B4-BE49-F238E27FC236}">
              <a16:creationId xmlns:a16="http://schemas.microsoft.com/office/drawing/2014/main" id="{00000000-0008-0000-0100-00006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61" name="Drop Down 1" hidden="1">
          <a:extLst>
            <a:ext uri="{FF2B5EF4-FFF2-40B4-BE49-F238E27FC236}">
              <a16:creationId xmlns:a16="http://schemas.microsoft.com/office/drawing/2014/main" id="{00000000-0008-0000-0100-00006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62" name="Drop Down 1" hidden="1">
          <a:extLst>
            <a:ext uri="{FF2B5EF4-FFF2-40B4-BE49-F238E27FC236}">
              <a16:creationId xmlns:a16="http://schemas.microsoft.com/office/drawing/2014/main" id="{00000000-0008-0000-0100-00006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63" name="Drop Down 1" hidden="1">
          <a:extLst>
            <a:ext uri="{FF2B5EF4-FFF2-40B4-BE49-F238E27FC236}">
              <a16:creationId xmlns:a16="http://schemas.microsoft.com/office/drawing/2014/main" id="{00000000-0008-0000-0100-00006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64" name="Drop Down 2" hidden="1">
          <a:extLst>
            <a:ext uri="{FF2B5EF4-FFF2-40B4-BE49-F238E27FC236}">
              <a16:creationId xmlns:a16="http://schemas.microsoft.com/office/drawing/2014/main" id="{00000000-0008-0000-0100-00006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65" name="Drop Down 1" hidden="1">
          <a:extLst>
            <a:ext uri="{FF2B5EF4-FFF2-40B4-BE49-F238E27FC236}">
              <a16:creationId xmlns:a16="http://schemas.microsoft.com/office/drawing/2014/main" id="{00000000-0008-0000-0100-00006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66" name="Drop Down -1022" hidden="1">
          <a:extLst>
            <a:ext uri="{FF2B5EF4-FFF2-40B4-BE49-F238E27FC236}">
              <a16:creationId xmlns:a16="http://schemas.microsoft.com/office/drawing/2014/main" id="{00000000-0008-0000-0100-00006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67" name="Drop Down 1" hidden="1">
          <a:extLst>
            <a:ext uri="{FF2B5EF4-FFF2-40B4-BE49-F238E27FC236}">
              <a16:creationId xmlns:a16="http://schemas.microsoft.com/office/drawing/2014/main" id="{00000000-0008-0000-0100-00006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68" name="Drop Down 1" hidden="1">
          <a:extLst>
            <a:ext uri="{FF2B5EF4-FFF2-40B4-BE49-F238E27FC236}">
              <a16:creationId xmlns:a16="http://schemas.microsoft.com/office/drawing/2014/main" id="{00000000-0008-0000-0100-00006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69" name="Drop Down 1" hidden="1">
          <a:extLst>
            <a:ext uri="{FF2B5EF4-FFF2-40B4-BE49-F238E27FC236}">
              <a16:creationId xmlns:a16="http://schemas.microsoft.com/office/drawing/2014/main" id="{00000000-0008-0000-0100-00006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70" name="Drop Down 1" hidden="1">
          <a:extLst>
            <a:ext uri="{FF2B5EF4-FFF2-40B4-BE49-F238E27FC236}">
              <a16:creationId xmlns:a16="http://schemas.microsoft.com/office/drawing/2014/main" id="{00000000-0008-0000-0100-00006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71" name="Drop Down 2" hidden="1">
          <a:extLst>
            <a:ext uri="{FF2B5EF4-FFF2-40B4-BE49-F238E27FC236}">
              <a16:creationId xmlns:a16="http://schemas.microsoft.com/office/drawing/2014/main" id="{00000000-0008-0000-0100-00006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72" name="Drop Down 1" hidden="1">
          <a:extLst>
            <a:ext uri="{FF2B5EF4-FFF2-40B4-BE49-F238E27FC236}">
              <a16:creationId xmlns:a16="http://schemas.microsoft.com/office/drawing/2014/main" id="{00000000-0008-0000-0100-000070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73" name="Drop Down -1022" hidden="1">
          <a:extLst>
            <a:ext uri="{FF2B5EF4-FFF2-40B4-BE49-F238E27FC236}">
              <a16:creationId xmlns:a16="http://schemas.microsoft.com/office/drawing/2014/main" id="{00000000-0008-0000-0100-000071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74" name="Drop Down 1" hidden="1">
          <a:extLst>
            <a:ext uri="{FF2B5EF4-FFF2-40B4-BE49-F238E27FC236}">
              <a16:creationId xmlns:a16="http://schemas.microsoft.com/office/drawing/2014/main" id="{00000000-0008-0000-0100-000072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75" name="Drop Down 1" hidden="1">
          <a:extLst>
            <a:ext uri="{FF2B5EF4-FFF2-40B4-BE49-F238E27FC236}">
              <a16:creationId xmlns:a16="http://schemas.microsoft.com/office/drawing/2014/main" id="{00000000-0008-0000-0100-000073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76" name="Drop Down 1" hidden="1">
          <a:extLst>
            <a:ext uri="{FF2B5EF4-FFF2-40B4-BE49-F238E27FC236}">
              <a16:creationId xmlns:a16="http://schemas.microsoft.com/office/drawing/2014/main" id="{00000000-0008-0000-0100-00007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77" name="Drop Down 1" hidden="1">
          <a:extLst>
            <a:ext uri="{FF2B5EF4-FFF2-40B4-BE49-F238E27FC236}">
              <a16:creationId xmlns:a16="http://schemas.microsoft.com/office/drawing/2014/main" id="{00000000-0008-0000-0100-00007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78" name="Drop Down 2" hidden="1">
          <a:extLst>
            <a:ext uri="{FF2B5EF4-FFF2-40B4-BE49-F238E27FC236}">
              <a16:creationId xmlns:a16="http://schemas.microsoft.com/office/drawing/2014/main" id="{00000000-0008-0000-0100-00007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79" name="Drop Down 1" hidden="1">
          <a:extLst>
            <a:ext uri="{FF2B5EF4-FFF2-40B4-BE49-F238E27FC236}">
              <a16:creationId xmlns:a16="http://schemas.microsoft.com/office/drawing/2014/main" id="{00000000-0008-0000-0100-00007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080" name="Drop Down -1022" hidden="1">
          <a:extLst>
            <a:ext uri="{FF2B5EF4-FFF2-40B4-BE49-F238E27FC236}">
              <a16:creationId xmlns:a16="http://schemas.microsoft.com/office/drawing/2014/main" id="{00000000-0008-0000-0100-00007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81" name="Drop Down 1" hidden="1">
          <a:extLst>
            <a:ext uri="{FF2B5EF4-FFF2-40B4-BE49-F238E27FC236}">
              <a16:creationId xmlns:a16="http://schemas.microsoft.com/office/drawing/2014/main" id="{00000000-0008-0000-0100-00007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82" name="Drop Down 1" hidden="1">
          <a:extLst>
            <a:ext uri="{FF2B5EF4-FFF2-40B4-BE49-F238E27FC236}">
              <a16:creationId xmlns:a16="http://schemas.microsoft.com/office/drawing/2014/main" id="{00000000-0008-0000-0100-00007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83" name="Drop Down 1" hidden="1">
          <a:extLst>
            <a:ext uri="{FF2B5EF4-FFF2-40B4-BE49-F238E27FC236}">
              <a16:creationId xmlns:a16="http://schemas.microsoft.com/office/drawing/2014/main" id="{00000000-0008-0000-0100-00007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84" name="Drop Down 1" hidden="1">
          <a:extLst>
            <a:ext uri="{FF2B5EF4-FFF2-40B4-BE49-F238E27FC236}">
              <a16:creationId xmlns:a16="http://schemas.microsoft.com/office/drawing/2014/main" id="{00000000-0008-0000-0100-00007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85" name="Drop Down 2" hidden="1">
          <a:extLst>
            <a:ext uri="{FF2B5EF4-FFF2-40B4-BE49-F238E27FC236}">
              <a16:creationId xmlns:a16="http://schemas.microsoft.com/office/drawing/2014/main" id="{00000000-0008-0000-0100-00007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86" name="Drop Down 1" hidden="1">
          <a:extLst>
            <a:ext uri="{FF2B5EF4-FFF2-40B4-BE49-F238E27FC236}">
              <a16:creationId xmlns:a16="http://schemas.microsoft.com/office/drawing/2014/main" id="{00000000-0008-0000-0100-00007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087" name="Drop Down -1022" hidden="1">
          <a:extLst>
            <a:ext uri="{FF2B5EF4-FFF2-40B4-BE49-F238E27FC236}">
              <a16:creationId xmlns:a16="http://schemas.microsoft.com/office/drawing/2014/main" id="{00000000-0008-0000-0100-00007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88" name="Drop Down 1" hidden="1">
          <a:extLst>
            <a:ext uri="{FF2B5EF4-FFF2-40B4-BE49-F238E27FC236}">
              <a16:creationId xmlns:a16="http://schemas.microsoft.com/office/drawing/2014/main" id="{00000000-0008-0000-0100-000080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89" name="Drop Down 1" hidden="1">
          <a:extLst>
            <a:ext uri="{FF2B5EF4-FFF2-40B4-BE49-F238E27FC236}">
              <a16:creationId xmlns:a16="http://schemas.microsoft.com/office/drawing/2014/main" id="{00000000-0008-0000-0100-000081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90" name="Drop Down 1" hidden="1">
          <a:extLst>
            <a:ext uri="{FF2B5EF4-FFF2-40B4-BE49-F238E27FC236}">
              <a16:creationId xmlns:a16="http://schemas.microsoft.com/office/drawing/2014/main" id="{00000000-0008-0000-0100-000082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91" name="Drop Down 1" hidden="1">
          <a:extLst>
            <a:ext uri="{FF2B5EF4-FFF2-40B4-BE49-F238E27FC236}">
              <a16:creationId xmlns:a16="http://schemas.microsoft.com/office/drawing/2014/main" id="{00000000-0008-0000-0100-000083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92" name="Drop Down 2" hidden="1">
          <a:extLst>
            <a:ext uri="{FF2B5EF4-FFF2-40B4-BE49-F238E27FC236}">
              <a16:creationId xmlns:a16="http://schemas.microsoft.com/office/drawing/2014/main" id="{00000000-0008-0000-0100-000084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93" name="Drop Down 1" hidden="1">
          <a:extLst>
            <a:ext uri="{FF2B5EF4-FFF2-40B4-BE49-F238E27FC236}">
              <a16:creationId xmlns:a16="http://schemas.microsoft.com/office/drawing/2014/main" id="{00000000-0008-0000-0100-000085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094" name="Drop Down -1022" hidden="1">
          <a:extLst>
            <a:ext uri="{FF2B5EF4-FFF2-40B4-BE49-F238E27FC236}">
              <a16:creationId xmlns:a16="http://schemas.microsoft.com/office/drawing/2014/main" id="{00000000-0008-0000-0100-000086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95" name="Drop Down 1" hidden="1">
          <a:extLst>
            <a:ext uri="{FF2B5EF4-FFF2-40B4-BE49-F238E27FC236}">
              <a16:creationId xmlns:a16="http://schemas.microsoft.com/office/drawing/2014/main" id="{00000000-0008-0000-0100-000087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96" name="Drop Down 1" hidden="1">
          <a:extLst>
            <a:ext uri="{FF2B5EF4-FFF2-40B4-BE49-F238E27FC236}">
              <a16:creationId xmlns:a16="http://schemas.microsoft.com/office/drawing/2014/main" id="{00000000-0008-0000-0100-000088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97" name="Drop Down 1" hidden="1">
          <a:extLst>
            <a:ext uri="{FF2B5EF4-FFF2-40B4-BE49-F238E27FC236}">
              <a16:creationId xmlns:a16="http://schemas.microsoft.com/office/drawing/2014/main" id="{00000000-0008-0000-0100-000089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98" name="Drop Down 1" hidden="1">
          <a:extLst>
            <a:ext uri="{FF2B5EF4-FFF2-40B4-BE49-F238E27FC236}">
              <a16:creationId xmlns:a16="http://schemas.microsoft.com/office/drawing/2014/main" id="{00000000-0008-0000-0100-00008A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099" name="Drop Down 2" hidden="1">
          <a:extLst>
            <a:ext uri="{FF2B5EF4-FFF2-40B4-BE49-F238E27FC236}">
              <a16:creationId xmlns:a16="http://schemas.microsoft.com/office/drawing/2014/main" id="{00000000-0008-0000-0100-00008B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00" name="Drop Down 1" hidden="1">
          <a:extLst>
            <a:ext uri="{FF2B5EF4-FFF2-40B4-BE49-F238E27FC236}">
              <a16:creationId xmlns:a16="http://schemas.microsoft.com/office/drawing/2014/main" id="{00000000-0008-0000-0100-00008C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01" name="Drop Down -1022" hidden="1">
          <a:extLst>
            <a:ext uri="{FF2B5EF4-FFF2-40B4-BE49-F238E27FC236}">
              <a16:creationId xmlns:a16="http://schemas.microsoft.com/office/drawing/2014/main" id="{00000000-0008-0000-0100-00008D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02" name="Drop Down 1" hidden="1">
          <a:extLst>
            <a:ext uri="{FF2B5EF4-FFF2-40B4-BE49-F238E27FC236}">
              <a16:creationId xmlns:a16="http://schemas.microsoft.com/office/drawing/2014/main" id="{00000000-0008-0000-0100-00008E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03" name="Drop Down 1" hidden="1">
          <a:extLst>
            <a:ext uri="{FF2B5EF4-FFF2-40B4-BE49-F238E27FC236}">
              <a16:creationId xmlns:a16="http://schemas.microsoft.com/office/drawing/2014/main" id="{00000000-0008-0000-0100-00008F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04" name="Drop Down 1" hidden="1">
          <a:extLst>
            <a:ext uri="{FF2B5EF4-FFF2-40B4-BE49-F238E27FC236}">
              <a16:creationId xmlns:a16="http://schemas.microsoft.com/office/drawing/2014/main" id="{00000000-0008-0000-0100-000090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05" name="Drop Down 1" hidden="1">
          <a:extLst>
            <a:ext uri="{FF2B5EF4-FFF2-40B4-BE49-F238E27FC236}">
              <a16:creationId xmlns:a16="http://schemas.microsoft.com/office/drawing/2014/main" id="{00000000-0008-0000-0100-000091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06" name="Drop Down 2" hidden="1">
          <a:extLst>
            <a:ext uri="{FF2B5EF4-FFF2-40B4-BE49-F238E27FC236}">
              <a16:creationId xmlns:a16="http://schemas.microsoft.com/office/drawing/2014/main" id="{00000000-0008-0000-0100-000092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07" name="Drop Down 1" hidden="1">
          <a:extLst>
            <a:ext uri="{FF2B5EF4-FFF2-40B4-BE49-F238E27FC236}">
              <a16:creationId xmlns:a16="http://schemas.microsoft.com/office/drawing/2014/main" id="{00000000-0008-0000-0100-000093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08" name="Drop Down -1022" hidden="1">
          <a:extLst>
            <a:ext uri="{FF2B5EF4-FFF2-40B4-BE49-F238E27FC236}">
              <a16:creationId xmlns:a16="http://schemas.microsoft.com/office/drawing/2014/main" id="{00000000-0008-0000-0100-000094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09" name="Drop Down 1" hidden="1">
          <a:extLst>
            <a:ext uri="{FF2B5EF4-FFF2-40B4-BE49-F238E27FC236}">
              <a16:creationId xmlns:a16="http://schemas.microsoft.com/office/drawing/2014/main" id="{00000000-0008-0000-0100-000095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10" name="Drop Down 1" hidden="1">
          <a:extLst>
            <a:ext uri="{FF2B5EF4-FFF2-40B4-BE49-F238E27FC236}">
              <a16:creationId xmlns:a16="http://schemas.microsoft.com/office/drawing/2014/main" id="{00000000-0008-0000-0100-000096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11" name="Drop Down 1" hidden="1">
          <a:extLst>
            <a:ext uri="{FF2B5EF4-FFF2-40B4-BE49-F238E27FC236}">
              <a16:creationId xmlns:a16="http://schemas.microsoft.com/office/drawing/2014/main" id="{00000000-0008-0000-0100-000097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12" name="Drop Down 1" hidden="1">
          <a:extLst>
            <a:ext uri="{FF2B5EF4-FFF2-40B4-BE49-F238E27FC236}">
              <a16:creationId xmlns:a16="http://schemas.microsoft.com/office/drawing/2014/main" id="{00000000-0008-0000-0100-000098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13" name="Drop Down 2" hidden="1">
          <a:extLst>
            <a:ext uri="{FF2B5EF4-FFF2-40B4-BE49-F238E27FC236}">
              <a16:creationId xmlns:a16="http://schemas.microsoft.com/office/drawing/2014/main" id="{00000000-0008-0000-0100-000099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14" name="Drop Down 1" hidden="1">
          <a:extLst>
            <a:ext uri="{FF2B5EF4-FFF2-40B4-BE49-F238E27FC236}">
              <a16:creationId xmlns:a16="http://schemas.microsoft.com/office/drawing/2014/main" id="{00000000-0008-0000-0100-00009A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15" name="Drop Down -1022" hidden="1">
          <a:extLst>
            <a:ext uri="{FF2B5EF4-FFF2-40B4-BE49-F238E27FC236}">
              <a16:creationId xmlns:a16="http://schemas.microsoft.com/office/drawing/2014/main" id="{00000000-0008-0000-0100-00009B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16" name="Drop Down 1" hidden="1">
          <a:extLst>
            <a:ext uri="{FF2B5EF4-FFF2-40B4-BE49-F238E27FC236}">
              <a16:creationId xmlns:a16="http://schemas.microsoft.com/office/drawing/2014/main" id="{00000000-0008-0000-0100-00009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17" name="Drop Down 1" hidden="1">
          <a:extLst>
            <a:ext uri="{FF2B5EF4-FFF2-40B4-BE49-F238E27FC236}">
              <a16:creationId xmlns:a16="http://schemas.microsoft.com/office/drawing/2014/main" id="{00000000-0008-0000-0100-00009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18" name="Drop Down 1" hidden="1">
          <a:extLst>
            <a:ext uri="{FF2B5EF4-FFF2-40B4-BE49-F238E27FC236}">
              <a16:creationId xmlns:a16="http://schemas.microsoft.com/office/drawing/2014/main" id="{00000000-0008-0000-0100-00009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19" name="Drop Down 1" hidden="1">
          <a:extLst>
            <a:ext uri="{FF2B5EF4-FFF2-40B4-BE49-F238E27FC236}">
              <a16:creationId xmlns:a16="http://schemas.microsoft.com/office/drawing/2014/main" id="{00000000-0008-0000-0100-00009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20" name="Drop Down 2" hidden="1">
          <a:extLst>
            <a:ext uri="{FF2B5EF4-FFF2-40B4-BE49-F238E27FC236}">
              <a16:creationId xmlns:a16="http://schemas.microsoft.com/office/drawing/2014/main" id="{00000000-0008-0000-0100-0000A0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21" name="Drop Down 1" hidden="1">
          <a:extLst>
            <a:ext uri="{FF2B5EF4-FFF2-40B4-BE49-F238E27FC236}">
              <a16:creationId xmlns:a16="http://schemas.microsoft.com/office/drawing/2014/main" id="{00000000-0008-0000-0100-0000A1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22" name="Drop Down -1022" hidden="1">
          <a:extLst>
            <a:ext uri="{FF2B5EF4-FFF2-40B4-BE49-F238E27FC236}">
              <a16:creationId xmlns:a16="http://schemas.microsoft.com/office/drawing/2014/main" id="{00000000-0008-0000-0100-0000A2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23" name="Drop Down 1" hidden="1">
          <a:extLst>
            <a:ext uri="{FF2B5EF4-FFF2-40B4-BE49-F238E27FC236}">
              <a16:creationId xmlns:a16="http://schemas.microsoft.com/office/drawing/2014/main" id="{00000000-0008-0000-0100-0000A3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24" name="Drop Down 1" hidden="1">
          <a:extLst>
            <a:ext uri="{FF2B5EF4-FFF2-40B4-BE49-F238E27FC236}">
              <a16:creationId xmlns:a16="http://schemas.microsoft.com/office/drawing/2014/main" id="{00000000-0008-0000-0100-0000A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25" name="Drop Down 1" hidden="1">
          <a:extLst>
            <a:ext uri="{FF2B5EF4-FFF2-40B4-BE49-F238E27FC236}">
              <a16:creationId xmlns:a16="http://schemas.microsoft.com/office/drawing/2014/main" id="{00000000-0008-0000-0100-0000A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26" name="Drop Down 1" hidden="1">
          <a:extLst>
            <a:ext uri="{FF2B5EF4-FFF2-40B4-BE49-F238E27FC236}">
              <a16:creationId xmlns:a16="http://schemas.microsoft.com/office/drawing/2014/main" id="{00000000-0008-0000-0100-0000A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27" name="Drop Down 2" hidden="1">
          <a:extLst>
            <a:ext uri="{FF2B5EF4-FFF2-40B4-BE49-F238E27FC236}">
              <a16:creationId xmlns:a16="http://schemas.microsoft.com/office/drawing/2014/main" id="{00000000-0008-0000-0100-0000A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28" name="Drop Down 1" hidden="1">
          <a:extLst>
            <a:ext uri="{FF2B5EF4-FFF2-40B4-BE49-F238E27FC236}">
              <a16:creationId xmlns:a16="http://schemas.microsoft.com/office/drawing/2014/main" id="{00000000-0008-0000-0100-0000A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29" name="Drop Down -1022" hidden="1">
          <a:extLst>
            <a:ext uri="{FF2B5EF4-FFF2-40B4-BE49-F238E27FC236}">
              <a16:creationId xmlns:a16="http://schemas.microsoft.com/office/drawing/2014/main" id="{00000000-0008-0000-0100-0000A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30" name="Drop Down 1" hidden="1">
          <a:extLst>
            <a:ext uri="{FF2B5EF4-FFF2-40B4-BE49-F238E27FC236}">
              <a16:creationId xmlns:a16="http://schemas.microsoft.com/office/drawing/2014/main" id="{00000000-0008-0000-0100-0000A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31" name="Drop Down 1" hidden="1">
          <a:extLst>
            <a:ext uri="{FF2B5EF4-FFF2-40B4-BE49-F238E27FC236}">
              <a16:creationId xmlns:a16="http://schemas.microsoft.com/office/drawing/2014/main" id="{00000000-0008-0000-0100-0000A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32" name="Drop Down 1" hidden="1">
          <a:extLst>
            <a:ext uri="{FF2B5EF4-FFF2-40B4-BE49-F238E27FC236}">
              <a16:creationId xmlns:a16="http://schemas.microsoft.com/office/drawing/2014/main" id="{00000000-0008-0000-0100-0000A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33" name="Drop Down 1" hidden="1">
          <a:extLst>
            <a:ext uri="{FF2B5EF4-FFF2-40B4-BE49-F238E27FC236}">
              <a16:creationId xmlns:a16="http://schemas.microsoft.com/office/drawing/2014/main" id="{00000000-0008-0000-0100-0000A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34" name="Drop Down 2" hidden="1">
          <a:extLst>
            <a:ext uri="{FF2B5EF4-FFF2-40B4-BE49-F238E27FC236}">
              <a16:creationId xmlns:a16="http://schemas.microsoft.com/office/drawing/2014/main" id="{00000000-0008-0000-0100-0000A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35" name="Drop Down 1" hidden="1">
          <a:extLst>
            <a:ext uri="{FF2B5EF4-FFF2-40B4-BE49-F238E27FC236}">
              <a16:creationId xmlns:a16="http://schemas.microsoft.com/office/drawing/2014/main" id="{00000000-0008-0000-0100-0000A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36" name="Drop Down -1022" hidden="1">
          <a:extLst>
            <a:ext uri="{FF2B5EF4-FFF2-40B4-BE49-F238E27FC236}">
              <a16:creationId xmlns:a16="http://schemas.microsoft.com/office/drawing/2014/main" id="{00000000-0008-0000-0100-0000B0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37" name="Drop Down 1" hidden="1">
          <a:extLst>
            <a:ext uri="{FF2B5EF4-FFF2-40B4-BE49-F238E27FC236}">
              <a16:creationId xmlns:a16="http://schemas.microsoft.com/office/drawing/2014/main" id="{00000000-0008-0000-0100-0000B1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38" name="Drop Down 1" hidden="1">
          <a:extLst>
            <a:ext uri="{FF2B5EF4-FFF2-40B4-BE49-F238E27FC236}">
              <a16:creationId xmlns:a16="http://schemas.microsoft.com/office/drawing/2014/main" id="{00000000-0008-0000-0100-0000B2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39" name="Drop Down 1" hidden="1">
          <a:extLst>
            <a:ext uri="{FF2B5EF4-FFF2-40B4-BE49-F238E27FC236}">
              <a16:creationId xmlns:a16="http://schemas.microsoft.com/office/drawing/2014/main" id="{00000000-0008-0000-0100-0000B3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40" name="Drop Down 1" hidden="1">
          <a:extLst>
            <a:ext uri="{FF2B5EF4-FFF2-40B4-BE49-F238E27FC236}">
              <a16:creationId xmlns:a16="http://schemas.microsoft.com/office/drawing/2014/main" id="{00000000-0008-0000-0100-0000B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41" name="Drop Down 2" hidden="1">
          <a:extLst>
            <a:ext uri="{FF2B5EF4-FFF2-40B4-BE49-F238E27FC236}">
              <a16:creationId xmlns:a16="http://schemas.microsoft.com/office/drawing/2014/main" id="{00000000-0008-0000-0100-0000B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42" name="Drop Down 1" hidden="1">
          <a:extLst>
            <a:ext uri="{FF2B5EF4-FFF2-40B4-BE49-F238E27FC236}">
              <a16:creationId xmlns:a16="http://schemas.microsoft.com/office/drawing/2014/main" id="{00000000-0008-0000-0100-0000B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43" name="Drop Down -1022" hidden="1">
          <a:extLst>
            <a:ext uri="{FF2B5EF4-FFF2-40B4-BE49-F238E27FC236}">
              <a16:creationId xmlns:a16="http://schemas.microsoft.com/office/drawing/2014/main" id="{00000000-0008-0000-0100-0000B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44" name="Drop Down 1" hidden="1">
          <a:extLst>
            <a:ext uri="{FF2B5EF4-FFF2-40B4-BE49-F238E27FC236}">
              <a16:creationId xmlns:a16="http://schemas.microsoft.com/office/drawing/2014/main" id="{00000000-0008-0000-0100-0000B8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45" name="Drop Down 1" hidden="1">
          <a:extLst>
            <a:ext uri="{FF2B5EF4-FFF2-40B4-BE49-F238E27FC236}">
              <a16:creationId xmlns:a16="http://schemas.microsoft.com/office/drawing/2014/main" id="{00000000-0008-0000-0100-0000B9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46" name="Drop Down 1" hidden="1">
          <a:extLst>
            <a:ext uri="{FF2B5EF4-FFF2-40B4-BE49-F238E27FC236}">
              <a16:creationId xmlns:a16="http://schemas.microsoft.com/office/drawing/2014/main" id="{00000000-0008-0000-0100-0000BA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47" name="Drop Down 1" hidden="1">
          <a:extLst>
            <a:ext uri="{FF2B5EF4-FFF2-40B4-BE49-F238E27FC236}">
              <a16:creationId xmlns:a16="http://schemas.microsoft.com/office/drawing/2014/main" id="{00000000-0008-0000-0100-0000BB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48" name="Drop Down 2" hidden="1">
          <a:extLst>
            <a:ext uri="{FF2B5EF4-FFF2-40B4-BE49-F238E27FC236}">
              <a16:creationId xmlns:a16="http://schemas.microsoft.com/office/drawing/2014/main" id="{00000000-0008-0000-0100-0000BC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49" name="Drop Down 1" hidden="1">
          <a:extLst>
            <a:ext uri="{FF2B5EF4-FFF2-40B4-BE49-F238E27FC236}">
              <a16:creationId xmlns:a16="http://schemas.microsoft.com/office/drawing/2014/main" id="{00000000-0008-0000-0100-0000BD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50" name="Drop Down -1022" hidden="1">
          <a:extLst>
            <a:ext uri="{FF2B5EF4-FFF2-40B4-BE49-F238E27FC236}">
              <a16:creationId xmlns:a16="http://schemas.microsoft.com/office/drawing/2014/main" id="{00000000-0008-0000-0100-0000BE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51" name="Drop Down 1" hidden="1">
          <a:extLst>
            <a:ext uri="{FF2B5EF4-FFF2-40B4-BE49-F238E27FC236}">
              <a16:creationId xmlns:a16="http://schemas.microsoft.com/office/drawing/2014/main" id="{00000000-0008-0000-0100-0000BF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52" name="Drop Down 1" hidden="1">
          <a:extLst>
            <a:ext uri="{FF2B5EF4-FFF2-40B4-BE49-F238E27FC236}">
              <a16:creationId xmlns:a16="http://schemas.microsoft.com/office/drawing/2014/main" id="{00000000-0008-0000-0100-0000C0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53" name="Drop Down 1" hidden="1">
          <a:extLst>
            <a:ext uri="{FF2B5EF4-FFF2-40B4-BE49-F238E27FC236}">
              <a16:creationId xmlns:a16="http://schemas.microsoft.com/office/drawing/2014/main" id="{00000000-0008-0000-0100-0000C1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54" name="Drop Down 1" hidden="1">
          <a:extLst>
            <a:ext uri="{FF2B5EF4-FFF2-40B4-BE49-F238E27FC236}">
              <a16:creationId xmlns:a16="http://schemas.microsoft.com/office/drawing/2014/main" id="{00000000-0008-0000-0100-0000C2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55" name="Drop Down 2" hidden="1">
          <a:extLst>
            <a:ext uri="{FF2B5EF4-FFF2-40B4-BE49-F238E27FC236}">
              <a16:creationId xmlns:a16="http://schemas.microsoft.com/office/drawing/2014/main" id="{00000000-0008-0000-0100-0000C3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56" name="Drop Down 1" hidden="1">
          <a:extLst>
            <a:ext uri="{FF2B5EF4-FFF2-40B4-BE49-F238E27FC236}">
              <a16:creationId xmlns:a16="http://schemas.microsoft.com/office/drawing/2014/main" id="{00000000-0008-0000-0100-0000C4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57" name="Drop Down -1022" hidden="1">
          <a:extLst>
            <a:ext uri="{FF2B5EF4-FFF2-40B4-BE49-F238E27FC236}">
              <a16:creationId xmlns:a16="http://schemas.microsoft.com/office/drawing/2014/main" id="{00000000-0008-0000-0100-0000C5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58" name="Drop Down 1" hidden="1">
          <a:extLst>
            <a:ext uri="{FF2B5EF4-FFF2-40B4-BE49-F238E27FC236}">
              <a16:creationId xmlns:a16="http://schemas.microsoft.com/office/drawing/2014/main" id="{00000000-0008-0000-0100-0000C6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59" name="Drop Down 1" hidden="1">
          <a:extLst>
            <a:ext uri="{FF2B5EF4-FFF2-40B4-BE49-F238E27FC236}">
              <a16:creationId xmlns:a16="http://schemas.microsoft.com/office/drawing/2014/main" id="{00000000-0008-0000-0100-0000C7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60" name="Drop Down 1" hidden="1">
          <a:extLst>
            <a:ext uri="{FF2B5EF4-FFF2-40B4-BE49-F238E27FC236}">
              <a16:creationId xmlns:a16="http://schemas.microsoft.com/office/drawing/2014/main" id="{00000000-0008-0000-0100-0000C8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61" name="Drop Down 1" hidden="1">
          <a:extLst>
            <a:ext uri="{FF2B5EF4-FFF2-40B4-BE49-F238E27FC236}">
              <a16:creationId xmlns:a16="http://schemas.microsoft.com/office/drawing/2014/main" id="{00000000-0008-0000-0100-0000C9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62" name="Drop Down 2" hidden="1">
          <a:extLst>
            <a:ext uri="{FF2B5EF4-FFF2-40B4-BE49-F238E27FC236}">
              <a16:creationId xmlns:a16="http://schemas.microsoft.com/office/drawing/2014/main" id="{00000000-0008-0000-0100-0000CA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63" name="Drop Down 1" hidden="1">
          <a:extLst>
            <a:ext uri="{FF2B5EF4-FFF2-40B4-BE49-F238E27FC236}">
              <a16:creationId xmlns:a16="http://schemas.microsoft.com/office/drawing/2014/main" id="{00000000-0008-0000-0100-0000CB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164" name="Drop Down -1022" hidden="1">
          <a:extLst>
            <a:ext uri="{FF2B5EF4-FFF2-40B4-BE49-F238E27FC236}">
              <a16:creationId xmlns:a16="http://schemas.microsoft.com/office/drawing/2014/main" id="{00000000-0008-0000-0100-0000CC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65" name="Drop Down 1" hidden="1">
          <a:extLst>
            <a:ext uri="{FF2B5EF4-FFF2-40B4-BE49-F238E27FC236}">
              <a16:creationId xmlns:a16="http://schemas.microsoft.com/office/drawing/2014/main" id="{00000000-0008-0000-0100-0000CD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66" name="Drop Down 1" hidden="1">
          <a:extLst>
            <a:ext uri="{FF2B5EF4-FFF2-40B4-BE49-F238E27FC236}">
              <a16:creationId xmlns:a16="http://schemas.microsoft.com/office/drawing/2014/main" id="{00000000-0008-0000-0100-0000CE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67" name="Drop Down 1" hidden="1">
          <a:extLst>
            <a:ext uri="{FF2B5EF4-FFF2-40B4-BE49-F238E27FC236}">
              <a16:creationId xmlns:a16="http://schemas.microsoft.com/office/drawing/2014/main" id="{00000000-0008-0000-0100-0000CF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68" name="Drop Down 1" hidden="1">
          <a:extLst>
            <a:ext uri="{FF2B5EF4-FFF2-40B4-BE49-F238E27FC236}">
              <a16:creationId xmlns:a16="http://schemas.microsoft.com/office/drawing/2014/main" id="{00000000-0008-0000-0100-0000D0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69" name="Drop Down 2" hidden="1">
          <a:extLst>
            <a:ext uri="{FF2B5EF4-FFF2-40B4-BE49-F238E27FC236}">
              <a16:creationId xmlns:a16="http://schemas.microsoft.com/office/drawing/2014/main" id="{00000000-0008-0000-0100-0000D1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70" name="Drop Down 1" hidden="1">
          <a:extLst>
            <a:ext uri="{FF2B5EF4-FFF2-40B4-BE49-F238E27FC236}">
              <a16:creationId xmlns:a16="http://schemas.microsoft.com/office/drawing/2014/main" id="{00000000-0008-0000-0100-0000D2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171" name="Drop Down -1022" hidden="1">
          <a:extLst>
            <a:ext uri="{FF2B5EF4-FFF2-40B4-BE49-F238E27FC236}">
              <a16:creationId xmlns:a16="http://schemas.microsoft.com/office/drawing/2014/main" id="{00000000-0008-0000-0100-0000D323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172" name="Drop Down 1" hidden="1">
          <a:extLst>
            <a:ext uri="{FF2B5EF4-FFF2-40B4-BE49-F238E27FC236}">
              <a16:creationId xmlns:a16="http://schemas.microsoft.com/office/drawing/2014/main" id="{00000000-0008-0000-0100-0000D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173" name="Drop Down 1" hidden="1">
          <a:extLst>
            <a:ext uri="{FF2B5EF4-FFF2-40B4-BE49-F238E27FC236}">
              <a16:creationId xmlns:a16="http://schemas.microsoft.com/office/drawing/2014/main" id="{00000000-0008-0000-0100-0000D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174" name="Drop Down 1" hidden="1">
          <a:extLst>
            <a:ext uri="{FF2B5EF4-FFF2-40B4-BE49-F238E27FC236}">
              <a16:creationId xmlns:a16="http://schemas.microsoft.com/office/drawing/2014/main" id="{00000000-0008-0000-0100-0000D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175" name="Drop Down 1" hidden="1">
          <a:extLst>
            <a:ext uri="{FF2B5EF4-FFF2-40B4-BE49-F238E27FC236}">
              <a16:creationId xmlns:a16="http://schemas.microsoft.com/office/drawing/2014/main" id="{00000000-0008-0000-0100-0000D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176" name="Drop Down 2" hidden="1">
          <a:extLst>
            <a:ext uri="{FF2B5EF4-FFF2-40B4-BE49-F238E27FC236}">
              <a16:creationId xmlns:a16="http://schemas.microsoft.com/office/drawing/2014/main" id="{00000000-0008-0000-0100-0000D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177" name="Drop Down 1" hidden="1">
          <a:extLst>
            <a:ext uri="{FF2B5EF4-FFF2-40B4-BE49-F238E27FC236}">
              <a16:creationId xmlns:a16="http://schemas.microsoft.com/office/drawing/2014/main" id="{00000000-0008-0000-0100-0000D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178" name="Drop Down -1022" hidden="1">
          <a:extLst>
            <a:ext uri="{FF2B5EF4-FFF2-40B4-BE49-F238E27FC236}">
              <a16:creationId xmlns:a16="http://schemas.microsoft.com/office/drawing/2014/main" id="{00000000-0008-0000-0100-0000D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179" name="Drop Down 1" hidden="1">
          <a:extLst>
            <a:ext uri="{FF2B5EF4-FFF2-40B4-BE49-F238E27FC236}">
              <a16:creationId xmlns:a16="http://schemas.microsoft.com/office/drawing/2014/main" id="{00000000-0008-0000-0100-0000D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180" name="Drop Down 1" hidden="1">
          <a:extLst>
            <a:ext uri="{FF2B5EF4-FFF2-40B4-BE49-F238E27FC236}">
              <a16:creationId xmlns:a16="http://schemas.microsoft.com/office/drawing/2014/main" id="{00000000-0008-0000-0100-0000D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181" name="Drop Down 1" hidden="1">
          <a:extLst>
            <a:ext uri="{FF2B5EF4-FFF2-40B4-BE49-F238E27FC236}">
              <a16:creationId xmlns:a16="http://schemas.microsoft.com/office/drawing/2014/main" id="{00000000-0008-0000-0100-0000D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182" name="Drop Down 1" hidden="1">
          <a:extLst>
            <a:ext uri="{FF2B5EF4-FFF2-40B4-BE49-F238E27FC236}">
              <a16:creationId xmlns:a16="http://schemas.microsoft.com/office/drawing/2014/main" id="{00000000-0008-0000-0100-0000D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183" name="Drop Down 2" hidden="1">
          <a:extLst>
            <a:ext uri="{FF2B5EF4-FFF2-40B4-BE49-F238E27FC236}">
              <a16:creationId xmlns:a16="http://schemas.microsoft.com/office/drawing/2014/main" id="{00000000-0008-0000-0100-0000D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184" name="Drop Down 1" hidden="1">
          <a:extLst>
            <a:ext uri="{FF2B5EF4-FFF2-40B4-BE49-F238E27FC236}">
              <a16:creationId xmlns:a16="http://schemas.microsoft.com/office/drawing/2014/main" id="{00000000-0008-0000-0100-0000E0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185" name="Drop Down -1022" hidden="1">
          <a:extLst>
            <a:ext uri="{FF2B5EF4-FFF2-40B4-BE49-F238E27FC236}">
              <a16:creationId xmlns:a16="http://schemas.microsoft.com/office/drawing/2014/main" id="{00000000-0008-0000-0100-0000E1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86" name="Drop Down 1" hidden="1">
          <a:extLst>
            <a:ext uri="{FF2B5EF4-FFF2-40B4-BE49-F238E27FC236}">
              <a16:creationId xmlns:a16="http://schemas.microsoft.com/office/drawing/2014/main" id="{00000000-0008-0000-0100-0000E2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87" name="Drop Down 1" hidden="1">
          <a:extLst>
            <a:ext uri="{FF2B5EF4-FFF2-40B4-BE49-F238E27FC236}">
              <a16:creationId xmlns:a16="http://schemas.microsoft.com/office/drawing/2014/main" id="{00000000-0008-0000-0100-0000E3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88" name="Drop Down 1" hidden="1">
          <a:extLst>
            <a:ext uri="{FF2B5EF4-FFF2-40B4-BE49-F238E27FC236}">
              <a16:creationId xmlns:a16="http://schemas.microsoft.com/office/drawing/2014/main" id="{00000000-0008-0000-0100-0000E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89" name="Drop Down 1" hidden="1">
          <a:extLst>
            <a:ext uri="{FF2B5EF4-FFF2-40B4-BE49-F238E27FC236}">
              <a16:creationId xmlns:a16="http://schemas.microsoft.com/office/drawing/2014/main" id="{00000000-0008-0000-0100-0000E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90" name="Drop Down 2" hidden="1">
          <a:extLst>
            <a:ext uri="{FF2B5EF4-FFF2-40B4-BE49-F238E27FC236}">
              <a16:creationId xmlns:a16="http://schemas.microsoft.com/office/drawing/2014/main" id="{00000000-0008-0000-0100-0000E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91" name="Drop Down 1" hidden="1">
          <a:extLst>
            <a:ext uri="{FF2B5EF4-FFF2-40B4-BE49-F238E27FC236}">
              <a16:creationId xmlns:a16="http://schemas.microsoft.com/office/drawing/2014/main" id="{00000000-0008-0000-0100-0000E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192" name="Drop Down -1022" hidden="1">
          <a:extLst>
            <a:ext uri="{FF2B5EF4-FFF2-40B4-BE49-F238E27FC236}">
              <a16:creationId xmlns:a16="http://schemas.microsoft.com/office/drawing/2014/main" id="{00000000-0008-0000-0100-0000E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93" name="Drop Down 1" hidden="1">
          <a:extLst>
            <a:ext uri="{FF2B5EF4-FFF2-40B4-BE49-F238E27FC236}">
              <a16:creationId xmlns:a16="http://schemas.microsoft.com/office/drawing/2014/main" id="{00000000-0008-0000-0100-0000E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94" name="Drop Down 1" hidden="1">
          <a:extLst>
            <a:ext uri="{FF2B5EF4-FFF2-40B4-BE49-F238E27FC236}">
              <a16:creationId xmlns:a16="http://schemas.microsoft.com/office/drawing/2014/main" id="{00000000-0008-0000-0100-0000E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95" name="Drop Down 1" hidden="1">
          <a:extLst>
            <a:ext uri="{FF2B5EF4-FFF2-40B4-BE49-F238E27FC236}">
              <a16:creationId xmlns:a16="http://schemas.microsoft.com/office/drawing/2014/main" id="{00000000-0008-0000-0100-0000E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96" name="Drop Down 1" hidden="1">
          <a:extLst>
            <a:ext uri="{FF2B5EF4-FFF2-40B4-BE49-F238E27FC236}">
              <a16:creationId xmlns:a16="http://schemas.microsoft.com/office/drawing/2014/main" id="{00000000-0008-0000-0100-0000E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97" name="Drop Down 2" hidden="1">
          <a:extLst>
            <a:ext uri="{FF2B5EF4-FFF2-40B4-BE49-F238E27FC236}">
              <a16:creationId xmlns:a16="http://schemas.microsoft.com/office/drawing/2014/main" id="{00000000-0008-0000-0100-0000E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98" name="Drop Down 1" hidden="1">
          <a:extLst>
            <a:ext uri="{FF2B5EF4-FFF2-40B4-BE49-F238E27FC236}">
              <a16:creationId xmlns:a16="http://schemas.microsoft.com/office/drawing/2014/main" id="{00000000-0008-0000-0100-0000E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199" name="Drop Down -1022" hidden="1">
          <a:extLst>
            <a:ext uri="{FF2B5EF4-FFF2-40B4-BE49-F238E27FC236}">
              <a16:creationId xmlns:a16="http://schemas.microsoft.com/office/drawing/2014/main" id="{00000000-0008-0000-0100-0000E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00" name="Drop Down 1" hidden="1">
          <a:extLst>
            <a:ext uri="{FF2B5EF4-FFF2-40B4-BE49-F238E27FC236}">
              <a16:creationId xmlns:a16="http://schemas.microsoft.com/office/drawing/2014/main" id="{00000000-0008-0000-0100-0000F0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01" name="Drop Down 1" hidden="1">
          <a:extLst>
            <a:ext uri="{FF2B5EF4-FFF2-40B4-BE49-F238E27FC236}">
              <a16:creationId xmlns:a16="http://schemas.microsoft.com/office/drawing/2014/main" id="{00000000-0008-0000-0100-0000F1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02" name="Drop Down 1" hidden="1">
          <a:extLst>
            <a:ext uri="{FF2B5EF4-FFF2-40B4-BE49-F238E27FC236}">
              <a16:creationId xmlns:a16="http://schemas.microsoft.com/office/drawing/2014/main" id="{00000000-0008-0000-0100-0000F2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03" name="Drop Down 1" hidden="1">
          <a:extLst>
            <a:ext uri="{FF2B5EF4-FFF2-40B4-BE49-F238E27FC236}">
              <a16:creationId xmlns:a16="http://schemas.microsoft.com/office/drawing/2014/main" id="{00000000-0008-0000-0100-0000F3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04" name="Drop Down 2" hidden="1">
          <a:extLst>
            <a:ext uri="{FF2B5EF4-FFF2-40B4-BE49-F238E27FC236}">
              <a16:creationId xmlns:a16="http://schemas.microsoft.com/office/drawing/2014/main" id="{00000000-0008-0000-0100-0000F4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05" name="Drop Down 1" hidden="1">
          <a:extLst>
            <a:ext uri="{FF2B5EF4-FFF2-40B4-BE49-F238E27FC236}">
              <a16:creationId xmlns:a16="http://schemas.microsoft.com/office/drawing/2014/main" id="{00000000-0008-0000-0100-0000F5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06" name="Drop Down -1022" hidden="1">
          <a:extLst>
            <a:ext uri="{FF2B5EF4-FFF2-40B4-BE49-F238E27FC236}">
              <a16:creationId xmlns:a16="http://schemas.microsoft.com/office/drawing/2014/main" id="{00000000-0008-0000-0100-0000F6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07" name="Drop Down 1" hidden="1">
          <a:extLst>
            <a:ext uri="{FF2B5EF4-FFF2-40B4-BE49-F238E27FC236}">
              <a16:creationId xmlns:a16="http://schemas.microsoft.com/office/drawing/2014/main" id="{00000000-0008-0000-0100-0000F7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08" name="Drop Down 1" hidden="1">
          <a:extLst>
            <a:ext uri="{FF2B5EF4-FFF2-40B4-BE49-F238E27FC236}">
              <a16:creationId xmlns:a16="http://schemas.microsoft.com/office/drawing/2014/main" id="{00000000-0008-0000-0100-0000F8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09" name="Drop Down 1" hidden="1">
          <a:extLst>
            <a:ext uri="{FF2B5EF4-FFF2-40B4-BE49-F238E27FC236}">
              <a16:creationId xmlns:a16="http://schemas.microsoft.com/office/drawing/2014/main" id="{00000000-0008-0000-0100-0000F9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10" name="Drop Down 1" hidden="1">
          <a:extLst>
            <a:ext uri="{FF2B5EF4-FFF2-40B4-BE49-F238E27FC236}">
              <a16:creationId xmlns:a16="http://schemas.microsoft.com/office/drawing/2014/main" id="{00000000-0008-0000-0100-0000FA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11" name="Drop Down 2" hidden="1">
          <a:extLst>
            <a:ext uri="{FF2B5EF4-FFF2-40B4-BE49-F238E27FC236}">
              <a16:creationId xmlns:a16="http://schemas.microsoft.com/office/drawing/2014/main" id="{00000000-0008-0000-0100-0000FB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12" name="Drop Down 1" hidden="1">
          <a:extLst>
            <a:ext uri="{FF2B5EF4-FFF2-40B4-BE49-F238E27FC236}">
              <a16:creationId xmlns:a16="http://schemas.microsoft.com/office/drawing/2014/main" id="{00000000-0008-0000-0100-0000FC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13" name="Drop Down -1022" hidden="1">
          <a:extLst>
            <a:ext uri="{FF2B5EF4-FFF2-40B4-BE49-F238E27FC236}">
              <a16:creationId xmlns:a16="http://schemas.microsoft.com/office/drawing/2014/main" id="{00000000-0008-0000-0100-0000FD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14" name="Drop Down 1" hidden="1">
          <a:extLst>
            <a:ext uri="{FF2B5EF4-FFF2-40B4-BE49-F238E27FC236}">
              <a16:creationId xmlns:a16="http://schemas.microsoft.com/office/drawing/2014/main" id="{00000000-0008-0000-0100-0000FE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15" name="Drop Down 1" hidden="1">
          <a:extLst>
            <a:ext uri="{FF2B5EF4-FFF2-40B4-BE49-F238E27FC236}">
              <a16:creationId xmlns:a16="http://schemas.microsoft.com/office/drawing/2014/main" id="{00000000-0008-0000-0100-0000FF23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16" name="Drop Down 1" hidden="1">
          <a:extLst>
            <a:ext uri="{FF2B5EF4-FFF2-40B4-BE49-F238E27FC236}">
              <a16:creationId xmlns:a16="http://schemas.microsoft.com/office/drawing/2014/main" id="{00000000-0008-0000-0100-00000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17" name="Drop Down 1" hidden="1">
          <a:extLst>
            <a:ext uri="{FF2B5EF4-FFF2-40B4-BE49-F238E27FC236}">
              <a16:creationId xmlns:a16="http://schemas.microsoft.com/office/drawing/2014/main" id="{00000000-0008-0000-0100-00000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18" name="Drop Down 2" hidden="1">
          <a:extLst>
            <a:ext uri="{FF2B5EF4-FFF2-40B4-BE49-F238E27FC236}">
              <a16:creationId xmlns:a16="http://schemas.microsoft.com/office/drawing/2014/main" id="{00000000-0008-0000-0100-00000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19" name="Drop Down 1" hidden="1">
          <a:extLst>
            <a:ext uri="{FF2B5EF4-FFF2-40B4-BE49-F238E27FC236}">
              <a16:creationId xmlns:a16="http://schemas.microsoft.com/office/drawing/2014/main" id="{00000000-0008-0000-0100-00000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20" name="Drop Down -1022" hidden="1">
          <a:extLst>
            <a:ext uri="{FF2B5EF4-FFF2-40B4-BE49-F238E27FC236}">
              <a16:creationId xmlns:a16="http://schemas.microsoft.com/office/drawing/2014/main" id="{00000000-0008-0000-0100-00000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21" name="Drop Down 1" hidden="1">
          <a:extLst>
            <a:ext uri="{FF2B5EF4-FFF2-40B4-BE49-F238E27FC236}">
              <a16:creationId xmlns:a16="http://schemas.microsoft.com/office/drawing/2014/main" id="{00000000-0008-0000-0100-00000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22" name="Drop Down 1" hidden="1">
          <a:extLst>
            <a:ext uri="{FF2B5EF4-FFF2-40B4-BE49-F238E27FC236}">
              <a16:creationId xmlns:a16="http://schemas.microsoft.com/office/drawing/2014/main" id="{00000000-0008-0000-0100-00000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23" name="Drop Down 1" hidden="1">
          <a:extLst>
            <a:ext uri="{FF2B5EF4-FFF2-40B4-BE49-F238E27FC236}">
              <a16:creationId xmlns:a16="http://schemas.microsoft.com/office/drawing/2014/main" id="{00000000-0008-0000-0100-00000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24" name="Drop Down 1" hidden="1">
          <a:extLst>
            <a:ext uri="{FF2B5EF4-FFF2-40B4-BE49-F238E27FC236}">
              <a16:creationId xmlns:a16="http://schemas.microsoft.com/office/drawing/2014/main" id="{00000000-0008-0000-0100-00000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25" name="Drop Down 2" hidden="1">
          <a:extLst>
            <a:ext uri="{FF2B5EF4-FFF2-40B4-BE49-F238E27FC236}">
              <a16:creationId xmlns:a16="http://schemas.microsoft.com/office/drawing/2014/main" id="{00000000-0008-0000-0100-00000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26" name="Drop Down 1" hidden="1">
          <a:extLst>
            <a:ext uri="{FF2B5EF4-FFF2-40B4-BE49-F238E27FC236}">
              <a16:creationId xmlns:a16="http://schemas.microsoft.com/office/drawing/2014/main" id="{00000000-0008-0000-0100-00000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27" name="Drop Down -1022" hidden="1">
          <a:extLst>
            <a:ext uri="{FF2B5EF4-FFF2-40B4-BE49-F238E27FC236}">
              <a16:creationId xmlns:a16="http://schemas.microsoft.com/office/drawing/2014/main" id="{00000000-0008-0000-0100-00000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28" name="Drop Down 1" hidden="1">
          <a:extLst>
            <a:ext uri="{FF2B5EF4-FFF2-40B4-BE49-F238E27FC236}">
              <a16:creationId xmlns:a16="http://schemas.microsoft.com/office/drawing/2014/main" id="{00000000-0008-0000-0100-00000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29" name="Drop Down 1" hidden="1">
          <a:extLst>
            <a:ext uri="{FF2B5EF4-FFF2-40B4-BE49-F238E27FC236}">
              <a16:creationId xmlns:a16="http://schemas.microsoft.com/office/drawing/2014/main" id="{00000000-0008-0000-0100-00000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30" name="Drop Down 1" hidden="1">
          <a:extLst>
            <a:ext uri="{FF2B5EF4-FFF2-40B4-BE49-F238E27FC236}">
              <a16:creationId xmlns:a16="http://schemas.microsoft.com/office/drawing/2014/main" id="{00000000-0008-0000-0100-00000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31" name="Drop Down 1" hidden="1">
          <a:extLst>
            <a:ext uri="{FF2B5EF4-FFF2-40B4-BE49-F238E27FC236}">
              <a16:creationId xmlns:a16="http://schemas.microsoft.com/office/drawing/2014/main" id="{00000000-0008-0000-0100-00000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32" name="Drop Down 2" hidden="1">
          <a:extLst>
            <a:ext uri="{FF2B5EF4-FFF2-40B4-BE49-F238E27FC236}">
              <a16:creationId xmlns:a16="http://schemas.microsoft.com/office/drawing/2014/main" id="{00000000-0008-0000-0100-00001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33" name="Drop Down 1" hidden="1">
          <a:extLst>
            <a:ext uri="{FF2B5EF4-FFF2-40B4-BE49-F238E27FC236}">
              <a16:creationId xmlns:a16="http://schemas.microsoft.com/office/drawing/2014/main" id="{00000000-0008-0000-0100-00001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34" name="Drop Down -1022" hidden="1">
          <a:extLst>
            <a:ext uri="{FF2B5EF4-FFF2-40B4-BE49-F238E27FC236}">
              <a16:creationId xmlns:a16="http://schemas.microsoft.com/office/drawing/2014/main" id="{00000000-0008-0000-0100-00001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35" name="Drop Down 1" hidden="1">
          <a:extLst>
            <a:ext uri="{FF2B5EF4-FFF2-40B4-BE49-F238E27FC236}">
              <a16:creationId xmlns:a16="http://schemas.microsoft.com/office/drawing/2014/main" id="{00000000-0008-0000-0100-00001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36" name="Drop Down 1" hidden="1">
          <a:extLst>
            <a:ext uri="{FF2B5EF4-FFF2-40B4-BE49-F238E27FC236}">
              <a16:creationId xmlns:a16="http://schemas.microsoft.com/office/drawing/2014/main" id="{00000000-0008-0000-0100-00001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37" name="Drop Down 1" hidden="1">
          <a:extLst>
            <a:ext uri="{FF2B5EF4-FFF2-40B4-BE49-F238E27FC236}">
              <a16:creationId xmlns:a16="http://schemas.microsoft.com/office/drawing/2014/main" id="{00000000-0008-0000-0100-00001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38" name="Drop Down 1" hidden="1">
          <a:extLst>
            <a:ext uri="{FF2B5EF4-FFF2-40B4-BE49-F238E27FC236}">
              <a16:creationId xmlns:a16="http://schemas.microsoft.com/office/drawing/2014/main" id="{00000000-0008-0000-0100-00001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39" name="Drop Down 2" hidden="1">
          <a:extLst>
            <a:ext uri="{FF2B5EF4-FFF2-40B4-BE49-F238E27FC236}">
              <a16:creationId xmlns:a16="http://schemas.microsoft.com/office/drawing/2014/main" id="{00000000-0008-0000-0100-00001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40" name="Drop Down 1" hidden="1">
          <a:extLst>
            <a:ext uri="{FF2B5EF4-FFF2-40B4-BE49-F238E27FC236}">
              <a16:creationId xmlns:a16="http://schemas.microsoft.com/office/drawing/2014/main" id="{00000000-0008-0000-0100-00001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41" name="Drop Down -1022" hidden="1">
          <a:extLst>
            <a:ext uri="{FF2B5EF4-FFF2-40B4-BE49-F238E27FC236}">
              <a16:creationId xmlns:a16="http://schemas.microsoft.com/office/drawing/2014/main" id="{00000000-0008-0000-0100-00001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42" name="Drop Down 1" hidden="1">
          <a:extLst>
            <a:ext uri="{FF2B5EF4-FFF2-40B4-BE49-F238E27FC236}">
              <a16:creationId xmlns:a16="http://schemas.microsoft.com/office/drawing/2014/main" id="{00000000-0008-0000-0100-00001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43" name="Drop Down 1" hidden="1">
          <a:extLst>
            <a:ext uri="{FF2B5EF4-FFF2-40B4-BE49-F238E27FC236}">
              <a16:creationId xmlns:a16="http://schemas.microsoft.com/office/drawing/2014/main" id="{00000000-0008-0000-0100-00001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44" name="Drop Down 1" hidden="1">
          <a:extLst>
            <a:ext uri="{FF2B5EF4-FFF2-40B4-BE49-F238E27FC236}">
              <a16:creationId xmlns:a16="http://schemas.microsoft.com/office/drawing/2014/main" id="{00000000-0008-0000-0100-00001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45" name="Drop Down 1" hidden="1">
          <a:extLst>
            <a:ext uri="{FF2B5EF4-FFF2-40B4-BE49-F238E27FC236}">
              <a16:creationId xmlns:a16="http://schemas.microsoft.com/office/drawing/2014/main" id="{00000000-0008-0000-0100-00001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46" name="Drop Down 2" hidden="1">
          <a:extLst>
            <a:ext uri="{FF2B5EF4-FFF2-40B4-BE49-F238E27FC236}">
              <a16:creationId xmlns:a16="http://schemas.microsoft.com/office/drawing/2014/main" id="{00000000-0008-0000-0100-00001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47" name="Drop Down 1" hidden="1">
          <a:extLst>
            <a:ext uri="{FF2B5EF4-FFF2-40B4-BE49-F238E27FC236}">
              <a16:creationId xmlns:a16="http://schemas.microsoft.com/office/drawing/2014/main" id="{00000000-0008-0000-0100-00001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48" name="Drop Down -1022" hidden="1">
          <a:extLst>
            <a:ext uri="{FF2B5EF4-FFF2-40B4-BE49-F238E27FC236}">
              <a16:creationId xmlns:a16="http://schemas.microsoft.com/office/drawing/2014/main" id="{00000000-0008-0000-0100-00002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49" name="Drop Down 1" hidden="1">
          <a:extLst>
            <a:ext uri="{FF2B5EF4-FFF2-40B4-BE49-F238E27FC236}">
              <a16:creationId xmlns:a16="http://schemas.microsoft.com/office/drawing/2014/main" id="{00000000-0008-0000-0100-00002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50" name="Drop Down 1" hidden="1">
          <a:extLst>
            <a:ext uri="{FF2B5EF4-FFF2-40B4-BE49-F238E27FC236}">
              <a16:creationId xmlns:a16="http://schemas.microsoft.com/office/drawing/2014/main" id="{00000000-0008-0000-0100-00002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51" name="Drop Down 1" hidden="1">
          <a:extLst>
            <a:ext uri="{FF2B5EF4-FFF2-40B4-BE49-F238E27FC236}">
              <a16:creationId xmlns:a16="http://schemas.microsoft.com/office/drawing/2014/main" id="{00000000-0008-0000-0100-00002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52" name="Drop Down 1" hidden="1">
          <a:extLst>
            <a:ext uri="{FF2B5EF4-FFF2-40B4-BE49-F238E27FC236}">
              <a16:creationId xmlns:a16="http://schemas.microsoft.com/office/drawing/2014/main" id="{00000000-0008-0000-0100-00002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53" name="Drop Down 2" hidden="1">
          <a:extLst>
            <a:ext uri="{FF2B5EF4-FFF2-40B4-BE49-F238E27FC236}">
              <a16:creationId xmlns:a16="http://schemas.microsoft.com/office/drawing/2014/main" id="{00000000-0008-0000-0100-00002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54" name="Drop Down 1" hidden="1">
          <a:extLst>
            <a:ext uri="{FF2B5EF4-FFF2-40B4-BE49-F238E27FC236}">
              <a16:creationId xmlns:a16="http://schemas.microsoft.com/office/drawing/2014/main" id="{00000000-0008-0000-0100-00002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55" name="Drop Down -1022" hidden="1">
          <a:extLst>
            <a:ext uri="{FF2B5EF4-FFF2-40B4-BE49-F238E27FC236}">
              <a16:creationId xmlns:a16="http://schemas.microsoft.com/office/drawing/2014/main" id="{00000000-0008-0000-0100-00002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256" name="Drop Down 1" hidden="1">
          <a:extLst>
            <a:ext uri="{FF2B5EF4-FFF2-40B4-BE49-F238E27FC236}">
              <a16:creationId xmlns:a16="http://schemas.microsoft.com/office/drawing/2014/main" id="{00000000-0008-0000-0100-00002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257" name="Drop Down 1" hidden="1">
          <a:extLst>
            <a:ext uri="{FF2B5EF4-FFF2-40B4-BE49-F238E27FC236}">
              <a16:creationId xmlns:a16="http://schemas.microsoft.com/office/drawing/2014/main" id="{00000000-0008-0000-0100-00002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258" name="Drop Down 1" hidden="1">
          <a:extLst>
            <a:ext uri="{FF2B5EF4-FFF2-40B4-BE49-F238E27FC236}">
              <a16:creationId xmlns:a16="http://schemas.microsoft.com/office/drawing/2014/main" id="{00000000-0008-0000-0100-00002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259" name="Drop Down 1" hidden="1">
          <a:extLst>
            <a:ext uri="{FF2B5EF4-FFF2-40B4-BE49-F238E27FC236}">
              <a16:creationId xmlns:a16="http://schemas.microsoft.com/office/drawing/2014/main" id="{00000000-0008-0000-0100-00002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260" name="Drop Down 2" hidden="1">
          <a:extLst>
            <a:ext uri="{FF2B5EF4-FFF2-40B4-BE49-F238E27FC236}">
              <a16:creationId xmlns:a16="http://schemas.microsoft.com/office/drawing/2014/main" id="{00000000-0008-0000-0100-00002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261" name="Drop Down 1" hidden="1">
          <a:extLst>
            <a:ext uri="{FF2B5EF4-FFF2-40B4-BE49-F238E27FC236}">
              <a16:creationId xmlns:a16="http://schemas.microsoft.com/office/drawing/2014/main" id="{00000000-0008-0000-0100-00002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262" name="Drop Down -1022" hidden="1">
          <a:extLst>
            <a:ext uri="{FF2B5EF4-FFF2-40B4-BE49-F238E27FC236}">
              <a16:creationId xmlns:a16="http://schemas.microsoft.com/office/drawing/2014/main" id="{00000000-0008-0000-0100-00002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263" name="Drop Down 1" hidden="1">
          <a:extLst>
            <a:ext uri="{FF2B5EF4-FFF2-40B4-BE49-F238E27FC236}">
              <a16:creationId xmlns:a16="http://schemas.microsoft.com/office/drawing/2014/main" id="{00000000-0008-0000-0100-00002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264" name="Drop Down 1" hidden="1">
          <a:extLst>
            <a:ext uri="{FF2B5EF4-FFF2-40B4-BE49-F238E27FC236}">
              <a16:creationId xmlns:a16="http://schemas.microsoft.com/office/drawing/2014/main" id="{00000000-0008-0000-0100-00003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265" name="Drop Down 1" hidden="1">
          <a:extLst>
            <a:ext uri="{FF2B5EF4-FFF2-40B4-BE49-F238E27FC236}">
              <a16:creationId xmlns:a16="http://schemas.microsoft.com/office/drawing/2014/main" id="{00000000-0008-0000-0100-00003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266" name="Drop Down 1" hidden="1">
          <a:extLst>
            <a:ext uri="{FF2B5EF4-FFF2-40B4-BE49-F238E27FC236}">
              <a16:creationId xmlns:a16="http://schemas.microsoft.com/office/drawing/2014/main" id="{00000000-0008-0000-0100-00003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267" name="Drop Down 2" hidden="1">
          <a:extLst>
            <a:ext uri="{FF2B5EF4-FFF2-40B4-BE49-F238E27FC236}">
              <a16:creationId xmlns:a16="http://schemas.microsoft.com/office/drawing/2014/main" id="{00000000-0008-0000-0100-00003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268" name="Drop Down 1" hidden="1">
          <a:extLst>
            <a:ext uri="{FF2B5EF4-FFF2-40B4-BE49-F238E27FC236}">
              <a16:creationId xmlns:a16="http://schemas.microsoft.com/office/drawing/2014/main" id="{00000000-0008-0000-0100-00003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269" name="Drop Down -1022" hidden="1">
          <a:extLst>
            <a:ext uri="{FF2B5EF4-FFF2-40B4-BE49-F238E27FC236}">
              <a16:creationId xmlns:a16="http://schemas.microsoft.com/office/drawing/2014/main" id="{00000000-0008-0000-0100-00003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70" name="Drop Down 1" hidden="1">
          <a:extLst>
            <a:ext uri="{FF2B5EF4-FFF2-40B4-BE49-F238E27FC236}">
              <a16:creationId xmlns:a16="http://schemas.microsoft.com/office/drawing/2014/main" id="{00000000-0008-0000-0100-00003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71" name="Drop Down 1" hidden="1">
          <a:extLst>
            <a:ext uri="{FF2B5EF4-FFF2-40B4-BE49-F238E27FC236}">
              <a16:creationId xmlns:a16="http://schemas.microsoft.com/office/drawing/2014/main" id="{00000000-0008-0000-0100-00003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72" name="Drop Down 1" hidden="1">
          <a:extLst>
            <a:ext uri="{FF2B5EF4-FFF2-40B4-BE49-F238E27FC236}">
              <a16:creationId xmlns:a16="http://schemas.microsoft.com/office/drawing/2014/main" id="{00000000-0008-0000-0100-00003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73" name="Drop Down 1" hidden="1">
          <a:extLst>
            <a:ext uri="{FF2B5EF4-FFF2-40B4-BE49-F238E27FC236}">
              <a16:creationId xmlns:a16="http://schemas.microsoft.com/office/drawing/2014/main" id="{00000000-0008-0000-0100-00003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74" name="Drop Down 2" hidden="1">
          <a:extLst>
            <a:ext uri="{FF2B5EF4-FFF2-40B4-BE49-F238E27FC236}">
              <a16:creationId xmlns:a16="http://schemas.microsoft.com/office/drawing/2014/main" id="{00000000-0008-0000-0100-00003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75" name="Drop Down 1" hidden="1">
          <a:extLst>
            <a:ext uri="{FF2B5EF4-FFF2-40B4-BE49-F238E27FC236}">
              <a16:creationId xmlns:a16="http://schemas.microsoft.com/office/drawing/2014/main" id="{00000000-0008-0000-0100-00003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76" name="Drop Down -1022" hidden="1">
          <a:extLst>
            <a:ext uri="{FF2B5EF4-FFF2-40B4-BE49-F238E27FC236}">
              <a16:creationId xmlns:a16="http://schemas.microsoft.com/office/drawing/2014/main" id="{00000000-0008-0000-0100-00003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77" name="Drop Down 1" hidden="1">
          <a:extLst>
            <a:ext uri="{FF2B5EF4-FFF2-40B4-BE49-F238E27FC236}">
              <a16:creationId xmlns:a16="http://schemas.microsoft.com/office/drawing/2014/main" id="{00000000-0008-0000-0100-00003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78" name="Drop Down 1" hidden="1">
          <a:extLst>
            <a:ext uri="{FF2B5EF4-FFF2-40B4-BE49-F238E27FC236}">
              <a16:creationId xmlns:a16="http://schemas.microsoft.com/office/drawing/2014/main" id="{00000000-0008-0000-0100-00003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79" name="Drop Down 1" hidden="1">
          <a:extLst>
            <a:ext uri="{FF2B5EF4-FFF2-40B4-BE49-F238E27FC236}">
              <a16:creationId xmlns:a16="http://schemas.microsoft.com/office/drawing/2014/main" id="{00000000-0008-0000-0100-00003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80" name="Drop Down 1" hidden="1">
          <a:extLst>
            <a:ext uri="{FF2B5EF4-FFF2-40B4-BE49-F238E27FC236}">
              <a16:creationId xmlns:a16="http://schemas.microsoft.com/office/drawing/2014/main" id="{00000000-0008-0000-0100-00004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81" name="Drop Down 2" hidden="1">
          <a:extLst>
            <a:ext uri="{FF2B5EF4-FFF2-40B4-BE49-F238E27FC236}">
              <a16:creationId xmlns:a16="http://schemas.microsoft.com/office/drawing/2014/main" id="{00000000-0008-0000-0100-00004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82" name="Drop Down 1" hidden="1">
          <a:extLst>
            <a:ext uri="{FF2B5EF4-FFF2-40B4-BE49-F238E27FC236}">
              <a16:creationId xmlns:a16="http://schemas.microsoft.com/office/drawing/2014/main" id="{00000000-0008-0000-0100-00004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83" name="Drop Down -1022" hidden="1">
          <a:extLst>
            <a:ext uri="{FF2B5EF4-FFF2-40B4-BE49-F238E27FC236}">
              <a16:creationId xmlns:a16="http://schemas.microsoft.com/office/drawing/2014/main" id="{00000000-0008-0000-0100-00004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84" name="Drop Down 1" hidden="1">
          <a:extLst>
            <a:ext uri="{FF2B5EF4-FFF2-40B4-BE49-F238E27FC236}">
              <a16:creationId xmlns:a16="http://schemas.microsoft.com/office/drawing/2014/main" id="{00000000-0008-0000-0100-00004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85" name="Drop Down 1" hidden="1">
          <a:extLst>
            <a:ext uri="{FF2B5EF4-FFF2-40B4-BE49-F238E27FC236}">
              <a16:creationId xmlns:a16="http://schemas.microsoft.com/office/drawing/2014/main" id="{00000000-0008-0000-0100-00004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86" name="Drop Down 1" hidden="1">
          <a:extLst>
            <a:ext uri="{FF2B5EF4-FFF2-40B4-BE49-F238E27FC236}">
              <a16:creationId xmlns:a16="http://schemas.microsoft.com/office/drawing/2014/main" id="{00000000-0008-0000-0100-00004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87" name="Drop Down 1" hidden="1">
          <a:extLst>
            <a:ext uri="{FF2B5EF4-FFF2-40B4-BE49-F238E27FC236}">
              <a16:creationId xmlns:a16="http://schemas.microsoft.com/office/drawing/2014/main" id="{00000000-0008-0000-0100-00004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88" name="Drop Down 2" hidden="1">
          <a:extLst>
            <a:ext uri="{FF2B5EF4-FFF2-40B4-BE49-F238E27FC236}">
              <a16:creationId xmlns:a16="http://schemas.microsoft.com/office/drawing/2014/main" id="{00000000-0008-0000-0100-00004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89" name="Drop Down 1" hidden="1">
          <a:extLst>
            <a:ext uri="{FF2B5EF4-FFF2-40B4-BE49-F238E27FC236}">
              <a16:creationId xmlns:a16="http://schemas.microsoft.com/office/drawing/2014/main" id="{00000000-0008-0000-0100-00004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90" name="Drop Down -1022" hidden="1">
          <a:extLst>
            <a:ext uri="{FF2B5EF4-FFF2-40B4-BE49-F238E27FC236}">
              <a16:creationId xmlns:a16="http://schemas.microsoft.com/office/drawing/2014/main" id="{00000000-0008-0000-0100-00004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91" name="Drop Down 1" hidden="1">
          <a:extLst>
            <a:ext uri="{FF2B5EF4-FFF2-40B4-BE49-F238E27FC236}">
              <a16:creationId xmlns:a16="http://schemas.microsoft.com/office/drawing/2014/main" id="{00000000-0008-0000-0100-00004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92" name="Drop Down 1" hidden="1">
          <a:extLst>
            <a:ext uri="{FF2B5EF4-FFF2-40B4-BE49-F238E27FC236}">
              <a16:creationId xmlns:a16="http://schemas.microsoft.com/office/drawing/2014/main" id="{00000000-0008-0000-0100-00004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93" name="Drop Down 1" hidden="1">
          <a:extLst>
            <a:ext uri="{FF2B5EF4-FFF2-40B4-BE49-F238E27FC236}">
              <a16:creationId xmlns:a16="http://schemas.microsoft.com/office/drawing/2014/main" id="{00000000-0008-0000-0100-00004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94" name="Drop Down 1" hidden="1">
          <a:extLst>
            <a:ext uri="{FF2B5EF4-FFF2-40B4-BE49-F238E27FC236}">
              <a16:creationId xmlns:a16="http://schemas.microsoft.com/office/drawing/2014/main" id="{00000000-0008-0000-0100-00004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95" name="Drop Down 2" hidden="1">
          <a:extLst>
            <a:ext uri="{FF2B5EF4-FFF2-40B4-BE49-F238E27FC236}">
              <a16:creationId xmlns:a16="http://schemas.microsoft.com/office/drawing/2014/main" id="{00000000-0008-0000-0100-00004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96" name="Drop Down 1" hidden="1">
          <a:extLst>
            <a:ext uri="{FF2B5EF4-FFF2-40B4-BE49-F238E27FC236}">
              <a16:creationId xmlns:a16="http://schemas.microsoft.com/office/drawing/2014/main" id="{00000000-0008-0000-0100-00005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297" name="Drop Down -1022" hidden="1">
          <a:extLst>
            <a:ext uri="{FF2B5EF4-FFF2-40B4-BE49-F238E27FC236}">
              <a16:creationId xmlns:a16="http://schemas.microsoft.com/office/drawing/2014/main" id="{00000000-0008-0000-0100-00005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98" name="Drop Down 1" hidden="1">
          <a:extLst>
            <a:ext uri="{FF2B5EF4-FFF2-40B4-BE49-F238E27FC236}">
              <a16:creationId xmlns:a16="http://schemas.microsoft.com/office/drawing/2014/main" id="{00000000-0008-0000-0100-00005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299" name="Drop Down 1" hidden="1">
          <a:extLst>
            <a:ext uri="{FF2B5EF4-FFF2-40B4-BE49-F238E27FC236}">
              <a16:creationId xmlns:a16="http://schemas.microsoft.com/office/drawing/2014/main" id="{00000000-0008-0000-0100-00005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00" name="Drop Down 1" hidden="1">
          <a:extLst>
            <a:ext uri="{FF2B5EF4-FFF2-40B4-BE49-F238E27FC236}">
              <a16:creationId xmlns:a16="http://schemas.microsoft.com/office/drawing/2014/main" id="{00000000-0008-0000-0100-00005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01" name="Drop Down 1" hidden="1">
          <a:extLst>
            <a:ext uri="{FF2B5EF4-FFF2-40B4-BE49-F238E27FC236}">
              <a16:creationId xmlns:a16="http://schemas.microsoft.com/office/drawing/2014/main" id="{00000000-0008-0000-0100-00005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02" name="Drop Down 2" hidden="1">
          <a:extLst>
            <a:ext uri="{FF2B5EF4-FFF2-40B4-BE49-F238E27FC236}">
              <a16:creationId xmlns:a16="http://schemas.microsoft.com/office/drawing/2014/main" id="{00000000-0008-0000-0100-00005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03" name="Drop Down 1" hidden="1">
          <a:extLst>
            <a:ext uri="{FF2B5EF4-FFF2-40B4-BE49-F238E27FC236}">
              <a16:creationId xmlns:a16="http://schemas.microsoft.com/office/drawing/2014/main" id="{00000000-0008-0000-0100-00005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04" name="Drop Down -1022" hidden="1">
          <a:extLst>
            <a:ext uri="{FF2B5EF4-FFF2-40B4-BE49-F238E27FC236}">
              <a16:creationId xmlns:a16="http://schemas.microsoft.com/office/drawing/2014/main" id="{00000000-0008-0000-0100-00005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05" name="Drop Down 1" hidden="1">
          <a:extLst>
            <a:ext uri="{FF2B5EF4-FFF2-40B4-BE49-F238E27FC236}">
              <a16:creationId xmlns:a16="http://schemas.microsoft.com/office/drawing/2014/main" id="{00000000-0008-0000-0100-00005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06" name="Drop Down 1" hidden="1">
          <a:extLst>
            <a:ext uri="{FF2B5EF4-FFF2-40B4-BE49-F238E27FC236}">
              <a16:creationId xmlns:a16="http://schemas.microsoft.com/office/drawing/2014/main" id="{00000000-0008-0000-0100-00005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07" name="Drop Down 1" hidden="1">
          <a:extLst>
            <a:ext uri="{FF2B5EF4-FFF2-40B4-BE49-F238E27FC236}">
              <a16:creationId xmlns:a16="http://schemas.microsoft.com/office/drawing/2014/main" id="{00000000-0008-0000-0100-00005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08" name="Drop Down 1" hidden="1">
          <a:extLst>
            <a:ext uri="{FF2B5EF4-FFF2-40B4-BE49-F238E27FC236}">
              <a16:creationId xmlns:a16="http://schemas.microsoft.com/office/drawing/2014/main" id="{00000000-0008-0000-0100-00005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09" name="Drop Down 2" hidden="1">
          <a:extLst>
            <a:ext uri="{FF2B5EF4-FFF2-40B4-BE49-F238E27FC236}">
              <a16:creationId xmlns:a16="http://schemas.microsoft.com/office/drawing/2014/main" id="{00000000-0008-0000-0100-00005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10" name="Drop Down 1" hidden="1">
          <a:extLst>
            <a:ext uri="{FF2B5EF4-FFF2-40B4-BE49-F238E27FC236}">
              <a16:creationId xmlns:a16="http://schemas.microsoft.com/office/drawing/2014/main" id="{00000000-0008-0000-0100-00005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11" name="Drop Down -1022" hidden="1">
          <a:extLst>
            <a:ext uri="{FF2B5EF4-FFF2-40B4-BE49-F238E27FC236}">
              <a16:creationId xmlns:a16="http://schemas.microsoft.com/office/drawing/2014/main" id="{00000000-0008-0000-0100-00005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12" name="Drop Down 1" hidden="1">
          <a:extLst>
            <a:ext uri="{FF2B5EF4-FFF2-40B4-BE49-F238E27FC236}">
              <a16:creationId xmlns:a16="http://schemas.microsoft.com/office/drawing/2014/main" id="{00000000-0008-0000-0100-00006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13" name="Drop Down 1" hidden="1">
          <a:extLst>
            <a:ext uri="{FF2B5EF4-FFF2-40B4-BE49-F238E27FC236}">
              <a16:creationId xmlns:a16="http://schemas.microsoft.com/office/drawing/2014/main" id="{00000000-0008-0000-0100-00006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14" name="Drop Down 1" hidden="1">
          <a:extLst>
            <a:ext uri="{FF2B5EF4-FFF2-40B4-BE49-F238E27FC236}">
              <a16:creationId xmlns:a16="http://schemas.microsoft.com/office/drawing/2014/main" id="{00000000-0008-0000-0100-00006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15" name="Drop Down 1" hidden="1">
          <a:extLst>
            <a:ext uri="{FF2B5EF4-FFF2-40B4-BE49-F238E27FC236}">
              <a16:creationId xmlns:a16="http://schemas.microsoft.com/office/drawing/2014/main" id="{00000000-0008-0000-0100-00006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16" name="Drop Down 2" hidden="1">
          <a:extLst>
            <a:ext uri="{FF2B5EF4-FFF2-40B4-BE49-F238E27FC236}">
              <a16:creationId xmlns:a16="http://schemas.microsoft.com/office/drawing/2014/main" id="{00000000-0008-0000-0100-00006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17" name="Drop Down 1" hidden="1">
          <a:extLst>
            <a:ext uri="{FF2B5EF4-FFF2-40B4-BE49-F238E27FC236}">
              <a16:creationId xmlns:a16="http://schemas.microsoft.com/office/drawing/2014/main" id="{00000000-0008-0000-0100-00006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18" name="Drop Down -1022" hidden="1">
          <a:extLst>
            <a:ext uri="{FF2B5EF4-FFF2-40B4-BE49-F238E27FC236}">
              <a16:creationId xmlns:a16="http://schemas.microsoft.com/office/drawing/2014/main" id="{00000000-0008-0000-0100-00006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19" name="Drop Down 1" hidden="1">
          <a:extLst>
            <a:ext uri="{FF2B5EF4-FFF2-40B4-BE49-F238E27FC236}">
              <a16:creationId xmlns:a16="http://schemas.microsoft.com/office/drawing/2014/main" id="{00000000-0008-0000-0100-00006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20" name="Drop Down 1" hidden="1">
          <a:extLst>
            <a:ext uri="{FF2B5EF4-FFF2-40B4-BE49-F238E27FC236}">
              <a16:creationId xmlns:a16="http://schemas.microsoft.com/office/drawing/2014/main" id="{00000000-0008-0000-0100-00006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21" name="Drop Down 1" hidden="1">
          <a:extLst>
            <a:ext uri="{FF2B5EF4-FFF2-40B4-BE49-F238E27FC236}">
              <a16:creationId xmlns:a16="http://schemas.microsoft.com/office/drawing/2014/main" id="{00000000-0008-0000-0100-00006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22" name="Drop Down 1" hidden="1">
          <a:extLst>
            <a:ext uri="{FF2B5EF4-FFF2-40B4-BE49-F238E27FC236}">
              <a16:creationId xmlns:a16="http://schemas.microsoft.com/office/drawing/2014/main" id="{00000000-0008-0000-0100-00006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23" name="Drop Down 2" hidden="1">
          <a:extLst>
            <a:ext uri="{FF2B5EF4-FFF2-40B4-BE49-F238E27FC236}">
              <a16:creationId xmlns:a16="http://schemas.microsoft.com/office/drawing/2014/main" id="{00000000-0008-0000-0100-00006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24" name="Drop Down 1" hidden="1">
          <a:extLst>
            <a:ext uri="{FF2B5EF4-FFF2-40B4-BE49-F238E27FC236}">
              <a16:creationId xmlns:a16="http://schemas.microsoft.com/office/drawing/2014/main" id="{00000000-0008-0000-0100-00006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25" name="Drop Down -1022" hidden="1">
          <a:extLst>
            <a:ext uri="{FF2B5EF4-FFF2-40B4-BE49-F238E27FC236}">
              <a16:creationId xmlns:a16="http://schemas.microsoft.com/office/drawing/2014/main" id="{00000000-0008-0000-0100-00006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26" name="Drop Down 1" hidden="1">
          <a:extLst>
            <a:ext uri="{FF2B5EF4-FFF2-40B4-BE49-F238E27FC236}">
              <a16:creationId xmlns:a16="http://schemas.microsoft.com/office/drawing/2014/main" id="{00000000-0008-0000-0100-00006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27" name="Drop Down 1" hidden="1">
          <a:extLst>
            <a:ext uri="{FF2B5EF4-FFF2-40B4-BE49-F238E27FC236}">
              <a16:creationId xmlns:a16="http://schemas.microsoft.com/office/drawing/2014/main" id="{00000000-0008-0000-0100-00006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28" name="Drop Down 1" hidden="1">
          <a:extLst>
            <a:ext uri="{FF2B5EF4-FFF2-40B4-BE49-F238E27FC236}">
              <a16:creationId xmlns:a16="http://schemas.microsoft.com/office/drawing/2014/main" id="{00000000-0008-0000-0100-00007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29" name="Drop Down 1" hidden="1">
          <a:extLst>
            <a:ext uri="{FF2B5EF4-FFF2-40B4-BE49-F238E27FC236}">
              <a16:creationId xmlns:a16="http://schemas.microsoft.com/office/drawing/2014/main" id="{00000000-0008-0000-0100-00007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30" name="Drop Down 2" hidden="1">
          <a:extLst>
            <a:ext uri="{FF2B5EF4-FFF2-40B4-BE49-F238E27FC236}">
              <a16:creationId xmlns:a16="http://schemas.microsoft.com/office/drawing/2014/main" id="{00000000-0008-0000-0100-00007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31" name="Drop Down 1" hidden="1">
          <a:extLst>
            <a:ext uri="{FF2B5EF4-FFF2-40B4-BE49-F238E27FC236}">
              <a16:creationId xmlns:a16="http://schemas.microsoft.com/office/drawing/2014/main" id="{00000000-0008-0000-0100-00007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32" name="Drop Down -1022" hidden="1">
          <a:extLst>
            <a:ext uri="{FF2B5EF4-FFF2-40B4-BE49-F238E27FC236}">
              <a16:creationId xmlns:a16="http://schemas.microsoft.com/office/drawing/2014/main" id="{00000000-0008-0000-0100-00007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33" name="Drop Down 1" hidden="1">
          <a:extLst>
            <a:ext uri="{FF2B5EF4-FFF2-40B4-BE49-F238E27FC236}">
              <a16:creationId xmlns:a16="http://schemas.microsoft.com/office/drawing/2014/main" id="{00000000-0008-0000-0100-00007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34" name="Drop Down 1" hidden="1">
          <a:extLst>
            <a:ext uri="{FF2B5EF4-FFF2-40B4-BE49-F238E27FC236}">
              <a16:creationId xmlns:a16="http://schemas.microsoft.com/office/drawing/2014/main" id="{00000000-0008-0000-0100-00007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35" name="Drop Down 1" hidden="1">
          <a:extLst>
            <a:ext uri="{FF2B5EF4-FFF2-40B4-BE49-F238E27FC236}">
              <a16:creationId xmlns:a16="http://schemas.microsoft.com/office/drawing/2014/main" id="{00000000-0008-0000-0100-00007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36" name="Drop Down 1" hidden="1">
          <a:extLst>
            <a:ext uri="{FF2B5EF4-FFF2-40B4-BE49-F238E27FC236}">
              <a16:creationId xmlns:a16="http://schemas.microsoft.com/office/drawing/2014/main" id="{00000000-0008-0000-0100-00007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37" name="Drop Down 2" hidden="1">
          <a:extLst>
            <a:ext uri="{FF2B5EF4-FFF2-40B4-BE49-F238E27FC236}">
              <a16:creationId xmlns:a16="http://schemas.microsoft.com/office/drawing/2014/main" id="{00000000-0008-0000-0100-00007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38" name="Drop Down 1" hidden="1">
          <a:extLst>
            <a:ext uri="{FF2B5EF4-FFF2-40B4-BE49-F238E27FC236}">
              <a16:creationId xmlns:a16="http://schemas.microsoft.com/office/drawing/2014/main" id="{00000000-0008-0000-0100-00007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39" name="Drop Down -1022" hidden="1">
          <a:extLst>
            <a:ext uri="{FF2B5EF4-FFF2-40B4-BE49-F238E27FC236}">
              <a16:creationId xmlns:a16="http://schemas.microsoft.com/office/drawing/2014/main" id="{00000000-0008-0000-0100-00007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340" name="Drop Down 1" hidden="1">
          <a:extLst>
            <a:ext uri="{FF2B5EF4-FFF2-40B4-BE49-F238E27FC236}">
              <a16:creationId xmlns:a16="http://schemas.microsoft.com/office/drawing/2014/main" id="{00000000-0008-0000-0100-00007C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341" name="Drop Down 1" hidden="1">
          <a:extLst>
            <a:ext uri="{FF2B5EF4-FFF2-40B4-BE49-F238E27FC236}">
              <a16:creationId xmlns:a16="http://schemas.microsoft.com/office/drawing/2014/main" id="{00000000-0008-0000-0100-00007D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342" name="Drop Down 1" hidden="1">
          <a:extLst>
            <a:ext uri="{FF2B5EF4-FFF2-40B4-BE49-F238E27FC236}">
              <a16:creationId xmlns:a16="http://schemas.microsoft.com/office/drawing/2014/main" id="{00000000-0008-0000-0100-00007E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343" name="Drop Down 1" hidden="1">
          <a:extLst>
            <a:ext uri="{FF2B5EF4-FFF2-40B4-BE49-F238E27FC236}">
              <a16:creationId xmlns:a16="http://schemas.microsoft.com/office/drawing/2014/main" id="{00000000-0008-0000-0100-00007F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344" name="Drop Down 2" hidden="1">
          <a:extLst>
            <a:ext uri="{FF2B5EF4-FFF2-40B4-BE49-F238E27FC236}">
              <a16:creationId xmlns:a16="http://schemas.microsoft.com/office/drawing/2014/main" id="{00000000-0008-0000-0100-000080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345" name="Drop Down 1" hidden="1">
          <a:extLst>
            <a:ext uri="{FF2B5EF4-FFF2-40B4-BE49-F238E27FC236}">
              <a16:creationId xmlns:a16="http://schemas.microsoft.com/office/drawing/2014/main" id="{00000000-0008-0000-0100-000081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346" name="Drop Down -1022" hidden="1">
          <a:extLst>
            <a:ext uri="{FF2B5EF4-FFF2-40B4-BE49-F238E27FC236}">
              <a16:creationId xmlns:a16="http://schemas.microsoft.com/office/drawing/2014/main" id="{00000000-0008-0000-0100-000082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347" name="Drop Down 1" hidden="1">
          <a:extLst>
            <a:ext uri="{FF2B5EF4-FFF2-40B4-BE49-F238E27FC236}">
              <a16:creationId xmlns:a16="http://schemas.microsoft.com/office/drawing/2014/main" id="{00000000-0008-0000-0100-000083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348" name="Drop Down 1" hidden="1">
          <a:extLst>
            <a:ext uri="{FF2B5EF4-FFF2-40B4-BE49-F238E27FC236}">
              <a16:creationId xmlns:a16="http://schemas.microsoft.com/office/drawing/2014/main" id="{00000000-0008-0000-0100-000084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349" name="Drop Down 1" hidden="1">
          <a:extLst>
            <a:ext uri="{FF2B5EF4-FFF2-40B4-BE49-F238E27FC236}">
              <a16:creationId xmlns:a16="http://schemas.microsoft.com/office/drawing/2014/main" id="{00000000-0008-0000-0100-000085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350" name="Drop Down 1" hidden="1">
          <a:extLst>
            <a:ext uri="{FF2B5EF4-FFF2-40B4-BE49-F238E27FC236}">
              <a16:creationId xmlns:a16="http://schemas.microsoft.com/office/drawing/2014/main" id="{00000000-0008-0000-0100-000086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351" name="Drop Down 2" hidden="1">
          <a:extLst>
            <a:ext uri="{FF2B5EF4-FFF2-40B4-BE49-F238E27FC236}">
              <a16:creationId xmlns:a16="http://schemas.microsoft.com/office/drawing/2014/main" id="{00000000-0008-0000-0100-000087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352" name="Drop Down 1" hidden="1">
          <a:extLst>
            <a:ext uri="{FF2B5EF4-FFF2-40B4-BE49-F238E27FC236}">
              <a16:creationId xmlns:a16="http://schemas.microsoft.com/office/drawing/2014/main" id="{00000000-0008-0000-0100-000088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353" name="Drop Down -1022" hidden="1">
          <a:extLst>
            <a:ext uri="{FF2B5EF4-FFF2-40B4-BE49-F238E27FC236}">
              <a16:creationId xmlns:a16="http://schemas.microsoft.com/office/drawing/2014/main" id="{00000000-0008-0000-0100-000089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54" name="Drop Down 1" hidden="1">
          <a:extLst>
            <a:ext uri="{FF2B5EF4-FFF2-40B4-BE49-F238E27FC236}">
              <a16:creationId xmlns:a16="http://schemas.microsoft.com/office/drawing/2014/main" id="{00000000-0008-0000-0100-00008A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55" name="Drop Down 1" hidden="1">
          <a:extLst>
            <a:ext uri="{FF2B5EF4-FFF2-40B4-BE49-F238E27FC236}">
              <a16:creationId xmlns:a16="http://schemas.microsoft.com/office/drawing/2014/main" id="{00000000-0008-0000-0100-00008B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56" name="Drop Down 1" hidden="1">
          <a:extLst>
            <a:ext uri="{FF2B5EF4-FFF2-40B4-BE49-F238E27FC236}">
              <a16:creationId xmlns:a16="http://schemas.microsoft.com/office/drawing/2014/main" id="{00000000-0008-0000-0100-00008C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57" name="Drop Down 1" hidden="1">
          <a:extLst>
            <a:ext uri="{FF2B5EF4-FFF2-40B4-BE49-F238E27FC236}">
              <a16:creationId xmlns:a16="http://schemas.microsoft.com/office/drawing/2014/main" id="{00000000-0008-0000-0100-00008D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58" name="Drop Down 2" hidden="1">
          <a:extLst>
            <a:ext uri="{FF2B5EF4-FFF2-40B4-BE49-F238E27FC236}">
              <a16:creationId xmlns:a16="http://schemas.microsoft.com/office/drawing/2014/main" id="{00000000-0008-0000-0100-00008E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59" name="Drop Down 1" hidden="1">
          <a:extLst>
            <a:ext uri="{FF2B5EF4-FFF2-40B4-BE49-F238E27FC236}">
              <a16:creationId xmlns:a16="http://schemas.microsoft.com/office/drawing/2014/main" id="{00000000-0008-0000-0100-00008F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360" name="Drop Down -1022" hidden="1">
          <a:extLst>
            <a:ext uri="{FF2B5EF4-FFF2-40B4-BE49-F238E27FC236}">
              <a16:creationId xmlns:a16="http://schemas.microsoft.com/office/drawing/2014/main" id="{00000000-0008-0000-0100-000090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61" name="Drop Down 1" hidden="1">
          <a:extLst>
            <a:ext uri="{FF2B5EF4-FFF2-40B4-BE49-F238E27FC236}">
              <a16:creationId xmlns:a16="http://schemas.microsoft.com/office/drawing/2014/main" id="{00000000-0008-0000-0100-000091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62" name="Drop Down 1" hidden="1">
          <a:extLst>
            <a:ext uri="{FF2B5EF4-FFF2-40B4-BE49-F238E27FC236}">
              <a16:creationId xmlns:a16="http://schemas.microsoft.com/office/drawing/2014/main" id="{00000000-0008-0000-0100-000092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63" name="Drop Down 1" hidden="1">
          <a:extLst>
            <a:ext uri="{FF2B5EF4-FFF2-40B4-BE49-F238E27FC236}">
              <a16:creationId xmlns:a16="http://schemas.microsoft.com/office/drawing/2014/main" id="{00000000-0008-0000-0100-000093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64" name="Drop Down 1" hidden="1">
          <a:extLst>
            <a:ext uri="{FF2B5EF4-FFF2-40B4-BE49-F238E27FC236}">
              <a16:creationId xmlns:a16="http://schemas.microsoft.com/office/drawing/2014/main" id="{00000000-0008-0000-0100-000094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65" name="Drop Down 2" hidden="1">
          <a:extLst>
            <a:ext uri="{FF2B5EF4-FFF2-40B4-BE49-F238E27FC236}">
              <a16:creationId xmlns:a16="http://schemas.microsoft.com/office/drawing/2014/main" id="{00000000-0008-0000-0100-000095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66" name="Drop Down 1" hidden="1">
          <a:extLst>
            <a:ext uri="{FF2B5EF4-FFF2-40B4-BE49-F238E27FC236}">
              <a16:creationId xmlns:a16="http://schemas.microsoft.com/office/drawing/2014/main" id="{00000000-0008-0000-0100-000096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367" name="Drop Down -1022" hidden="1">
          <a:extLst>
            <a:ext uri="{FF2B5EF4-FFF2-40B4-BE49-F238E27FC236}">
              <a16:creationId xmlns:a16="http://schemas.microsoft.com/office/drawing/2014/main" id="{00000000-0008-0000-0100-000097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68" name="Drop Down 1" hidden="1">
          <a:extLst>
            <a:ext uri="{FF2B5EF4-FFF2-40B4-BE49-F238E27FC236}">
              <a16:creationId xmlns:a16="http://schemas.microsoft.com/office/drawing/2014/main" id="{00000000-0008-0000-0100-00009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69" name="Drop Down 1" hidden="1">
          <a:extLst>
            <a:ext uri="{FF2B5EF4-FFF2-40B4-BE49-F238E27FC236}">
              <a16:creationId xmlns:a16="http://schemas.microsoft.com/office/drawing/2014/main" id="{00000000-0008-0000-0100-00009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70" name="Drop Down 1" hidden="1">
          <a:extLst>
            <a:ext uri="{FF2B5EF4-FFF2-40B4-BE49-F238E27FC236}">
              <a16:creationId xmlns:a16="http://schemas.microsoft.com/office/drawing/2014/main" id="{00000000-0008-0000-0100-00009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71" name="Drop Down 1" hidden="1">
          <a:extLst>
            <a:ext uri="{FF2B5EF4-FFF2-40B4-BE49-F238E27FC236}">
              <a16:creationId xmlns:a16="http://schemas.microsoft.com/office/drawing/2014/main" id="{00000000-0008-0000-0100-00009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72" name="Drop Down 2" hidden="1">
          <a:extLst>
            <a:ext uri="{FF2B5EF4-FFF2-40B4-BE49-F238E27FC236}">
              <a16:creationId xmlns:a16="http://schemas.microsoft.com/office/drawing/2014/main" id="{00000000-0008-0000-0100-00009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73" name="Drop Down 1" hidden="1">
          <a:extLst>
            <a:ext uri="{FF2B5EF4-FFF2-40B4-BE49-F238E27FC236}">
              <a16:creationId xmlns:a16="http://schemas.microsoft.com/office/drawing/2014/main" id="{00000000-0008-0000-0100-00009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74" name="Drop Down -1022" hidden="1">
          <a:extLst>
            <a:ext uri="{FF2B5EF4-FFF2-40B4-BE49-F238E27FC236}">
              <a16:creationId xmlns:a16="http://schemas.microsoft.com/office/drawing/2014/main" id="{00000000-0008-0000-0100-00009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75" name="Drop Down 1" hidden="1">
          <a:extLst>
            <a:ext uri="{FF2B5EF4-FFF2-40B4-BE49-F238E27FC236}">
              <a16:creationId xmlns:a16="http://schemas.microsoft.com/office/drawing/2014/main" id="{00000000-0008-0000-0100-00009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76" name="Drop Down 1" hidden="1">
          <a:extLst>
            <a:ext uri="{FF2B5EF4-FFF2-40B4-BE49-F238E27FC236}">
              <a16:creationId xmlns:a16="http://schemas.microsoft.com/office/drawing/2014/main" id="{00000000-0008-0000-0100-0000A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77" name="Drop Down 1" hidden="1">
          <a:extLst>
            <a:ext uri="{FF2B5EF4-FFF2-40B4-BE49-F238E27FC236}">
              <a16:creationId xmlns:a16="http://schemas.microsoft.com/office/drawing/2014/main" id="{00000000-0008-0000-0100-0000A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78" name="Drop Down 1" hidden="1">
          <a:extLst>
            <a:ext uri="{FF2B5EF4-FFF2-40B4-BE49-F238E27FC236}">
              <a16:creationId xmlns:a16="http://schemas.microsoft.com/office/drawing/2014/main" id="{00000000-0008-0000-0100-0000A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79" name="Drop Down 2" hidden="1">
          <a:extLst>
            <a:ext uri="{FF2B5EF4-FFF2-40B4-BE49-F238E27FC236}">
              <a16:creationId xmlns:a16="http://schemas.microsoft.com/office/drawing/2014/main" id="{00000000-0008-0000-0100-0000A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80" name="Drop Down 1" hidden="1">
          <a:extLst>
            <a:ext uri="{FF2B5EF4-FFF2-40B4-BE49-F238E27FC236}">
              <a16:creationId xmlns:a16="http://schemas.microsoft.com/office/drawing/2014/main" id="{00000000-0008-0000-0100-0000A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81" name="Drop Down -1022" hidden="1">
          <a:extLst>
            <a:ext uri="{FF2B5EF4-FFF2-40B4-BE49-F238E27FC236}">
              <a16:creationId xmlns:a16="http://schemas.microsoft.com/office/drawing/2014/main" id="{00000000-0008-0000-0100-0000A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82" name="Drop Down 1" hidden="1">
          <a:extLst>
            <a:ext uri="{FF2B5EF4-FFF2-40B4-BE49-F238E27FC236}">
              <a16:creationId xmlns:a16="http://schemas.microsoft.com/office/drawing/2014/main" id="{00000000-0008-0000-0100-0000A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83" name="Drop Down 1" hidden="1">
          <a:extLst>
            <a:ext uri="{FF2B5EF4-FFF2-40B4-BE49-F238E27FC236}">
              <a16:creationId xmlns:a16="http://schemas.microsoft.com/office/drawing/2014/main" id="{00000000-0008-0000-0100-0000A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84" name="Drop Down 1" hidden="1">
          <a:extLst>
            <a:ext uri="{FF2B5EF4-FFF2-40B4-BE49-F238E27FC236}">
              <a16:creationId xmlns:a16="http://schemas.microsoft.com/office/drawing/2014/main" id="{00000000-0008-0000-0100-0000A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85" name="Drop Down 1" hidden="1">
          <a:extLst>
            <a:ext uri="{FF2B5EF4-FFF2-40B4-BE49-F238E27FC236}">
              <a16:creationId xmlns:a16="http://schemas.microsoft.com/office/drawing/2014/main" id="{00000000-0008-0000-0100-0000A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86" name="Drop Down 2" hidden="1">
          <a:extLst>
            <a:ext uri="{FF2B5EF4-FFF2-40B4-BE49-F238E27FC236}">
              <a16:creationId xmlns:a16="http://schemas.microsoft.com/office/drawing/2014/main" id="{00000000-0008-0000-0100-0000A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87" name="Drop Down 1" hidden="1">
          <a:extLst>
            <a:ext uri="{FF2B5EF4-FFF2-40B4-BE49-F238E27FC236}">
              <a16:creationId xmlns:a16="http://schemas.microsoft.com/office/drawing/2014/main" id="{00000000-0008-0000-0100-0000A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88" name="Drop Down -1022" hidden="1">
          <a:extLst>
            <a:ext uri="{FF2B5EF4-FFF2-40B4-BE49-F238E27FC236}">
              <a16:creationId xmlns:a16="http://schemas.microsoft.com/office/drawing/2014/main" id="{00000000-0008-0000-0100-0000A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89" name="Drop Down 1" hidden="1">
          <a:extLst>
            <a:ext uri="{FF2B5EF4-FFF2-40B4-BE49-F238E27FC236}">
              <a16:creationId xmlns:a16="http://schemas.microsoft.com/office/drawing/2014/main" id="{00000000-0008-0000-0100-0000A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90" name="Drop Down 1" hidden="1">
          <a:extLst>
            <a:ext uri="{FF2B5EF4-FFF2-40B4-BE49-F238E27FC236}">
              <a16:creationId xmlns:a16="http://schemas.microsoft.com/office/drawing/2014/main" id="{00000000-0008-0000-0100-0000A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91" name="Drop Down 1" hidden="1">
          <a:extLst>
            <a:ext uri="{FF2B5EF4-FFF2-40B4-BE49-F238E27FC236}">
              <a16:creationId xmlns:a16="http://schemas.microsoft.com/office/drawing/2014/main" id="{00000000-0008-0000-0100-0000A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92" name="Drop Down 1" hidden="1">
          <a:extLst>
            <a:ext uri="{FF2B5EF4-FFF2-40B4-BE49-F238E27FC236}">
              <a16:creationId xmlns:a16="http://schemas.microsoft.com/office/drawing/2014/main" id="{00000000-0008-0000-0100-0000B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93" name="Drop Down 2" hidden="1">
          <a:extLst>
            <a:ext uri="{FF2B5EF4-FFF2-40B4-BE49-F238E27FC236}">
              <a16:creationId xmlns:a16="http://schemas.microsoft.com/office/drawing/2014/main" id="{00000000-0008-0000-0100-0000B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94" name="Drop Down 1" hidden="1">
          <a:extLst>
            <a:ext uri="{FF2B5EF4-FFF2-40B4-BE49-F238E27FC236}">
              <a16:creationId xmlns:a16="http://schemas.microsoft.com/office/drawing/2014/main" id="{00000000-0008-0000-0100-0000B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395" name="Drop Down -1022" hidden="1">
          <a:extLst>
            <a:ext uri="{FF2B5EF4-FFF2-40B4-BE49-F238E27FC236}">
              <a16:creationId xmlns:a16="http://schemas.microsoft.com/office/drawing/2014/main" id="{00000000-0008-0000-0100-0000B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96" name="Drop Down 1" hidden="1">
          <a:extLst>
            <a:ext uri="{FF2B5EF4-FFF2-40B4-BE49-F238E27FC236}">
              <a16:creationId xmlns:a16="http://schemas.microsoft.com/office/drawing/2014/main" id="{00000000-0008-0000-0100-0000B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97" name="Drop Down 1" hidden="1">
          <a:extLst>
            <a:ext uri="{FF2B5EF4-FFF2-40B4-BE49-F238E27FC236}">
              <a16:creationId xmlns:a16="http://schemas.microsoft.com/office/drawing/2014/main" id="{00000000-0008-0000-0100-0000B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98" name="Drop Down 1" hidden="1">
          <a:extLst>
            <a:ext uri="{FF2B5EF4-FFF2-40B4-BE49-F238E27FC236}">
              <a16:creationId xmlns:a16="http://schemas.microsoft.com/office/drawing/2014/main" id="{00000000-0008-0000-0100-0000B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399" name="Drop Down 1" hidden="1">
          <a:extLst>
            <a:ext uri="{FF2B5EF4-FFF2-40B4-BE49-F238E27FC236}">
              <a16:creationId xmlns:a16="http://schemas.microsoft.com/office/drawing/2014/main" id="{00000000-0008-0000-0100-0000B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00" name="Drop Down 2" hidden="1">
          <a:extLst>
            <a:ext uri="{FF2B5EF4-FFF2-40B4-BE49-F238E27FC236}">
              <a16:creationId xmlns:a16="http://schemas.microsoft.com/office/drawing/2014/main" id="{00000000-0008-0000-0100-0000B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01" name="Drop Down 1" hidden="1">
          <a:extLst>
            <a:ext uri="{FF2B5EF4-FFF2-40B4-BE49-F238E27FC236}">
              <a16:creationId xmlns:a16="http://schemas.microsoft.com/office/drawing/2014/main" id="{00000000-0008-0000-0100-0000B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02" name="Drop Down -1022" hidden="1">
          <a:extLst>
            <a:ext uri="{FF2B5EF4-FFF2-40B4-BE49-F238E27FC236}">
              <a16:creationId xmlns:a16="http://schemas.microsoft.com/office/drawing/2014/main" id="{00000000-0008-0000-0100-0000B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03" name="Drop Down 1" hidden="1">
          <a:extLst>
            <a:ext uri="{FF2B5EF4-FFF2-40B4-BE49-F238E27FC236}">
              <a16:creationId xmlns:a16="http://schemas.microsoft.com/office/drawing/2014/main" id="{00000000-0008-0000-0100-0000B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04" name="Drop Down 1" hidden="1">
          <a:extLst>
            <a:ext uri="{FF2B5EF4-FFF2-40B4-BE49-F238E27FC236}">
              <a16:creationId xmlns:a16="http://schemas.microsoft.com/office/drawing/2014/main" id="{00000000-0008-0000-0100-0000B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05" name="Drop Down 1" hidden="1">
          <a:extLst>
            <a:ext uri="{FF2B5EF4-FFF2-40B4-BE49-F238E27FC236}">
              <a16:creationId xmlns:a16="http://schemas.microsoft.com/office/drawing/2014/main" id="{00000000-0008-0000-0100-0000B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06" name="Drop Down 1" hidden="1">
          <a:extLst>
            <a:ext uri="{FF2B5EF4-FFF2-40B4-BE49-F238E27FC236}">
              <a16:creationId xmlns:a16="http://schemas.microsoft.com/office/drawing/2014/main" id="{00000000-0008-0000-0100-0000B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07" name="Drop Down 2" hidden="1">
          <a:extLst>
            <a:ext uri="{FF2B5EF4-FFF2-40B4-BE49-F238E27FC236}">
              <a16:creationId xmlns:a16="http://schemas.microsoft.com/office/drawing/2014/main" id="{00000000-0008-0000-0100-0000B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08" name="Drop Down 1" hidden="1">
          <a:extLst>
            <a:ext uri="{FF2B5EF4-FFF2-40B4-BE49-F238E27FC236}">
              <a16:creationId xmlns:a16="http://schemas.microsoft.com/office/drawing/2014/main" id="{00000000-0008-0000-0100-0000C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09" name="Drop Down -1022" hidden="1">
          <a:extLst>
            <a:ext uri="{FF2B5EF4-FFF2-40B4-BE49-F238E27FC236}">
              <a16:creationId xmlns:a16="http://schemas.microsoft.com/office/drawing/2014/main" id="{00000000-0008-0000-0100-0000C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10" name="Drop Down 1" hidden="1">
          <a:extLst>
            <a:ext uri="{FF2B5EF4-FFF2-40B4-BE49-F238E27FC236}">
              <a16:creationId xmlns:a16="http://schemas.microsoft.com/office/drawing/2014/main" id="{00000000-0008-0000-0100-0000C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11" name="Drop Down 1" hidden="1">
          <a:extLst>
            <a:ext uri="{FF2B5EF4-FFF2-40B4-BE49-F238E27FC236}">
              <a16:creationId xmlns:a16="http://schemas.microsoft.com/office/drawing/2014/main" id="{00000000-0008-0000-0100-0000C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12" name="Drop Down 1" hidden="1">
          <a:extLst>
            <a:ext uri="{FF2B5EF4-FFF2-40B4-BE49-F238E27FC236}">
              <a16:creationId xmlns:a16="http://schemas.microsoft.com/office/drawing/2014/main" id="{00000000-0008-0000-0100-0000C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13" name="Drop Down 1" hidden="1">
          <a:extLst>
            <a:ext uri="{FF2B5EF4-FFF2-40B4-BE49-F238E27FC236}">
              <a16:creationId xmlns:a16="http://schemas.microsoft.com/office/drawing/2014/main" id="{00000000-0008-0000-0100-0000C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14" name="Drop Down 2" hidden="1">
          <a:extLst>
            <a:ext uri="{FF2B5EF4-FFF2-40B4-BE49-F238E27FC236}">
              <a16:creationId xmlns:a16="http://schemas.microsoft.com/office/drawing/2014/main" id="{00000000-0008-0000-0100-0000C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15" name="Drop Down 1" hidden="1">
          <a:extLst>
            <a:ext uri="{FF2B5EF4-FFF2-40B4-BE49-F238E27FC236}">
              <a16:creationId xmlns:a16="http://schemas.microsoft.com/office/drawing/2014/main" id="{00000000-0008-0000-0100-0000C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16" name="Drop Down -1022" hidden="1">
          <a:extLst>
            <a:ext uri="{FF2B5EF4-FFF2-40B4-BE49-F238E27FC236}">
              <a16:creationId xmlns:a16="http://schemas.microsoft.com/office/drawing/2014/main" id="{00000000-0008-0000-0100-0000C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17" name="Drop Down 1" hidden="1">
          <a:extLst>
            <a:ext uri="{FF2B5EF4-FFF2-40B4-BE49-F238E27FC236}">
              <a16:creationId xmlns:a16="http://schemas.microsoft.com/office/drawing/2014/main" id="{00000000-0008-0000-0100-0000C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18" name="Drop Down 1" hidden="1">
          <a:extLst>
            <a:ext uri="{FF2B5EF4-FFF2-40B4-BE49-F238E27FC236}">
              <a16:creationId xmlns:a16="http://schemas.microsoft.com/office/drawing/2014/main" id="{00000000-0008-0000-0100-0000C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19" name="Drop Down 1" hidden="1">
          <a:extLst>
            <a:ext uri="{FF2B5EF4-FFF2-40B4-BE49-F238E27FC236}">
              <a16:creationId xmlns:a16="http://schemas.microsoft.com/office/drawing/2014/main" id="{00000000-0008-0000-0100-0000C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20" name="Drop Down 1" hidden="1">
          <a:extLst>
            <a:ext uri="{FF2B5EF4-FFF2-40B4-BE49-F238E27FC236}">
              <a16:creationId xmlns:a16="http://schemas.microsoft.com/office/drawing/2014/main" id="{00000000-0008-0000-0100-0000C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21" name="Drop Down 2" hidden="1">
          <a:extLst>
            <a:ext uri="{FF2B5EF4-FFF2-40B4-BE49-F238E27FC236}">
              <a16:creationId xmlns:a16="http://schemas.microsoft.com/office/drawing/2014/main" id="{00000000-0008-0000-0100-0000C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22" name="Drop Down 1" hidden="1">
          <a:extLst>
            <a:ext uri="{FF2B5EF4-FFF2-40B4-BE49-F238E27FC236}">
              <a16:creationId xmlns:a16="http://schemas.microsoft.com/office/drawing/2014/main" id="{00000000-0008-0000-0100-0000C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23" name="Drop Down -1022" hidden="1">
          <a:extLst>
            <a:ext uri="{FF2B5EF4-FFF2-40B4-BE49-F238E27FC236}">
              <a16:creationId xmlns:a16="http://schemas.microsoft.com/office/drawing/2014/main" id="{00000000-0008-0000-0100-0000C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24" name="Drop Down 1" hidden="1">
          <a:extLst>
            <a:ext uri="{FF2B5EF4-FFF2-40B4-BE49-F238E27FC236}">
              <a16:creationId xmlns:a16="http://schemas.microsoft.com/office/drawing/2014/main" id="{00000000-0008-0000-0100-0000D0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25" name="Drop Down 1" hidden="1">
          <a:extLst>
            <a:ext uri="{FF2B5EF4-FFF2-40B4-BE49-F238E27FC236}">
              <a16:creationId xmlns:a16="http://schemas.microsoft.com/office/drawing/2014/main" id="{00000000-0008-0000-0100-0000D1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26" name="Drop Down 1" hidden="1">
          <a:extLst>
            <a:ext uri="{FF2B5EF4-FFF2-40B4-BE49-F238E27FC236}">
              <a16:creationId xmlns:a16="http://schemas.microsoft.com/office/drawing/2014/main" id="{00000000-0008-0000-0100-0000D2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27" name="Drop Down 1" hidden="1">
          <a:extLst>
            <a:ext uri="{FF2B5EF4-FFF2-40B4-BE49-F238E27FC236}">
              <a16:creationId xmlns:a16="http://schemas.microsoft.com/office/drawing/2014/main" id="{00000000-0008-0000-0100-0000D3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28" name="Drop Down 2" hidden="1">
          <a:extLst>
            <a:ext uri="{FF2B5EF4-FFF2-40B4-BE49-F238E27FC236}">
              <a16:creationId xmlns:a16="http://schemas.microsoft.com/office/drawing/2014/main" id="{00000000-0008-0000-0100-0000D4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29" name="Drop Down 1" hidden="1">
          <a:extLst>
            <a:ext uri="{FF2B5EF4-FFF2-40B4-BE49-F238E27FC236}">
              <a16:creationId xmlns:a16="http://schemas.microsoft.com/office/drawing/2014/main" id="{00000000-0008-0000-0100-0000D5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30" name="Drop Down -1022" hidden="1">
          <a:extLst>
            <a:ext uri="{FF2B5EF4-FFF2-40B4-BE49-F238E27FC236}">
              <a16:creationId xmlns:a16="http://schemas.microsoft.com/office/drawing/2014/main" id="{00000000-0008-0000-0100-0000D6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31" name="Drop Down 1" hidden="1">
          <a:extLst>
            <a:ext uri="{FF2B5EF4-FFF2-40B4-BE49-F238E27FC236}">
              <a16:creationId xmlns:a16="http://schemas.microsoft.com/office/drawing/2014/main" id="{00000000-0008-0000-0100-0000D7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32" name="Drop Down 1" hidden="1">
          <a:extLst>
            <a:ext uri="{FF2B5EF4-FFF2-40B4-BE49-F238E27FC236}">
              <a16:creationId xmlns:a16="http://schemas.microsoft.com/office/drawing/2014/main" id="{00000000-0008-0000-0100-0000D8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33" name="Drop Down 1" hidden="1">
          <a:extLst>
            <a:ext uri="{FF2B5EF4-FFF2-40B4-BE49-F238E27FC236}">
              <a16:creationId xmlns:a16="http://schemas.microsoft.com/office/drawing/2014/main" id="{00000000-0008-0000-0100-0000D9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34" name="Drop Down 1" hidden="1">
          <a:extLst>
            <a:ext uri="{FF2B5EF4-FFF2-40B4-BE49-F238E27FC236}">
              <a16:creationId xmlns:a16="http://schemas.microsoft.com/office/drawing/2014/main" id="{00000000-0008-0000-0100-0000DA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35" name="Drop Down 2" hidden="1">
          <a:extLst>
            <a:ext uri="{FF2B5EF4-FFF2-40B4-BE49-F238E27FC236}">
              <a16:creationId xmlns:a16="http://schemas.microsoft.com/office/drawing/2014/main" id="{00000000-0008-0000-0100-0000DB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36" name="Drop Down 1" hidden="1">
          <a:extLst>
            <a:ext uri="{FF2B5EF4-FFF2-40B4-BE49-F238E27FC236}">
              <a16:creationId xmlns:a16="http://schemas.microsoft.com/office/drawing/2014/main" id="{00000000-0008-0000-0100-0000DC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37" name="Drop Down -1022" hidden="1">
          <a:extLst>
            <a:ext uri="{FF2B5EF4-FFF2-40B4-BE49-F238E27FC236}">
              <a16:creationId xmlns:a16="http://schemas.microsoft.com/office/drawing/2014/main" id="{00000000-0008-0000-0100-0000DD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38" name="Drop Down 1" hidden="1">
          <a:extLst>
            <a:ext uri="{FF2B5EF4-FFF2-40B4-BE49-F238E27FC236}">
              <a16:creationId xmlns:a16="http://schemas.microsoft.com/office/drawing/2014/main" id="{00000000-0008-0000-0100-0000DE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39" name="Drop Down 1" hidden="1">
          <a:extLst>
            <a:ext uri="{FF2B5EF4-FFF2-40B4-BE49-F238E27FC236}">
              <a16:creationId xmlns:a16="http://schemas.microsoft.com/office/drawing/2014/main" id="{00000000-0008-0000-0100-0000DF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40" name="Drop Down 1" hidden="1">
          <a:extLst>
            <a:ext uri="{FF2B5EF4-FFF2-40B4-BE49-F238E27FC236}">
              <a16:creationId xmlns:a16="http://schemas.microsoft.com/office/drawing/2014/main" id="{00000000-0008-0000-0100-0000E0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41" name="Drop Down 1" hidden="1">
          <a:extLst>
            <a:ext uri="{FF2B5EF4-FFF2-40B4-BE49-F238E27FC236}">
              <a16:creationId xmlns:a16="http://schemas.microsoft.com/office/drawing/2014/main" id="{00000000-0008-0000-0100-0000E1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42" name="Drop Down 2" hidden="1">
          <a:extLst>
            <a:ext uri="{FF2B5EF4-FFF2-40B4-BE49-F238E27FC236}">
              <a16:creationId xmlns:a16="http://schemas.microsoft.com/office/drawing/2014/main" id="{00000000-0008-0000-0100-0000E2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43" name="Drop Down 1" hidden="1">
          <a:extLst>
            <a:ext uri="{FF2B5EF4-FFF2-40B4-BE49-F238E27FC236}">
              <a16:creationId xmlns:a16="http://schemas.microsoft.com/office/drawing/2014/main" id="{00000000-0008-0000-0100-0000E3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44" name="Drop Down -1022" hidden="1">
          <a:extLst>
            <a:ext uri="{FF2B5EF4-FFF2-40B4-BE49-F238E27FC236}">
              <a16:creationId xmlns:a16="http://schemas.microsoft.com/office/drawing/2014/main" id="{00000000-0008-0000-0100-0000E4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45" name="Drop Down 1" hidden="1">
          <a:extLst>
            <a:ext uri="{FF2B5EF4-FFF2-40B4-BE49-F238E27FC236}">
              <a16:creationId xmlns:a16="http://schemas.microsoft.com/office/drawing/2014/main" id="{00000000-0008-0000-0100-0000E5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46" name="Drop Down 1" hidden="1">
          <a:extLst>
            <a:ext uri="{FF2B5EF4-FFF2-40B4-BE49-F238E27FC236}">
              <a16:creationId xmlns:a16="http://schemas.microsoft.com/office/drawing/2014/main" id="{00000000-0008-0000-0100-0000E6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47" name="Drop Down 1" hidden="1">
          <a:extLst>
            <a:ext uri="{FF2B5EF4-FFF2-40B4-BE49-F238E27FC236}">
              <a16:creationId xmlns:a16="http://schemas.microsoft.com/office/drawing/2014/main" id="{00000000-0008-0000-0100-0000E7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48" name="Drop Down 1" hidden="1">
          <a:extLst>
            <a:ext uri="{FF2B5EF4-FFF2-40B4-BE49-F238E27FC236}">
              <a16:creationId xmlns:a16="http://schemas.microsoft.com/office/drawing/2014/main" id="{00000000-0008-0000-0100-0000E8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49" name="Drop Down 2" hidden="1">
          <a:extLst>
            <a:ext uri="{FF2B5EF4-FFF2-40B4-BE49-F238E27FC236}">
              <a16:creationId xmlns:a16="http://schemas.microsoft.com/office/drawing/2014/main" id="{00000000-0008-0000-0100-0000E9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50" name="Drop Down 1" hidden="1">
          <a:extLst>
            <a:ext uri="{FF2B5EF4-FFF2-40B4-BE49-F238E27FC236}">
              <a16:creationId xmlns:a16="http://schemas.microsoft.com/office/drawing/2014/main" id="{00000000-0008-0000-0100-0000EA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51" name="Drop Down -1022" hidden="1">
          <a:extLst>
            <a:ext uri="{FF2B5EF4-FFF2-40B4-BE49-F238E27FC236}">
              <a16:creationId xmlns:a16="http://schemas.microsoft.com/office/drawing/2014/main" id="{00000000-0008-0000-0100-0000EB24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52" name="Drop Down 1" hidden="1">
          <a:extLst>
            <a:ext uri="{FF2B5EF4-FFF2-40B4-BE49-F238E27FC236}">
              <a16:creationId xmlns:a16="http://schemas.microsoft.com/office/drawing/2014/main" id="{00000000-0008-0000-0100-0000E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53" name="Drop Down 1" hidden="1">
          <a:extLst>
            <a:ext uri="{FF2B5EF4-FFF2-40B4-BE49-F238E27FC236}">
              <a16:creationId xmlns:a16="http://schemas.microsoft.com/office/drawing/2014/main" id="{00000000-0008-0000-0100-0000E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54" name="Drop Down 1" hidden="1">
          <a:extLst>
            <a:ext uri="{FF2B5EF4-FFF2-40B4-BE49-F238E27FC236}">
              <a16:creationId xmlns:a16="http://schemas.microsoft.com/office/drawing/2014/main" id="{00000000-0008-0000-0100-0000E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55" name="Drop Down 1" hidden="1">
          <a:extLst>
            <a:ext uri="{FF2B5EF4-FFF2-40B4-BE49-F238E27FC236}">
              <a16:creationId xmlns:a16="http://schemas.microsoft.com/office/drawing/2014/main" id="{00000000-0008-0000-0100-0000E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56" name="Drop Down 2" hidden="1">
          <a:extLst>
            <a:ext uri="{FF2B5EF4-FFF2-40B4-BE49-F238E27FC236}">
              <a16:creationId xmlns:a16="http://schemas.microsoft.com/office/drawing/2014/main" id="{00000000-0008-0000-0100-0000F0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57" name="Drop Down 1" hidden="1">
          <a:extLst>
            <a:ext uri="{FF2B5EF4-FFF2-40B4-BE49-F238E27FC236}">
              <a16:creationId xmlns:a16="http://schemas.microsoft.com/office/drawing/2014/main" id="{00000000-0008-0000-0100-0000F1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58" name="Drop Down -1022" hidden="1">
          <a:extLst>
            <a:ext uri="{FF2B5EF4-FFF2-40B4-BE49-F238E27FC236}">
              <a16:creationId xmlns:a16="http://schemas.microsoft.com/office/drawing/2014/main" id="{00000000-0008-0000-0100-0000F2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59" name="Drop Down 1" hidden="1">
          <a:extLst>
            <a:ext uri="{FF2B5EF4-FFF2-40B4-BE49-F238E27FC236}">
              <a16:creationId xmlns:a16="http://schemas.microsoft.com/office/drawing/2014/main" id="{00000000-0008-0000-0100-0000F3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60" name="Drop Down 1" hidden="1">
          <a:extLst>
            <a:ext uri="{FF2B5EF4-FFF2-40B4-BE49-F238E27FC236}">
              <a16:creationId xmlns:a16="http://schemas.microsoft.com/office/drawing/2014/main" id="{00000000-0008-0000-0100-0000F4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61" name="Drop Down 1" hidden="1">
          <a:extLst>
            <a:ext uri="{FF2B5EF4-FFF2-40B4-BE49-F238E27FC236}">
              <a16:creationId xmlns:a16="http://schemas.microsoft.com/office/drawing/2014/main" id="{00000000-0008-0000-0100-0000F5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62" name="Drop Down 1" hidden="1">
          <a:extLst>
            <a:ext uri="{FF2B5EF4-FFF2-40B4-BE49-F238E27FC236}">
              <a16:creationId xmlns:a16="http://schemas.microsoft.com/office/drawing/2014/main" id="{00000000-0008-0000-0100-0000F6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63" name="Drop Down 2" hidden="1">
          <a:extLst>
            <a:ext uri="{FF2B5EF4-FFF2-40B4-BE49-F238E27FC236}">
              <a16:creationId xmlns:a16="http://schemas.microsoft.com/office/drawing/2014/main" id="{00000000-0008-0000-0100-0000F7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64" name="Drop Down 1" hidden="1">
          <a:extLst>
            <a:ext uri="{FF2B5EF4-FFF2-40B4-BE49-F238E27FC236}">
              <a16:creationId xmlns:a16="http://schemas.microsoft.com/office/drawing/2014/main" id="{00000000-0008-0000-0100-0000F8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65" name="Drop Down -1022" hidden="1">
          <a:extLst>
            <a:ext uri="{FF2B5EF4-FFF2-40B4-BE49-F238E27FC236}">
              <a16:creationId xmlns:a16="http://schemas.microsoft.com/office/drawing/2014/main" id="{00000000-0008-0000-0100-0000F9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66" name="Drop Down 1" hidden="1">
          <a:extLst>
            <a:ext uri="{FF2B5EF4-FFF2-40B4-BE49-F238E27FC236}">
              <a16:creationId xmlns:a16="http://schemas.microsoft.com/office/drawing/2014/main" id="{00000000-0008-0000-0100-0000FA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67" name="Drop Down 1" hidden="1">
          <a:extLst>
            <a:ext uri="{FF2B5EF4-FFF2-40B4-BE49-F238E27FC236}">
              <a16:creationId xmlns:a16="http://schemas.microsoft.com/office/drawing/2014/main" id="{00000000-0008-0000-0100-0000FB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68" name="Drop Down 1" hidden="1">
          <a:extLst>
            <a:ext uri="{FF2B5EF4-FFF2-40B4-BE49-F238E27FC236}">
              <a16:creationId xmlns:a16="http://schemas.microsoft.com/office/drawing/2014/main" id="{00000000-0008-0000-0100-0000FC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69" name="Drop Down 1" hidden="1">
          <a:extLst>
            <a:ext uri="{FF2B5EF4-FFF2-40B4-BE49-F238E27FC236}">
              <a16:creationId xmlns:a16="http://schemas.microsoft.com/office/drawing/2014/main" id="{00000000-0008-0000-0100-0000FD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70" name="Drop Down 2" hidden="1">
          <a:extLst>
            <a:ext uri="{FF2B5EF4-FFF2-40B4-BE49-F238E27FC236}">
              <a16:creationId xmlns:a16="http://schemas.microsoft.com/office/drawing/2014/main" id="{00000000-0008-0000-0100-0000FE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71" name="Drop Down 1" hidden="1">
          <a:extLst>
            <a:ext uri="{FF2B5EF4-FFF2-40B4-BE49-F238E27FC236}">
              <a16:creationId xmlns:a16="http://schemas.microsoft.com/office/drawing/2014/main" id="{00000000-0008-0000-0100-0000FF24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472" name="Drop Down -1022" hidden="1">
          <a:extLst>
            <a:ext uri="{FF2B5EF4-FFF2-40B4-BE49-F238E27FC236}">
              <a16:creationId xmlns:a16="http://schemas.microsoft.com/office/drawing/2014/main" id="{00000000-0008-0000-0100-00000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73" name="Drop Down 1" hidden="1">
          <a:extLst>
            <a:ext uri="{FF2B5EF4-FFF2-40B4-BE49-F238E27FC236}">
              <a16:creationId xmlns:a16="http://schemas.microsoft.com/office/drawing/2014/main" id="{00000000-0008-0000-0100-00000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74" name="Drop Down 1" hidden="1">
          <a:extLst>
            <a:ext uri="{FF2B5EF4-FFF2-40B4-BE49-F238E27FC236}">
              <a16:creationId xmlns:a16="http://schemas.microsoft.com/office/drawing/2014/main" id="{00000000-0008-0000-0100-00000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75" name="Drop Down 1" hidden="1">
          <a:extLst>
            <a:ext uri="{FF2B5EF4-FFF2-40B4-BE49-F238E27FC236}">
              <a16:creationId xmlns:a16="http://schemas.microsoft.com/office/drawing/2014/main" id="{00000000-0008-0000-0100-00000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76" name="Drop Down 1" hidden="1">
          <a:extLst>
            <a:ext uri="{FF2B5EF4-FFF2-40B4-BE49-F238E27FC236}">
              <a16:creationId xmlns:a16="http://schemas.microsoft.com/office/drawing/2014/main" id="{00000000-0008-0000-0100-00000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77" name="Drop Down 2" hidden="1">
          <a:extLst>
            <a:ext uri="{FF2B5EF4-FFF2-40B4-BE49-F238E27FC236}">
              <a16:creationId xmlns:a16="http://schemas.microsoft.com/office/drawing/2014/main" id="{00000000-0008-0000-0100-00000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78" name="Drop Down 1" hidden="1">
          <a:extLst>
            <a:ext uri="{FF2B5EF4-FFF2-40B4-BE49-F238E27FC236}">
              <a16:creationId xmlns:a16="http://schemas.microsoft.com/office/drawing/2014/main" id="{00000000-0008-0000-0100-00000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479" name="Drop Down -1022" hidden="1">
          <a:extLst>
            <a:ext uri="{FF2B5EF4-FFF2-40B4-BE49-F238E27FC236}">
              <a16:creationId xmlns:a16="http://schemas.microsoft.com/office/drawing/2014/main" id="{00000000-0008-0000-0100-00000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80" name="Drop Down 1" hidden="1">
          <a:extLst>
            <a:ext uri="{FF2B5EF4-FFF2-40B4-BE49-F238E27FC236}">
              <a16:creationId xmlns:a16="http://schemas.microsoft.com/office/drawing/2014/main" id="{00000000-0008-0000-0100-000008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81" name="Drop Down 1" hidden="1">
          <a:extLst>
            <a:ext uri="{FF2B5EF4-FFF2-40B4-BE49-F238E27FC236}">
              <a16:creationId xmlns:a16="http://schemas.microsoft.com/office/drawing/2014/main" id="{00000000-0008-0000-0100-000009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82" name="Drop Down 1" hidden="1">
          <a:extLst>
            <a:ext uri="{FF2B5EF4-FFF2-40B4-BE49-F238E27FC236}">
              <a16:creationId xmlns:a16="http://schemas.microsoft.com/office/drawing/2014/main" id="{00000000-0008-0000-0100-00000A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83" name="Drop Down 1" hidden="1">
          <a:extLst>
            <a:ext uri="{FF2B5EF4-FFF2-40B4-BE49-F238E27FC236}">
              <a16:creationId xmlns:a16="http://schemas.microsoft.com/office/drawing/2014/main" id="{00000000-0008-0000-0100-00000B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84" name="Drop Down 2" hidden="1">
          <a:extLst>
            <a:ext uri="{FF2B5EF4-FFF2-40B4-BE49-F238E27FC236}">
              <a16:creationId xmlns:a16="http://schemas.microsoft.com/office/drawing/2014/main" id="{00000000-0008-0000-0100-00000C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85" name="Drop Down 1" hidden="1">
          <a:extLst>
            <a:ext uri="{FF2B5EF4-FFF2-40B4-BE49-F238E27FC236}">
              <a16:creationId xmlns:a16="http://schemas.microsoft.com/office/drawing/2014/main" id="{00000000-0008-0000-0100-00000D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86" name="Drop Down -1022" hidden="1">
          <a:extLst>
            <a:ext uri="{FF2B5EF4-FFF2-40B4-BE49-F238E27FC236}">
              <a16:creationId xmlns:a16="http://schemas.microsoft.com/office/drawing/2014/main" id="{00000000-0008-0000-0100-00000E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87" name="Drop Down 1" hidden="1">
          <a:extLst>
            <a:ext uri="{FF2B5EF4-FFF2-40B4-BE49-F238E27FC236}">
              <a16:creationId xmlns:a16="http://schemas.microsoft.com/office/drawing/2014/main" id="{00000000-0008-0000-0100-00000F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88" name="Drop Down 1" hidden="1">
          <a:extLst>
            <a:ext uri="{FF2B5EF4-FFF2-40B4-BE49-F238E27FC236}">
              <a16:creationId xmlns:a16="http://schemas.microsoft.com/office/drawing/2014/main" id="{00000000-0008-0000-0100-000010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89" name="Drop Down 1" hidden="1">
          <a:extLst>
            <a:ext uri="{FF2B5EF4-FFF2-40B4-BE49-F238E27FC236}">
              <a16:creationId xmlns:a16="http://schemas.microsoft.com/office/drawing/2014/main" id="{00000000-0008-0000-0100-000011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90" name="Drop Down 1" hidden="1">
          <a:extLst>
            <a:ext uri="{FF2B5EF4-FFF2-40B4-BE49-F238E27FC236}">
              <a16:creationId xmlns:a16="http://schemas.microsoft.com/office/drawing/2014/main" id="{00000000-0008-0000-0100-000012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91" name="Drop Down 2" hidden="1">
          <a:extLst>
            <a:ext uri="{FF2B5EF4-FFF2-40B4-BE49-F238E27FC236}">
              <a16:creationId xmlns:a16="http://schemas.microsoft.com/office/drawing/2014/main" id="{00000000-0008-0000-0100-000013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92" name="Drop Down 1" hidden="1">
          <a:extLst>
            <a:ext uri="{FF2B5EF4-FFF2-40B4-BE49-F238E27FC236}">
              <a16:creationId xmlns:a16="http://schemas.microsoft.com/office/drawing/2014/main" id="{00000000-0008-0000-0100-000014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493" name="Drop Down -1022" hidden="1">
          <a:extLst>
            <a:ext uri="{FF2B5EF4-FFF2-40B4-BE49-F238E27FC236}">
              <a16:creationId xmlns:a16="http://schemas.microsoft.com/office/drawing/2014/main" id="{00000000-0008-0000-0100-000015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94" name="Drop Down 1" hidden="1">
          <a:extLst>
            <a:ext uri="{FF2B5EF4-FFF2-40B4-BE49-F238E27FC236}">
              <a16:creationId xmlns:a16="http://schemas.microsoft.com/office/drawing/2014/main" id="{00000000-0008-0000-0100-000016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95" name="Drop Down 1" hidden="1">
          <a:extLst>
            <a:ext uri="{FF2B5EF4-FFF2-40B4-BE49-F238E27FC236}">
              <a16:creationId xmlns:a16="http://schemas.microsoft.com/office/drawing/2014/main" id="{00000000-0008-0000-0100-000017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96" name="Drop Down 1" hidden="1">
          <a:extLst>
            <a:ext uri="{FF2B5EF4-FFF2-40B4-BE49-F238E27FC236}">
              <a16:creationId xmlns:a16="http://schemas.microsoft.com/office/drawing/2014/main" id="{00000000-0008-0000-0100-000018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97" name="Drop Down 1" hidden="1">
          <a:extLst>
            <a:ext uri="{FF2B5EF4-FFF2-40B4-BE49-F238E27FC236}">
              <a16:creationId xmlns:a16="http://schemas.microsoft.com/office/drawing/2014/main" id="{00000000-0008-0000-0100-000019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98" name="Drop Down 2" hidden="1">
          <a:extLst>
            <a:ext uri="{FF2B5EF4-FFF2-40B4-BE49-F238E27FC236}">
              <a16:creationId xmlns:a16="http://schemas.microsoft.com/office/drawing/2014/main" id="{00000000-0008-0000-0100-00001A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499" name="Drop Down 1" hidden="1">
          <a:extLst>
            <a:ext uri="{FF2B5EF4-FFF2-40B4-BE49-F238E27FC236}">
              <a16:creationId xmlns:a16="http://schemas.microsoft.com/office/drawing/2014/main" id="{00000000-0008-0000-0100-00001B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00" name="Drop Down -1022" hidden="1">
          <a:extLst>
            <a:ext uri="{FF2B5EF4-FFF2-40B4-BE49-F238E27FC236}">
              <a16:creationId xmlns:a16="http://schemas.microsoft.com/office/drawing/2014/main" id="{00000000-0008-0000-0100-00001C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01" name="Drop Down 1" hidden="1">
          <a:extLst>
            <a:ext uri="{FF2B5EF4-FFF2-40B4-BE49-F238E27FC236}">
              <a16:creationId xmlns:a16="http://schemas.microsoft.com/office/drawing/2014/main" id="{00000000-0008-0000-0100-00001D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02" name="Drop Down 1" hidden="1">
          <a:extLst>
            <a:ext uri="{FF2B5EF4-FFF2-40B4-BE49-F238E27FC236}">
              <a16:creationId xmlns:a16="http://schemas.microsoft.com/office/drawing/2014/main" id="{00000000-0008-0000-0100-00001E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03" name="Drop Down 1" hidden="1">
          <a:extLst>
            <a:ext uri="{FF2B5EF4-FFF2-40B4-BE49-F238E27FC236}">
              <a16:creationId xmlns:a16="http://schemas.microsoft.com/office/drawing/2014/main" id="{00000000-0008-0000-0100-00001F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04" name="Drop Down 1" hidden="1">
          <a:extLst>
            <a:ext uri="{FF2B5EF4-FFF2-40B4-BE49-F238E27FC236}">
              <a16:creationId xmlns:a16="http://schemas.microsoft.com/office/drawing/2014/main" id="{00000000-0008-0000-0100-000020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05" name="Drop Down 2" hidden="1">
          <a:extLst>
            <a:ext uri="{FF2B5EF4-FFF2-40B4-BE49-F238E27FC236}">
              <a16:creationId xmlns:a16="http://schemas.microsoft.com/office/drawing/2014/main" id="{00000000-0008-0000-0100-000021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06" name="Drop Down 1" hidden="1">
          <a:extLst>
            <a:ext uri="{FF2B5EF4-FFF2-40B4-BE49-F238E27FC236}">
              <a16:creationId xmlns:a16="http://schemas.microsoft.com/office/drawing/2014/main" id="{00000000-0008-0000-0100-000022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07" name="Drop Down -1022" hidden="1">
          <a:extLst>
            <a:ext uri="{FF2B5EF4-FFF2-40B4-BE49-F238E27FC236}">
              <a16:creationId xmlns:a16="http://schemas.microsoft.com/office/drawing/2014/main" id="{00000000-0008-0000-0100-000023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508" name="Drop Down 1" hidden="1">
          <a:extLst>
            <a:ext uri="{FF2B5EF4-FFF2-40B4-BE49-F238E27FC236}">
              <a16:creationId xmlns:a16="http://schemas.microsoft.com/office/drawing/2014/main" id="{00000000-0008-0000-0100-000024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509" name="Drop Down 1" hidden="1">
          <a:extLst>
            <a:ext uri="{FF2B5EF4-FFF2-40B4-BE49-F238E27FC236}">
              <a16:creationId xmlns:a16="http://schemas.microsoft.com/office/drawing/2014/main" id="{00000000-0008-0000-0100-000025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510" name="Drop Down 1" hidden="1">
          <a:extLst>
            <a:ext uri="{FF2B5EF4-FFF2-40B4-BE49-F238E27FC236}">
              <a16:creationId xmlns:a16="http://schemas.microsoft.com/office/drawing/2014/main" id="{00000000-0008-0000-0100-000026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511" name="Drop Down 1" hidden="1">
          <a:extLst>
            <a:ext uri="{FF2B5EF4-FFF2-40B4-BE49-F238E27FC236}">
              <a16:creationId xmlns:a16="http://schemas.microsoft.com/office/drawing/2014/main" id="{00000000-0008-0000-0100-000027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512" name="Drop Down 2" hidden="1">
          <a:extLst>
            <a:ext uri="{FF2B5EF4-FFF2-40B4-BE49-F238E27FC236}">
              <a16:creationId xmlns:a16="http://schemas.microsoft.com/office/drawing/2014/main" id="{00000000-0008-0000-0100-000028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513" name="Drop Down 1" hidden="1">
          <a:extLst>
            <a:ext uri="{FF2B5EF4-FFF2-40B4-BE49-F238E27FC236}">
              <a16:creationId xmlns:a16="http://schemas.microsoft.com/office/drawing/2014/main" id="{00000000-0008-0000-0100-000029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9004"/>
    <xdr:sp macro="" textlink="">
      <xdr:nvSpPr>
        <xdr:cNvPr id="9514" name="Drop Down -1022" hidden="1">
          <a:extLst>
            <a:ext uri="{FF2B5EF4-FFF2-40B4-BE49-F238E27FC236}">
              <a16:creationId xmlns:a16="http://schemas.microsoft.com/office/drawing/2014/main" id="{00000000-0008-0000-0100-00002A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15" name="Drop Down 1" hidden="1">
          <a:extLst>
            <a:ext uri="{FF2B5EF4-FFF2-40B4-BE49-F238E27FC236}">
              <a16:creationId xmlns:a16="http://schemas.microsoft.com/office/drawing/2014/main" id="{00000000-0008-0000-0100-00002B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16" name="Drop Down 1" hidden="1">
          <a:extLst>
            <a:ext uri="{FF2B5EF4-FFF2-40B4-BE49-F238E27FC236}">
              <a16:creationId xmlns:a16="http://schemas.microsoft.com/office/drawing/2014/main" id="{00000000-0008-0000-0100-00002C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17" name="Drop Down 1" hidden="1">
          <a:extLst>
            <a:ext uri="{FF2B5EF4-FFF2-40B4-BE49-F238E27FC236}">
              <a16:creationId xmlns:a16="http://schemas.microsoft.com/office/drawing/2014/main" id="{00000000-0008-0000-0100-00002D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18" name="Drop Down 1" hidden="1">
          <a:extLst>
            <a:ext uri="{FF2B5EF4-FFF2-40B4-BE49-F238E27FC236}">
              <a16:creationId xmlns:a16="http://schemas.microsoft.com/office/drawing/2014/main" id="{00000000-0008-0000-0100-00002E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19" name="Drop Down 2" hidden="1">
          <a:extLst>
            <a:ext uri="{FF2B5EF4-FFF2-40B4-BE49-F238E27FC236}">
              <a16:creationId xmlns:a16="http://schemas.microsoft.com/office/drawing/2014/main" id="{00000000-0008-0000-0100-00002F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20" name="Drop Down 1" hidden="1">
          <a:extLst>
            <a:ext uri="{FF2B5EF4-FFF2-40B4-BE49-F238E27FC236}">
              <a16:creationId xmlns:a16="http://schemas.microsoft.com/office/drawing/2014/main" id="{00000000-0008-0000-0100-000030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4240" cy="207245"/>
    <xdr:sp macro="" textlink="">
      <xdr:nvSpPr>
        <xdr:cNvPr id="9521" name="Drop Down -1022" hidden="1">
          <a:extLst>
            <a:ext uri="{FF2B5EF4-FFF2-40B4-BE49-F238E27FC236}">
              <a16:creationId xmlns:a16="http://schemas.microsoft.com/office/drawing/2014/main" id="{00000000-0008-0000-0100-000031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22" name="Drop Down 1" hidden="1">
          <a:extLst>
            <a:ext uri="{FF2B5EF4-FFF2-40B4-BE49-F238E27FC236}">
              <a16:creationId xmlns:a16="http://schemas.microsoft.com/office/drawing/2014/main" id="{00000000-0008-0000-0100-000032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23" name="Drop Down 1" hidden="1">
          <a:extLst>
            <a:ext uri="{FF2B5EF4-FFF2-40B4-BE49-F238E27FC236}">
              <a16:creationId xmlns:a16="http://schemas.microsoft.com/office/drawing/2014/main" id="{00000000-0008-0000-0100-000033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24" name="Drop Down 1" hidden="1">
          <a:extLst>
            <a:ext uri="{FF2B5EF4-FFF2-40B4-BE49-F238E27FC236}">
              <a16:creationId xmlns:a16="http://schemas.microsoft.com/office/drawing/2014/main" id="{00000000-0008-0000-0100-000034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25" name="Drop Down 1" hidden="1">
          <a:extLst>
            <a:ext uri="{FF2B5EF4-FFF2-40B4-BE49-F238E27FC236}">
              <a16:creationId xmlns:a16="http://schemas.microsoft.com/office/drawing/2014/main" id="{00000000-0008-0000-0100-000035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26" name="Drop Down 2" hidden="1">
          <a:extLst>
            <a:ext uri="{FF2B5EF4-FFF2-40B4-BE49-F238E27FC236}">
              <a16:creationId xmlns:a16="http://schemas.microsoft.com/office/drawing/2014/main" id="{00000000-0008-0000-0100-000036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27" name="Drop Down 1" hidden="1">
          <a:extLst>
            <a:ext uri="{FF2B5EF4-FFF2-40B4-BE49-F238E27FC236}">
              <a16:creationId xmlns:a16="http://schemas.microsoft.com/office/drawing/2014/main" id="{00000000-0008-0000-0100-000037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28" name="Drop Down -1022" hidden="1">
          <a:extLst>
            <a:ext uri="{FF2B5EF4-FFF2-40B4-BE49-F238E27FC236}">
              <a16:creationId xmlns:a16="http://schemas.microsoft.com/office/drawing/2014/main" id="{00000000-0008-0000-0100-000038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29" name="Drop Down 1" hidden="1">
          <a:extLst>
            <a:ext uri="{FF2B5EF4-FFF2-40B4-BE49-F238E27FC236}">
              <a16:creationId xmlns:a16="http://schemas.microsoft.com/office/drawing/2014/main" id="{00000000-0008-0000-0100-000039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30" name="Drop Down 1" hidden="1">
          <a:extLst>
            <a:ext uri="{FF2B5EF4-FFF2-40B4-BE49-F238E27FC236}">
              <a16:creationId xmlns:a16="http://schemas.microsoft.com/office/drawing/2014/main" id="{00000000-0008-0000-0100-00003A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31" name="Drop Down 1" hidden="1">
          <a:extLst>
            <a:ext uri="{FF2B5EF4-FFF2-40B4-BE49-F238E27FC236}">
              <a16:creationId xmlns:a16="http://schemas.microsoft.com/office/drawing/2014/main" id="{00000000-0008-0000-0100-00003B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32" name="Drop Down 1" hidden="1">
          <a:extLst>
            <a:ext uri="{FF2B5EF4-FFF2-40B4-BE49-F238E27FC236}">
              <a16:creationId xmlns:a16="http://schemas.microsoft.com/office/drawing/2014/main" id="{00000000-0008-0000-0100-00003C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33" name="Drop Down 2" hidden="1">
          <a:extLst>
            <a:ext uri="{FF2B5EF4-FFF2-40B4-BE49-F238E27FC236}">
              <a16:creationId xmlns:a16="http://schemas.microsoft.com/office/drawing/2014/main" id="{00000000-0008-0000-0100-00003D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34" name="Drop Down 1" hidden="1">
          <a:extLst>
            <a:ext uri="{FF2B5EF4-FFF2-40B4-BE49-F238E27FC236}">
              <a16:creationId xmlns:a16="http://schemas.microsoft.com/office/drawing/2014/main" id="{00000000-0008-0000-0100-00003E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35" name="Drop Down -1022" hidden="1">
          <a:extLst>
            <a:ext uri="{FF2B5EF4-FFF2-40B4-BE49-F238E27FC236}">
              <a16:creationId xmlns:a16="http://schemas.microsoft.com/office/drawing/2014/main" id="{00000000-0008-0000-0100-00003F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36" name="Drop Down 1" hidden="1">
          <a:extLst>
            <a:ext uri="{FF2B5EF4-FFF2-40B4-BE49-F238E27FC236}">
              <a16:creationId xmlns:a16="http://schemas.microsoft.com/office/drawing/2014/main" id="{00000000-0008-0000-0100-00004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37" name="Drop Down 1" hidden="1">
          <a:extLst>
            <a:ext uri="{FF2B5EF4-FFF2-40B4-BE49-F238E27FC236}">
              <a16:creationId xmlns:a16="http://schemas.microsoft.com/office/drawing/2014/main" id="{00000000-0008-0000-0100-00004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38" name="Drop Down 1" hidden="1">
          <a:extLst>
            <a:ext uri="{FF2B5EF4-FFF2-40B4-BE49-F238E27FC236}">
              <a16:creationId xmlns:a16="http://schemas.microsoft.com/office/drawing/2014/main" id="{00000000-0008-0000-0100-00004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39" name="Drop Down 1" hidden="1">
          <a:extLst>
            <a:ext uri="{FF2B5EF4-FFF2-40B4-BE49-F238E27FC236}">
              <a16:creationId xmlns:a16="http://schemas.microsoft.com/office/drawing/2014/main" id="{00000000-0008-0000-0100-00004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40" name="Drop Down 2" hidden="1">
          <a:extLst>
            <a:ext uri="{FF2B5EF4-FFF2-40B4-BE49-F238E27FC236}">
              <a16:creationId xmlns:a16="http://schemas.microsoft.com/office/drawing/2014/main" id="{00000000-0008-0000-0100-00004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41" name="Drop Down 1" hidden="1">
          <a:extLst>
            <a:ext uri="{FF2B5EF4-FFF2-40B4-BE49-F238E27FC236}">
              <a16:creationId xmlns:a16="http://schemas.microsoft.com/office/drawing/2014/main" id="{00000000-0008-0000-0100-00004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42" name="Drop Down -1022" hidden="1">
          <a:extLst>
            <a:ext uri="{FF2B5EF4-FFF2-40B4-BE49-F238E27FC236}">
              <a16:creationId xmlns:a16="http://schemas.microsoft.com/office/drawing/2014/main" id="{00000000-0008-0000-0100-00004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43" name="Drop Down 1" hidden="1">
          <a:extLst>
            <a:ext uri="{FF2B5EF4-FFF2-40B4-BE49-F238E27FC236}">
              <a16:creationId xmlns:a16="http://schemas.microsoft.com/office/drawing/2014/main" id="{00000000-0008-0000-0100-00004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44" name="Drop Down 1" hidden="1">
          <a:extLst>
            <a:ext uri="{FF2B5EF4-FFF2-40B4-BE49-F238E27FC236}">
              <a16:creationId xmlns:a16="http://schemas.microsoft.com/office/drawing/2014/main" id="{00000000-0008-0000-0100-000048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45" name="Drop Down 1" hidden="1">
          <a:extLst>
            <a:ext uri="{FF2B5EF4-FFF2-40B4-BE49-F238E27FC236}">
              <a16:creationId xmlns:a16="http://schemas.microsoft.com/office/drawing/2014/main" id="{00000000-0008-0000-0100-000049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46" name="Drop Down 1" hidden="1">
          <a:extLst>
            <a:ext uri="{FF2B5EF4-FFF2-40B4-BE49-F238E27FC236}">
              <a16:creationId xmlns:a16="http://schemas.microsoft.com/office/drawing/2014/main" id="{00000000-0008-0000-0100-00004A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47" name="Drop Down 2" hidden="1">
          <a:extLst>
            <a:ext uri="{FF2B5EF4-FFF2-40B4-BE49-F238E27FC236}">
              <a16:creationId xmlns:a16="http://schemas.microsoft.com/office/drawing/2014/main" id="{00000000-0008-0000-0100-00004B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48" name="Drop Down 1" hidden="1">
          <a:extLst>
            <a:ext uri="{FF2B5EF4-FFF2-40B4-BE49-F238E27FC236}">
              <a16:creationId xmlns:a16="http://schemas.microsoft.com/office/drawing/2014/main" id="{00000000-0008-0000-0100-00004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49" name="Drop Down -1022" hidden="1">
          <a:extLst>
            <a:ext uri="{FF2B5EF4-FFF2-40B4-BE49-F238E27FC236}">
              <a16:creationId xmlns:a16="http://schemas.microsoft.com/office/drawing/2014/main" id="{00000000-0008-0000-0100-00004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50" name="Drop Down 1" hidden="1">
          <a:extLst>
            <a:ext uri="{FF2B5EF4-FFF2-40B4-BE49-F238E27FC236}">
              <a16:creationId xmlns:a16="http://schemas.microsoft.com/office/drawing/2014/main" id="{00000000-0008-0000-0100-00004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51" name="Drop Down 1" hidden="1">
          <a:extLst>
            <a:ext uri="{FF2B5EF4-FFF2-40B4-BE49-F238E27FC236}">
              <a16:creationId xmlns:a16="http://schemas.microsoft.com/office/drawing/2014/main" id="{00000000-0008-0000-0100-00004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52" name="Drop Down 1" hidden="1">
          <a:extLst>
            <a:ext uri="{FF2B5EF4-FFF2-40B4-BE49-F238E27FC236}">
              <a16:creationId xmlns:a16="http://schemas.microsoft.com/office/drawing/2014/main" id="{00000000-0008-0000-0100-00005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53" name="Drop Down 1" hidden="1">
          <a:extLst>
            <a:ext uri="{FF2B5EF4-FFF2-40B4-BE49-F238E27FC236}">
              <a16:creationId xmlns:a16="http://schemas.microsoft.com/office/drawing/2014/main" id="{00000000-0008-0000-0100-00005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54" name="Drop Down 2" hidden="1">
          <a:extLst>
            <a:ext uri="{FF2B5EF4-FFF2-40B4-BE49-F238E27FC236}">
              <a16:creationId xmlns:a16="http://schemas.microsoft.com/office/drawing/2014/main" id="{00000000-0008-0000-0100-00005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55" name="Drop Down 1" hidden="1">
          <a:extLst>
            <a:ext uri="{FF2B5EF4-FFF2-40B4-BE49-F238E27FC236}">
              <a16:creationId xmlns:a16="http://schemas.microsoft.com/office/drawing/2014/main" id="{00000000-0008-0000-0100-00005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56" name="Drop Down -1022" hidden="1">
          <a:extLst>
            <a:ext uri="{FF2B5EF4-FFF2-40B4-BE49-F238E27FC236}">
              <a16:creationId xmlns:a16="http://schemas.microsoft.com/office/drawing/2014/main" id="{00000000-0008-0000-0100-00005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57" name="Drop Down 1" hidden="1">
          <a:extLst>
            <a:ext uri="{FF2B5EF4-FFF2-40B4-BE49-F238E27FC236}">
              <a16:creationId xmlns:a16="http://schemas.microsoft.com/office/drawing/2014/main" id="{00000000-0008-0000-0100-00005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58" name="Drop Down 1" hidden="1">
          <a:extLst>
            <a:ext uri="{FF2B5EF4-FFF2-40B4-BE49-F238E27FC236}">
              <a16:creationId xmlns:a16="http://schemas.microsoft.com/office/drawing/2014/main" id="{00000000-0008-0000-0100-00005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59" name="Drop Down 1" hidden="1">
          <a:extLst>
            <a:ext uri="{FF2B5EF4-FFF2-40B4-BE49-F238E27FC236}">
              <a16:creationId xmlns:a16="http://schemas.microsoft.com/office/drawing/2014/main" id="{00000000-0008-0000-0100-00005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60" name="Drop Down 1" hidden="1">
          <a:extLst>
            <a:ext uri="{FF2B5EF4-FFF2-40B4-BE49-F238E27FC236}">
              <a16:creationId xmlns:a16="http://schemas.microsoft.com/office/drawing/2014/main" id="{00000000-0008-0000-0100-000058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61" name="Drop Down 2" hidden="1">
          <a:extLst>
            <a:ext uri="{FF2B5EF4-FFF2-40B4-BE49-F238E27FC236}">
              <a16:creationId xmlns:a16="http://schemas.microsoft.com/office/drawing/2014/main" id="{00000000-0008-0000-0100-000059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62" name="Drop Down 1" hidden="1">
          <a:extLst>
            <a:ext uri="{FF2B5EF4-FFF2-40B4-BE49-F238E27FC236}">
              <a16:creationId xmlns:a16="http://schemas.microsoft.com/office/drawing/2014/main" id="{00000000-0008-0000-0100-00005A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63" name="Drop Down -1022" hidden="1">
          <a:extLst>
            <a:ext uri="{FF2B5EF4-FFF2-40B4-BE49-F238E27FC236}">
              <a16:creationId xmlns:a16="http://schemas.microsoft.com/office/drawing/2014/main" id="{00000000-0008-0000-0100-00005B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64" name="Drop Down 1" hidden="1">
          <a:extLst>
            <a:ext uri="{FF2B5EF4-FFF2-40B4-BE49-F238E27FC236}">
              <a16:creationId xmlns:a16="http://schemas.microsoft.com/office/drawing/2014/main" id="{00000000-0008-0000-0100-00005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65" name="Drop Down 1" hidden="1">
          <a:extLst>
            <a:ext uri="{FF2B5EF4-FFF2-40B4-BE49-F238E27FC236}">
              <a16:creationId xmlns:a16="http://schemas.microsoft.com/office/drawing/2014/main" id="{00000000-0008-0000-0100-00005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66" name="Drop Down 1" hidden="1">
          <a:extLst>
            <a:ext uri="{FF2B5EF4-FFF2-40B4-BE49-F238E27FC236}">
              <a16:creationId xmlns:a16="http://schemas.microsoft.com/office/drawing/2014/main" id="{00000000-0008-0000-0100-00005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67" name="Drop Down 1" hidden="1">
          <a:extLst>
            <a:ext uri="{FF2B5EF4-FFF2-40B4-BE49-F238E27FC236}">
              <a16:creationId xmlns:a16="http://schemas.microsoft.com/office/drawing/2014/main" id="{00000000-0008-0000-0100-00005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68" name="Drop Down 2" hidden="1">
          <a:extLst>
            <a:ext uri="{FF2B5EF4-FFF2-40B4-BE49-F238E27FC236}">
              <a16:creationId xmlns:a16="http://schemas.microsoft.com/office/drawing/2014/main" id="{00000000-0008-0000-0100-00006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69" name="Drop Down 1" hidden="1">
          <a:extLst>
            <a:ext uri="{FF2B5EF4-FFF2-40B4-BE49-F238E27FC236}">
              <a16:creationId xmlns:a16="http://schemas.microsoft.com/office/drawing/2014/main" id="{00000000-0008-0000-0100-00006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70" name="Drop Down -1022" hidden="1">
          <a:extLst>
            <a:ext uri="{FF2B5EF4-FFF2-40B4-BE49-F238E27FC236}">
              <a16:creationId xmlns:a16="http://schemas.microsoft.com/office/drawing/2014/main" id="{00000000-0008-0000-0100-00006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71" name="Drop Down 1" hidden="1">
          <a:extLst>
            <a:ext uri="{FF2B5EF4-FFF2-40B4-BE49-F238E27FC236}">
              <a16:creationId xmlns:a16="http://schemas.microsoft.com/office/drawing/2014/main" id="{00000000-0008-0000-0100-00006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72" name="Drop Down 1" hidden="1">
          <a:extLst>
            <a:ext uri="{FF2B5EF4-FFF2-40B4-BE49-F238E27FC236}">
              <a16:creationId xmlns:a16="http://schemas.microsoft.com/office/drawing/2014/main" id="{00000000-0008-0000-0100-00006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73" name="Drop Down 1" hidden="1">
          <a:extLst>
            <a:ext uri="{FF2B5EF4-FFF2-40B4-BE49-F238E27FC236}">
              <a16:creationId xmlns:a16="http://schemas.microsoft.com/office/drawing/2014/main" id="{00000000-0008-0000-0100-00006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74" name="Drop Down 1" hidden="1">
          <a:extLst>
            <a:ext uri="{FF2B5EF4-FFF2-40B4-BE49-F238E27FC236}">
              <a16:creationId xmlns:a16="http://schemas.microsoft.com/office/drawing/2014/main" id="{00000000-0008-0000-0100-00006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75" name="Drop Down 2" hidden="1">
          <a:extLst>
            <a:ext uri="{FF2B5EF4-FFF2-40B4-BE49-F238E27FC236}">
              <a16:creationId xmlns:a16="http://schemas.microsoft.com/office/drawing/2014/main" id="{00000000-0008-0000-0100-00006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76" name="Drop Down 1" hidden="1">
          <a:extLst>
            <a:ext uri="{FF2B5EF4-FFF2-40B4-BE49-F238E27FC236}">
              <a16:creationId xmlns:a16="http://schemas.microsoft.com/office/drawing/2014/main" id="{00000000-0008-0000-0100-000068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77" name="Drop Down -1022" hidden="1">
          <a:extLst>
            <a:ext uri="{FF2B5EF4-FFF2-40B4-BE49-F238E27FC236}">
              <a16:creationId xmlns:a16="http://schemas.microsoft.com/office/drawing/2014/main" id="{00000000-0008-0000-0100-000069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78" name="Drop Down 1" hidden="1">
          <a:extLst>
            <a:ext uri="{FF2B5EF4-FFF2-40B4-BE49-F238E27FC236}">
              <a16:creationId xmlns:a16="http://schemas.microsoft.com/office/drawing/2014/main" id="{00000000-0008-0000-0100-00006A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79" name="Drop Down 1" hidden="1">
          <a:extLst>
            <a:ext uri="{FF2B5EF4-FFF2-40B4-BE49-F238E27FC236}">
              <a16:creationId xmlns:a16="http://schemas.microsoft.com/office/drawing/2014/main" id="{00000000-0008-0000-0100-00006B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80" name="Drop Down 1" hidden="1">
          <a:extLst>
            <a:ext uri="{FF2B5EF4-FFF2-40B4-BE49-F238E27FC236}">
              <a16:creationId xmlns:a16="http://schemas.microsoft.com/office/drawing/2014/main" id="{00000000-0008-0000-0100-00006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81" name="Drop Down 1" hidden="1">
          <a:extLst>
            <a:ext uri="{FF2B5EF4-FFF2-40B4-BE49-F238E27FC236}">
              <a16:creationId xmlns:a16="http://schemas.microsoft.com/office/drawing/2014/main" id="{00000000-0008-0000-0100-00006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82" name="Drop Down 2" hidden="1">
          <a:extLst>
            <a:ext uri="{FF2B5EF4-FFF2-40B4-BE49-F238E27FC236}">
              <a16:creationId xmlns:a16="http://schemas.microsoft.com/office/drawing/2014/main" id="{00000000-0008-0000-0100-00006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83" name="Drop Down 1" hidden="1">
          <a:extLst>
            <a:ext uri="{FF2B5EF4-FFF2-40B4-BE49-F238E27FC236}">
              <a16:creationId xmlns:a16="http://schemas.microsoft.com/office/drawing/2014/main" id="{00000000-0008-0000-0100-00006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584" name="Drop Down -1022" hidden="1">
          <a:extLst>
            <a:ext uri="{FF2B5EF4-FFF2-40B4-BE49-F238E27FC236}">
              <a16:creationId xmlns:a16="http://schemas.microsoft.com/office/drawing/2014/main" id="{00000000-0008-0000-0100-00007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85" name="Drop Down 1" hidden="1">
          <a:extLst>
            <a:ext uri="{FF2B5EF4-FFF2-40B4-BE49-F238E27FC236}">
              <a16:creationId xmlns:a16="http://schemas.microsoft.com/office/drawing/2014/main" id="{00000000-0008-0000-0100-00007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86" name="Drop Down 1" hidden="1">
          <a:extLst>
            <a:ext uri="{FF2B5EF4-FFF2-40B4-BE49-F238E27FC236}">
              <a16:creationId xmlns:a16="http://schemas.microsoft.com/office/drawing/2014/main" id="{00000000-0008-0000-0100-00007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87" name="Drop Down 1" hidden="1">
          <a:extLst>
            <a:ext uri="{FF2B5EF4-FFF2-40B4-BE49-F238E27FC236}">
              <a16:creationId xmlns:a16="http://schemas.microsoft.com/office/drawing/2014/main" id="{00000000-0008-0000-0100-00007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88" name="Drop Down 1" hidden="1">
          <a:extLst>
            <a:ext uri="{FF2B5EF4-FFF2-40B4-BE49-F238E27FC236}">
              <a16:creationId xmlns:a16="http://schemas.microsoft.com/office/drawing/2014/main" id="{00000000-0008-0000-0100-00007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89" name="Drop Down 2" hidden="1">
          <a:extLst>
            <a:ext uri="{FF2B5EF4-FFF2-40B4-BE49-F238E27FC236}">
              <a16:creationId xmlns:a16="http://schemas.microsoft.com/office/drawing/2014/main" id="{00000000-0008-0000-0100-00007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90" name="Drop Down 1" hidden="1">
          <a:extLst>
            <a:ext uri="{FF2B5EF4-FFF2-40B4-BE49-F238E27FC236}">
              <a16:creationId xmlns:a16="http://schemas.microsoft.com/office/drawing/2014/main" id="{00000000-0008-0000-0100-00007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591" name="Drop Down -1022" hidden="1">
          <a:extLst>
            <a:ext uri="{FF2B5EF4-FFF2-40B4-BE49-F238E27FC236}">
              <a16:creationId xmlns:a16="http://schemas.microsoft.com/office/drawing/2014/main" id="{00000000-0008-0000-0100-00007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92" name="Drop Down 1" hidden="1">
          <a:extLst>
            <a:ext uri="{FF2B5EF4-FFF2-40B4-BE49-F238E27FC236}">
              <a16:creationId xmlns:a16="http://schemas.microsoft.com/office/drawing/2014/main" id="{00000000-0008-0000-0100-000078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93" name="Drop Down 1" hidden="1">
          <a:extLst>
            <a:ext uri="{FF2B5EF4-FFF2-40B4-BE49-F238E27FC236}">
              <a16:creationId xmlns:a16="http://schemas.microsoft.com/office/drawing/2014/main" id="{00000000-0008-0000-0100-000079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94" name="Drop Down 1" hidden="1">
          <a:extLst>
            <a:ext uri="{FF2B5EF4-FFF2-40B4-BE49-F238E27FC236}">
              <a16:creationId xmlns:a16="http://schemas.microsoft.com/office/drawing/2014/main" id="{00000000-0008-0000-0100-00007A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95" name="Drop Down 1" hidden="1">
          <a:extLst>
            <a:ext uri="{FF2B5EF4-FFF2-40B4-BE49-F238E27FC236}">
              <a16:creationId xmlns:a16="http://schemas.microsoft.com/office/drawing/2014/main" id="{00000000-0008-0000-0100-00007B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96" name="Drop Down 2" hidden="1">
          <a:extLst>
            <a:ext uri="{FF2B5EF4-FFF2-40B4-BE49-F238E27FC236}">
              <a16:creationId xmlns:a16="http://schemas.microsoft.com/office/drawing/2014/main" id="{00000000-0008-0000-0100-00007C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97" name="Drop Down 1" hidden="1">
          <a:extLst>
            <a:ext uri="{FF2B5EF4-FFF2-40B4-BE49-F238E27FC236}">
              <a16:creationId xmlns:a16="http://schemas.microsoft.com/office/drawing/2014/main" id="{00000000-0008-0000-0100-00007D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598" name="Drop Down -1022" hidden="1">
          <a:extLst>
            <a:ext uri="{FF2B5EF4-FFF2-40B4-BE49-F238E27FC236}">
              <a16:creationId xmlns:a16="http://schemas.microsoft.com/office/drawing/2014/main" id="{00000000-0008-0000-0100-00007E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599" name="Drop Down 1" hidden="1">
          <a:extLst>
            <a:ext uri="{FF2B5EF4-FFF2-40B4-BE49-F238E27FC236}">
              <a16:creationId xmlns:a16="http://schemas.microsoft.com/office/drawing/2014/main" id="{00000000-0008-0000-0100-00007F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00" name="Drop Down 1" hidden="1">
          <a:extLst>
            <a:ext uri="{FF2B5EF4-FFF2-40B4-BE49-F238E27FC236}">
              <a16:creationId xmlns:a16="http://schemas.microsoft.com/office/drawing/2014/main" id="{00000000-0008-0000-0100-000080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01" name="Drop Down 1" hidden="1">
          <a:extLst>
            <a:ext uri="{FF2B5EF4-FFF2-40B4-BE49-F238E27FC236}">
              <a16:creationId xmlns:a16="http://schemas.microsoft.com/office/drawing/2014/main" id="{00000000-0008-0000-0100-000081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02" name="Drop Down 1" hidden="1">
          <a:extLst>
            <a:ext uri="{FF2B5EF4-FFF2-40B4-BE49-F238E27FC236}">
              <a16:creationId xmlns:a16="http://schemas.microsoft.com/office/drawing/2014/main" id="{00000000-0008-0000-0100-000082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03" name="Drop Down 2" hidden="1">
          <a:extLst>
            <a:ext uri="{FF2B5EF4-FFF2-40B4-BE49-F238E27FC236}">
              <a16:creationId xmlns:a16="http://schemas.microsoft.com/office/drawing/2014/main" id="{00000000-0008-0000-0100-000083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04" name="Drop Down 1" hidden="1">
          <a:extLst>
            <a:ext uri="{FF2B5EF4-FFF2-40B4-BE49-F238E27FC236}">
              <a16:creationId xmlns:a16="http://schemas.microsoft.com/office/drawing/2014/main" id="{00000000-0008-0000-0100-000084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05" name="Drop Down -1022" hidden="1">
          <a:extLst>
            <a:ext uri="{FF2B5EF4-FFF2-40B4-BE49-F238E27FC236}">
              <a16:creationId xmlns:a16="http://schemas.microsoft.com/office/drawing/2014/main" id="{00000000-0008-0000-0100-000085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06" name="Drop Down 1" hidden="1">
          <a:extLst>
            <a:ext uri="{FF2B5EF4-FFF2-40B4-BE49-F238E27FC236}">
              <a16:creationId xmlns:a16="http://schemas.microsoft.com/office/drawing/2014/main" id="{00000000-0008-0000-0100-000086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07" name="Drop Down 1" hidden="1">
          <a:extLst>
            <a:ext uri="{FF2B5EF4-FFF2-40B4-BE49-F238E27FC236}">
              <a16:creationId xmlns:a16="http://schemas.microsoft.com/office/drawing/2014/main" id="{00000000-0008-0000-0100-000087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08" name="Drop Down 1" hidden="1">
          <a:extLst>
            <a:ext uri="{FF2B5EF4-FFF2-40B4-BE49-F238E27FC236}">
              <a16:creationId xmlns:a16="http://schemas.microsoft.com/office/drawing/2014/main" id="{00000000-0008-0000-0100-000088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09" name="Drop Down 1" hidden="1">
          <a:extLst>
            <a:ext uri="{FF2B5EF4-FFF2-40B4-BE49-F238E27FC236}">
              <a16:creationId xmlns:a16="http://schemas.microsoft.com/office/drawing/2014/main" id="{00000000-0008-0000-0100-000089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10" name="Drop Down 2" hidden="1">
          <a:extLst>
            <a:ext uri="{FF2B5EF4-FFF2-40B4-BE49-F238E27FC236}">
              <a16:creationId xmlns:a16="http://schemas.microsoft.com/office/drawing/2014/main" id="{00000000-0008-0000-0100-00008A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11" name="Drop Down 1" hidden="1">
          <a:extLst>
            <a:ext uri="{FF2B5EF4-FFF2-40B4-BE49-F238E27FC236}">
              <a16:creationId xmlns:a16="http://schemas.microsoft.com/office/drawing/2014/main" id="{00000000-0008-0000-0100-00008B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12" name="Drop Down -1022" hidden="1">
          <a:extLst>
            <a:ext uri="{FF2B5EF4-FFF2-40B4-BE49-F238E27FC236}">
              <a16:creationId xmlns:a16="http://schemas.microsoft.com/office/drawing/2014/main" id="{00000000-0008-0000-0100-00008C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13" name="Drop Down 1" hidden="1">
          <a:extLst>
            <a:ext uri="{FF2B5EF4-FFF2-40B4-BE49-F238E27FC236}">
              <a16:creationId xmlns:a16="http://schemas.microsoft.com/office/drawing/2014/main" id="{00000000-0008-0000-0100-00008D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14" name="Drop Down 1" hidden="1">
          <a:extLst>
            <a:ext uri="{FF2B5EF4-FFF2-40B4-BE49-F238E27FC236}">
              <a16:creationId xmlns:a16="http://schemas.microsoft.com/office/drawing/2014/main" id="{00000000-0008-0000-0100-00008E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15" name="Drop Down 1" hidden="1">
          <a:extLst>
            <a:ext uri="{FF2B5EF4-FFF2-40B4-BE49-F238E27FC236}">
              <a16:creationId xmlns:a16="http://schemas.microsoft.com/office/drawing/2014/main" id="{00000000-0008-0000-0100-00008F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16" name="Drop Down 1" hidden="1">
          <a:extLst>
            <a:ext uri="{FF2B5EF4-FFF2-40B4-BE49-F238E27FC236}">
              <a16:creationId xmlns:a16="http://schemas.microsoft.com/office/drawing/2014/main" id="{00000000-0008-0000-0100-000090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17" name="Drop Down 2" hidden="1">
          <a:extLst>
            <a:ext uri="{FF2B5EF4-FFF2-40B4-BE49-F238E27FC236}">
              <a16:creationId xmlns:a16="http://schemas.microsoft.com/office/drawing/2014/main" id="{00000000-0008-0000-0100-000091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18" name="Drop Down 1" hidden="1">
          <a:extLst>
            <a:ext uri="{FF2B5EF4-FFF2-40B4-BE49-F238E27FC236}">
              <a16:creationId xmlns:a16="http://schemas.microsoft.com/office/drawing/2014/main" id="{00000000-0008-0000-0100-000092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19" name="Drop Down -1022" hidden="1">
          <a:extLst>
            <a:ext uri="{FF2B5EF4-FFF2-40B4-BE49-F238E27FC236}">
              <a16:creationId xmlns:a16="http://schemas.microsoft.com/office/drawing/2014/main" id="{00000000-0008-0000-0100-000093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20" name="Drop Down 1" hidden="1">
          <a:extLst>
            <a:ext uri="{FF2B5EF4-FFF2-40B4-BE49-F238E27FC236}">
              <a16:creationId xmlns:a16="http://schemas.microsoft.com/office/drawing/2014/main" id="{00000000-0008-0000-0100-00009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21" name="Drop Down 1" hidden="1">
          <a:extLst>
            <a:ext uri="{FF2B5EF4-FFF2-40B4-BE49-F238E27FC236}">
              <a16:creationId xmlns:a16="http://schemas.microsoft.com/office/drawing/2014/main" id="{00000000-0008-0000-0100-00009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22" name="Drop Down 1" hidden="1">
          <a:extLst>
            <a:ext uri="{FF2B5EF4-FFF2-40B4-BE49-F238E27FC236}">
              <a16:creationId xmlns:a16="http://schemas.microsoft.com/office/drawing/2014/main" id="{00000000-0008-0000-0100-00009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23" name="Drop Down 1" hidden="1">
          <a:extLst>
            <a:ext uri="{FF2B5EF4-FFF2-40B4-BE49-F238E27FC236}">
              <a16:creationId xmlns:a16="http://schemas.microsoft.com/office/drawing/2014/main" id="{00000000-0008-0000-0100-00009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24" name="Drop Down 2" hidden="1">
          <a:extLst>
            <a:ext uri="{FF2B5EF4-FFF2-40B4-BE49-F238E27FC236}">
              <a16:creationId xmlns:a16="http://schemas.microsoft.com/office/drawing/2014/main" id="{00000000-0008-0000-0100-000098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25" name="Drop Down 1" hidden="1">
          <a:extLst>
            <a:ext uri="{FF2B5EF4-FFF2-40B4-BE49-F238E27FC236}">
              <a16:creationId xmlns:a16="http://schemas.microsoft.com/office/drawing/2014/main" id="{00000000-0008-0000-0100-000099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26" name="Drop Down -1022" hidden="1">
          <a:extLst>
            <a:ext uri="{FF2B5EF4-FFF2-40B4-BE49-F238E27FC236}">
              <a16:creationId xmlns:a16="http://schemas.microsoft.com/office/drawing/2014/main" id="{00000000-0008-0000-0100-00009A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27" name="Drop Down 1" hidden="1">
          <a:extLst>
            <a:ext uri="{FF2B5EF4-FFF2-40B4-BE49-F238E27FC236}">
              <a16:creationId xmlns:a16="http://schemas.microsoft.com/office/drawing/2014/main" id="{00000000-0008-0000-0100-00009B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28" name="Drop Down 1" hidden="1">
          <a:extLst>
            <a:ext uri="{FF2B5EF4-FFF2-40B4-BE49-F238E27FC236}">
              <a16:creationId xmlns:a16="http://schemas.microsoft.com/office/drawing/2014/main" id="{00000000-0008-0000-0100-00009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29" name="Drop Down 1" hidden="1">
          <a:extLst>
            <a:ext uri="{FF2B5EF4-FFF2-40B4-BE49-F238E27FC236}">
              <a16:creationId xmlns:a16="http://schemas.microsoft.com/office/drawing/2014/main" id="{00000000-0008-0000-0100-00009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30" name="Drop Down 1" hidden="1">
          <a:extLst>
            <a:ext uri="{FF2B5EF4-FFF2-40B4-BE49-F238E27FC236}">
              <a16:creationId xmlns:a16="http://schemas.microsoft.com/office/drawing/2014/main" id="{00000000-0008-0000-0100-00009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31" name="Drop Down 2" hidden="1">
          <a:extLst>
            <a:ext uri="{FF2B5EF4-FFF2-40B4-BE49-F238E27FC236}">
              <a16:creationId xmlns:a16="http://schemas.microsoft.com/office/drawing/2014/main" id="{00000000-0008-0000-0100-00009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32" name="Drop Down 1" hidden="1">
          <a:extLst>
            <a:ext uri="{FF2B5EF4-FFF2-40B4-BE49-F238E27FC236}">
              <a16:creationId xmlns:a16="http://schemas.microsoft.com/office/drawing/2014/main" id="{00000000-0008-0000-0100-0000A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33" name="Drop Down -1022" hidden="1">
          <a:extLst>
            <a:ext uri="{FF2B5EF4-FFF2-40B4-BE49-F238E27FC236}">
              <a16:creationId xmlns:a16="http://schemas.microsoft.com/office/drawing/2014/main" id="{00000000-0008-0000-0100-0000A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34" name="Drop Down 1" hidden="1">
          <a:extLst>
            <a:ext uri="{FF2B5EF4-FFF2-40B4-BE49-F238E27FC236}">
              <a16:creationId xmlns:a16="http://schemas.microsoft.com/office/drawing/2014/main" id="{00000000-0008-0000-0100-0000A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35" name="Drop Down 1" hidden="1">
          <a:extLst>
            <a:ext uri="{FF2B5EF4-FFF2-40B4-BE49-F238E27FC236}">
              <a16:creationId xmlns:a16="http://schemas.microsoft.com/office/drawing/2014/main" id="{00000000-0008-0000-0100-0000A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36" name="Drop Down 1" hidden="1">
          <a:extLst>
            <a:ext uri="{FF2B5EF4-FFF2-40B4-BE49-F238E27FC236}">
              <a16:creationId xmlns:a16="http://schemas.microsoft.com/office/drawing/2014/main" id="{00000000-0008-0000-0100-0000A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37" name="Drop Down 1" hidden="1">
          <a:extLst>
            <a:ext uri="{FF2B5EF4-FFF2-40B4-BE49-F238E27FC236}">
              <a16:creationId xmlns:a16="http://schemas.microsoft.com/office/drawing/2014/main" id="{00000000-0008-0000-0100-0000A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38" name="Drop Down 2" hidden="1">
          <a:extLst>
            <a:ext uri="{FF2B5EF4-FFF2-40B4-BE49-F238E27FC236}">
              <a16:creationId xmlns:a16="http://schemas.microsoft.com/office/drawing/2014/main" id="{00000000-0008-0000-0100-0000A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39" name="Drop Down 1" hidden="1">
          <a:extLst>
            <a:ext uri="{FF2B5EF4-FFF2-40B4-BE49-F238E27FC236}">
              <a16:creationId xmlns:a16="http://schemas.microsoft.com/office/drawing/2014/main" id="{00000000-0008-0000-0100-0000A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40" name="Drop Down -1022" hidden="1">
          <a:extLst>
            <a:ext uri="{FF2B5EF4-FFF2-40B4-BE49-F238E27FC236}">
              <a16:creationId xmlns:a16="http://schemas.microsoft.com/office/drawing/2014/main" id="{00000000-0008-0000-0100-0000A8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41" name="Drop Down 1" hidden="1">
          <a:extLst>
            <a:ext uri="{FF2B5EF4-FFF2-40B4-BE49-F238E27FC236}">
              <a16:creationId xmlns:a16="http://schemas.microsoft.com/office/drawing/2014/main" id="{00000000-0008-0000-0100-0000A9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42" name="Drop Down 1" hidden="1">
          <a:extLst>
            <a:ext uri="{FF2B5EF4-FFF2-40B4-BE49-F238E27FC236}">
              <a16:creationId xmlns:a16="http://schemas.microsoft.com/office/drawing/2014/main" id="{00000000-0008-0000-0100-0000AA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43" name="Drop Down 1" hidden="1">
          <a:extLst>
            <a:ext uri="{FF2B5EF4-FFF2-40B4-BE49-F238E27FC236}">
              <a16:creationId xmlns:a16="http://schemas.microsoft.com/office/drawing/2014/main" id="{00000000-0008-0000-0100-0000AB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44" name="Drop Down 1" hidden="1">
          <a:extLst>
            <a:ext uri="{FF2B5EF4-FFF2-40B4-BE49-F238E27FC236}">
              <a16:creationId xmlns:a16="http://schemas.microsoft.com/office/drawing/2014/main" id="{00000000-0008-0000-0100-0000A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45" name="Drop Down 2" hidden="1">
          <a:extLst>
            <a:ext uri="{FF2B5EF4-FFF2-40B4-BE49-F238E27FC236}">
              <a16:creationId xmlns:a16="http://schemas.microsoft.com/office/drawing/2014/main" id="{00000000-0008-0000-0100-0000A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46" name="Drop Down 1" hidden="1">
          <a:extLst>
            <a:ext uri="{FF2B5EF4-FFF2-40B4-BE49-F238E27FC236}">
              <a16:creationId xmlns:a16="http://schemas.microsoft.com/office/drawing/2014/main" id="{00000000-0008-0000-0100-0000A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47" name="Drop Down -1022" hidden="1">
          <a:extLst>
            <a:ext uri="{FF2B5EF4-FFF2-40B4-BE49-F238E27FC236}">
              <a16:creationId xmlns:a16="http://schemas.microsoft.com/office/drawing/2014/main" id="{00000000-0008-0000-0100-0000A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48" name="Drop Down 1" hidden="1">
          <a:extLst>
            <a:ext uri="{FF2B5EF4-FFF2-40B4-BE49-F238E27FC236}">
              <a16:creationId xmlns:a16="http://schemas.microsoft.com/office/drawing/2014/main" id="{00000000-0008-0000-0100-0000B0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49" name="Drop Down 1" hidden="1">
          <a:extLst>
            <a:ext uri="{FF2B5EF4-FFF2-40B4-BE49-F238E27FC236}">
              <a16:creationId xmlns:a16="http://schemas.microsoft.com/office/drawing/2014/main" id="{00000000-0008-0000-0100-0000B1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50" name="Drop Down 1" hidden="1">
          <a:extLst>
            <a:ext uri="{FF2B5EF4-FFF2-40B4-BE49-F238E27FC236}">
              <a16:creationId xmlns:a16="http://schemas.microsoft.com/office/drawing/2014/main" id="{00000000-0008-0000-0100-0000B2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51" name="Drop Down 1" hidden="1">
          <a:extLst>
            <a:ext uri="{FF2B5EF4-FFF2-40B4-BE49-F238E27FC236}">
              <a16:creationId xmlns:a16="http://schemas.microsoft.com/office/drawing/2014/main" id="{00000000-0008-0000-0100-0000B3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52" name="Drop Down 2" hidden="1">
          <a:extLst>
            <a:ext uri="{FF2B5EF4-FFF2-40B4-BE49-F238E27FC236}">
              <a16:creationId xmlns:a16="http://schemas.microsoft.com/office/drawing/2014/main" id="{00000000-0008-0000-0100-0000B4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53" name="Drop Down 1" hidden="1">
          <a:extLst>
            <a:ext uri="{FF2B5EF4-FFF2-40B4-BE49-F238E27FC236}">
              <a16:creationId xmlns:a16="http://schemas.microsoft.com/office/drawing/2014/main" id="{00000000-0008-0000-0100-0000B5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54" name="Drop Down -1022" hidden="1">
          <a:extLst>
            <a:ext uri="{FF2B5EF4-FFF2-40B4-BE49-F238E27FC236}">
              <a16:creationId xmlns:a16="http://schemas.microsoft.com/office/drawing/2014/main" id="{00000000-0008-0000-0100-0000B6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55" name="Drop Down 1" hidden="1">
          <a:extLst>
            <a:ext uri="{FF2B5EF4-FFF2-40B4-BE49-F238E27FC236}">
              <a16:creationId xmlns:a16="http://schemas.microsoft.com/office/drawing/2014/main" id="{00000000-0008-0000-0100-0000B7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56" name="Drop Down 1" hidden="1">
          <a:extLst>
            <a:ext uri="{FF2B5EF4-FFF2-40B4-BE49-F238E27FC236}">
              <a16:creationId xmlns:a16="http://schemas.microsoft.com/office/drawing/2014/main" id="{00000000-0008-0000-0100-0000B8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57" name="Drop Down 1" hidden="1">
          <a:extLst>
            <a:ext uri="{FF2B5EF4-FFF2-40B4-BE49-F238E27FC236}">
              <a16:creationId xmlns:a16="http://schemas.microsoft.com/office/drawing/2014/main" id="{00000000-0008-0000-0100-0000B9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58" name="Drop Down 1" hidden="1">
          <a:extLst>
            <a:ext uri="{FF2B5EF4-FFF2-40B4-BE49-F238E27FC236}">
              <a16:creationId xmlns:a16="http://schemas.microsoft.com/office/drawing/2014/main" id="{00000000-0008-0000-0100-0000BA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59" name="Drop Down 2" hidden="1">
          <a:extLst>
            <a:ext uri="{FF2B5EF4-FFF2-40B4-BE49-F238E27FC236}">
              <a16:creationId xmlns:a16="http://schemas.microsoft.com/office/drawing/2014/main" id="{00000000-0008-0000-0100-0000BB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60" name="Drop Down 1" hidden="1">
          <a:extLst>
            <a:ext uri="{FF2B5EF4-FFF2-40B4-BE49-F238E27FC236}">
              <a16:creationId xmlns:a16="http://schemas.microsoft.com/office/drawing/2014/main" id="{00000000-0008-0000-0100-0000BC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61" name="Drop Down -1022" hidden="1">
          <a:extLst>
            <a:ext uri="{FF2B5EF4-FFF2-40B4-BE49-F238E27FC236}">
              <a16:creationId xmlns:a16="http://schemas.microsoft.com/office/drawing/2014/main" id="{00000000-0008-0000-0100-0000BD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62" name="Drop Down 1" hidden="1">
          <a:extLst>
            <a:ext uri="{FF2B5EF4-FFF2-40B4-BE49-F238E27FC236}">
              <a16:creationId xmlns:a16="http://schemas.microsoft.com/office/drawing/2014/main" id="{00000000-0008-0000-0100-0000BE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63" name="Drop Down 1" hidden="1">
          <a:extLst>
            <a:ext uri="{FF2B5EF4-FFF2-40B4-BE49-F238E27FC236}">
              <a16:creationId xmlns:a16="http://schemas.microsoft.com/office/drawing/2014/main" id="{00000000-0008-0000-0100-0000BF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64" name="Drop Down 1" hidden="1">
          <a:extLst>
            <a:ext uri="{FF2B5EF4-FFF2-40B4-BE49-F238E27FC236}">
              <a16:creationId xmlns:a16="http://schemas.microsoft.com/office/drawing/2014/main" id="{00000000-0008-0000-0100-0000C0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65" name="Drop Down 1" hidden="1">
          <a:extLst>
            <a:ext uri="{FF2B5EF4-FFF2-40B4-BE49-F238E27FC236}">
              <a16:creationId xmlns:a16="http://schemas.microsoft.com/office/drawing/2014/main" id="{00000000-0008-0000-0100-0000C1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66" name="Drop Down 2" hidden="1">
          <a:extLst>
            <a:ext uri="{FF2B5EF4-FFF2-40B4-BE49-F238E27FC236}">
              <a16:creationId xmlns:a16="http://schemas.microsoft.com/office/drawing/2014/main" id="{00000000-0008-0000-0100-0000C2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67" name="Drop Down 1" hidden="1">
          <a:extLst>
            <a:ext uri="{FF2B5EF4-FFF2-40B4-BE49-F238E27FC236}">
              <a16:creationId xmlns:a16="http://schemas.microsoft.com/office/drawing/2014/main" id="{00000000-0008-0000-0100-0000C3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7644"/>
    <xdr:sp macro="" textlink="">
      <xdr:nvSpPr>
        <xdr:cNvPr id="9668" name="Drop Down -1022" hidden="1">
          <a:extLst>
            <a:ext uri="{FF2B5EF4-FFF2-40B4-BE49-F238E27FC236}">
              <a16:creationId xmlns:a16="http://schemas.microsoft.com/office/drawing/2014/main" id="{00000000-0008-0000-0100-0000C4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69" name="Drop Down 1" hidden="1">
          <a:extLst>
            <a:ext uri="{FF2B5EF4-FFF2-40B4-BE49-F238E27FC236}">
              <a16:creationId xmlns:a16="http://schemas.microsoft.com/office/drawing/2014/main" id="{00000000-0008-0000-0100-0000C5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70" name="Drop Down 1" hidden="1">
          <a:extLst>
            <a:ext uri="{FF2B5EF4-FFF2-40B4-BE49-F238E27FC236}">
              <a16:creationId xmlns:a16="http://schemas.microsoft.com/office/drawing/2014/main" id="{00000000-0008-0000-0100-0000C6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71" name="Drop Down 1" hidden="1">
          <a:extLst>
            <a:ext uri="{FF2B5EF4-FFF2-40B4-BE49-F238E27FC236}">
              <a16:creationId xmlns:a16="http://schemas.microsoft.com/office/drawing/2014/main" id="{00000000-0008-0000-0100-0000C7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72" name="Drop Down 1" hidden="1">
          <a:extLst>
            <a:ext uri="{FF2B5EF4-FFF2-40B4-BE49-F238E27FC236}">
              <a16:creationId xmlns:a16="http://schemas.microsoft.com/office/drawing/2014/main" id="{00000000-0008-0000-0100-0000C8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73" name="Drop Down 2" hidden="1">
          <a:extLst>
            <a:ext uri="{FF2B5EF4-FFF2-40B4-BE49-F238E27FC236}">
              <a16:creationId xmlns:a16="http://schemas.microsoft.com/office/drawing/2014/main" id="{00000000-0008-0000-0100-0000C9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74" name="Drop Down 1" hidden="1">
          <a:extLst>
            <a:ext uri="{FF2B5EF4-FFF2-40B4-BE49-F238E27FC236}">
              <a16:creationId xmlns:a16="http://schemas.microsoft.com/office/drawing/2014/main" id="{00000000-0008-0000-0100-0000CA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901065" cy="205885"/>
    <xdr:sp macro="" textlink="">
      <xdr:nvSpPr>
        <xdr:cNvPr id="9675" name="Drop Down -1022" hidden="1">
          <a:extLst>
            <a:ext uri="{FF2B5EF4-FFF2-40B4-BE49-F238E27FC236}">
              <a16:creationId xmlns:a16="http://schemas.microsoft.com/office/drawing/2014/main" id="{00000000-0008-0000-0100-0000CB250000}"/>
            </a:ext>
          </a:extLst>
        </xdr:cNvPr>
        <xdr:cNvSpPr>
          <a:spLocks noChangeArrowheads="1"/>
        </xdr:cNvSpPr>
      </xdr:nvSpPr>
      <xdr:spPr bwMode="auto">
        <a:xfrm>
          <a:off x="3639344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676" name="Drop Down 1" hidden="1">
          <a:extLst>
            <a:ext uri="{FF2B5EF4-FFF2-40B4-BE49-F238E27FC236}">
              <a16:creationId xmlns:a16="http://schemas.microsoft.com/office/drawing/2014/main" id="{00000000-0008-0000-0100-0000C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677" name="Drop Down 1" hidden="1">
          <a:extLst>
            <a:ext uri="{FF2B5EF4-FFF2-40B4-BE49-F238E27FC236}">
              <a16:creationId xmlns:a16="http://schemas.microsoft.com/office/drawing/2014/main" id="{00000000-0008-0000-0100-0000C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678" name="Drop Down 1" hidden="1">
          <a:extLst>
            <a:ext uri="{FF2B5EF4-FFF2-40B4-BE49-F238E27FC236}">
              <a16:creationId xmlns:a16="http://schemas.microsoft.com/office/drawing/2014/main" id="{00000000-0008-0000-0100-0000C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679" name="Drop Down 1" hidden="1">
          <a:extLst>
            <a:ext uri="{FF2B5EF4-FFF2-40B4-BE49-F238E27FC236}">
              <a16:creationId xmlns:a16="http://schemas.microsoft.com/office/drawing/2014/main" id="{00000000-0008-0000-0100-0000C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680" name="Drop Down 2" hidden="1">
          <a:extLst>
            <a:ext uri="{FF2B5EF4-FFF2-40B4-BE49-F238E27FC236}">
              <a16:creationId xmlns:a16="http://schemas.microsoft.com/office/drawing/2014/main" id="{00000000-0008-0000-0100-0000D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681" name="Drop Down 1" hidden="1">
          <a:extLst>
            <a:ext uri="{FF2B5EF4-FFF2-40B4-BE49-F238E27FC236}">
              <a16:creationId xmlns:a16="http://schemas.microsoft.com/office/drawing/2014/main" id="{00000000-0008-0000-0100-0000D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682" name="Drop Down -1022" hidden="1">
          <a:extLst>
            <a:ext uri="{FF2B5EF4-FFF2-40B4-BE49-F238E27FC236}">
              <a16:creationId xmlns:a16="http://schemas.microsoft.com/office/drawing/2014/main" id="{00000000-0008-0000-0100-0000D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683" name="Drop Down 1" hidden="1">
          <a:extLst>
            <a:ext uri="{FF2B5EF4-FFF2-40B4-BE49-F238E27FC236}">
              <a16:creationId xmlns:a16="http://schemas.microsoft.com/office/drawing/2014/main" id="{00000000-0008-0000-0100-0000D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684" name="Drop Down 1" hidden="1">
          <a:extLst>
            <a:ext uri="{FF2B5EF4-FFF2-40B4-BE49-F238E27FC236}">
              <a16:creationId xmlns:a16="http://schemas.microsoft.com/office/drawing/2014/main" id="{00000000-0008-0000-0100-0000D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685" name="Drop Down 1" hidden="1">
          <a:extLst>
            <a:ext uri="{FF2B5EF4-FFF2-40B4-BE49-F238E27FC236}">
              <a16:creationId xmlns:a16="http://schemas.microsoft.com/office/drawing/2014/main" id="{00000000-0008-0000-0100-0000D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686" name="Drop Down 1" hidden="1">
          <a:extLst>
            <a:ext uri="{FF2B5EF4-FFF2-40B4-BE49-F238E27FC236}">
              <a16:creationId xmlns:a16="http://schemas.microsoft.com/office/drawing/2014/main" id="{00000000-0008-0000-0100-0000D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687" name="Drop Down 2" hidden="1">
          <a:extLst>
            <a:ext uri="{FF2B5EF4-FFF2-40B4-BE49-F238E27FC236}">
              <a16:creationId xmlns:a16="http://schemas.microsoft.com/office/drawing/2014/main" id="{00000000-0008-0000-0100-0000D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688" name="Drop Down 1" hidden="1">
          <a:extLst>
            <a:ext uri="{FF2B5EF4-FFF2-40B4-BE49-F238E27FC236}">
              <a16:creationId xmlns:a16="http://schemas.microsoft.com/office/drawing/2014/main" id="{00000000-0008-0000-0100-0000D8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689" name="Drop Down -1022" hidden="1">
          <a:extLst>
            <a:ext uri="{FF2B5EF4-FFF2-40B4-BE49-F238E27FC236}">
              <a16:creationId xmlns:a16="http://schemas.microsoft.com/office/drawing/2014/main" id="{00000000-0008-0000-0100-0000D9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90" name="Drop Down 1" hidden="1">
          <a:extLst>
            <a:ext uri="{FF2B5EF4-FFF2-40B4-BE49-F238E27FC236}">
              <a16:creationId xmlns:a16="http://schemas.microsoft.com/office/drawing/2014/main" id="{00000000-0008-0000-0100-0000DA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91" name="Drop Down 1" hidden="1">
          <a:extLst>
            <a:ext uri="{FF2B5EF4-FFF2-40B4-BE49-F238E27FC236}">
              <a16:creationId xmlns:a16="http://schemas.microsoft.com/office/drawing/2014/main" id="{00000000-0008-0000-0100-0000DB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92" name="Drop Down 1" hidden="1">
          <a:extLst>
            <a:ext uri="{FF2B5EF4-FFF2-40B4-BE49-F238E27FC236}">
              <a16:creationId xmlns:a16="http://schemas.microsoft.com/office/drawing/2014/main" id="{00000000-0008-0000-0100-0000D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93" name="Drop Down 1" hidden="1">
          <a:extLst>
            <a:ext uri="{FF2B5EF4-FFF2-40B4-BE49-F238E27FC236}">
              <a16:creationId xmlns:a16="http://schemas.microsoft.com/office/drawing/2014/main" id="{00000000-0008-0000-0100-0000D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94" name="Drop Down 2" hidden="1">
          <a:extLst>
            <a:ext uri="{FF2B5EF4-FFF2-40B4-BE49-F238E27FC236}">
              <a16:creationId xmlns:a16="http://schemas.microsoft.com/office/drawing/2014/main" id="{00000000-0008-0000-0100-0000D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95" name="Drop Down 1" hidden="1">
          <a:extLst>
            <a:ext uri="{FF2B5EF4-FFF2-40B4-BE49-F238E27FC236}">
              <a16:creationId xmlns:a16="http://schemas.microsoft.com/office/drawing/2014/main" id="{00000000-0008-0000-0100-0000D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696" name="Drop Down -1022" hidden="1">
          <a:extLst>
            <a:ext uri="{FF2B5EF4-FFF2-40B4-BE49-F238E27FC236}">
              <a16:creationId xmlns:a16="http://schemas.microsoft.com/office/drawing/2014/main" id="{00000000-0008-0000-0100-0000E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97" name="Drop Down 1" hidden="1">
          <a:extLst>
            <a:ext uri="{FF2B5EF4-FFF2-40B4-BE49-F238E27FC236}">
              <a16:creationId xmlns:a16="http://schemas.microsoft.com/office/drawing/2014/main" id="{00000000-0008-0000-0100-0000E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98" name="Drop Down 1" hidden="1">
          <a:extLst>
            <a:ext uri="{FF2B5EF4-FFF2-40B4-BE49-F238E27FC236}">
              <a16:creationId xmlns:a16="http://schemas.microsoft.com/office/drawing/2014/main" id="{00000000-0008-0000-0100-0000E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699" name="Drop Down 1" hidden="1">
          <a:extLst>
            <a:ext uri="{FF2B5EF4-FFF2-40B4-BE49-F238E27FC236}">
              <a16:creationId xmlns:a16="http://schemas.microsoft.com/office/drawing/2014/main" id="{00000000-0008-0000-0100-0000E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00" name="Drop Down 1" hidden="1">
          <a:extLst>
            <a:ext uri="{FF2B5EF4-FFF2-40B4-BE49-F238E27FC236}">
              <a16:creationId xmlns:a16="http://schemas.microsoft.com/office/drawing/2014/main" id="{00000000-0008-0000-0100-0000E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01" name="Drop Down 2" hidden="1">
          <a:extLst>
            <a:ext uri="{FF2B5EF4-FFF2-40B4-BE49-F238E27FC236}">
              <a16:creationId xmlns:a16="http://schemas.microsoft.com/office/drawing/2014/main" id="{00000000-0008-0000-0100-0000E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02" name="Drop Down 1" hidden="1">
          <a:extLst>
            <a:ext uri="{FF2B5EF4-FFF2-40B4-BE49-F238E27FC236}">
              <a16:creationId xmlns:a16="http://schemas.microsoft.com/office/drawing/2014/main" id="{00000000-0008-0000-0100-0000E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03" name="Drop Down -1022" hidden="1">
          <a:extLst>
            <a:ext uri="{FF2B5EF4-FFF2-40B4-BE49-F238E27FC236}">
              <a16:creationId xmlns:a16="http://schemas.microsoft.com/office/drawing/2014/main" id="{00000000-0008-0000-0100-0000E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04" name="Drop Down 1" hidden="1">
          <a:extLst>
            <a:ext uri="{FF2B5EF4-FFF2-40B4-BE49-F238E27FC236}">
              <a16:creationId xmlns:a16="http://schemas.microsoft.com/office/drawing/2014/main" id="{00000000-0008-0000-0100-0000E8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05" name="Drop Down 1" hidden="1">
          <a:extLst>
            <a:ext uri="{FF2B5EF4-FFF2-40B4-BE49-F238E27FC236}">
              <a16:creationId xmlns:a16="http://schemas.microsoft.com/office/drawing/2014/main" id="{00000000-0008-0000-0100-0000E9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06" name="Drop Down 1" hidden="1">
          <a:extLst>
            <a:ext uri="{FF2B5EF4-FFF2-40B4-BE49-F238E27FC236}">
              <a16:creationId xmlns:a16="http://schemas.microsoft.com/office/drawing/2014/main" id="{00000000-0008-0000-0100-0000EA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07" name="Drop Down 1" hidden="1">
          <a:extLst>
            <a:ext uri="{FF2B5EF4-FFF2-40B4-BE49-F238E27FC236}">
              <a16:creationId xmlns:a16="http://schemas.microsoft.com/office/drawing/2014/main" id="{00000000-0008-0000-0100-0000EB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08" name="Drop Down 2" hidden="1">
          <a:extLst>
            <a:ext uri="{FF2B5EF4-FFF2-40B4-BE49-F238E27FC236}">
              <a16:creationId xmlns:a16="http://schemas.microsoft.com/office/drawing/2014/main" id="{00000000-0008-0000-0100-0000E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09" name="Drop Down 1" hidden="1">
          <a:extLst>
            <a:ext uri="{FF2B5EF4-FFF2-40B4-BE49-F238E27FC236}">
              <a16:creationId xmlns:a16="http://schemas.microsoft.com/office/drawing/2014/main" id="{00000000-0008-0000-0100-0000E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10" name="Drop Down -1022" hidden="1">
          <a:extLst>
            <a:ext uri="{FF2B5EF4-FFF2-40B4-BE49-F238E27FC236}">
              <a16:creationId xmlns:a16="http://schemas.microsoft.com/office/drawing/2014/main" id="{00000000-0008-0000-0100-0000E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11" name="Drop Down 1" hidden="1">
          <a:extLst>
            <a:ext uri="{FF2B5EF4-FFF2-40B4-BE49-F238E27FC236}">
              <a16:creationId xmlns:a16="http://schemas.microsoft.com/office/drawing/2014/main" id="{00000000-0008-0000-0100-0000E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12" name="Drop Down 1" hidden="1">
          <a:extLst>
            <a:ext uri="{FF2B5EF4-FFF2-40B4-BE49-F238E27FC236}">
              <a16:creationId xmlns:a16="http://schemas.microsoft.com/office/drawing/2014/main" id="{00000000-0008-0000-0100-0000F0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13" name="Drop Down 1" hidden="1">
          <a:extLst>
            <a:ext uri="{FF2B5EF4-FFF2-40B4-BE49-F238E27FC236}">
              <a16:creationId xmlns:a16="http://schemas.microsoft.com/office/drawing/2014/main" id="{00000000-0008-0000-0100-0000F1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14" name="Drop Down 1" hidden="1">
          <a:extLst>
            <a:ext uri="{FF2B5EF4-FFF2-40B4-BE49-F238E27FC236}">
              <a16:creationId xmlns:a16="http://schemas.microsoft.com/office/drawing/2014/main" id="{00000000-0008-0000-0100-0000F2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15" name="Drop Down 2" hidden="1">
          <a:extLst>
            <a:ext uri="{FF2B5EF4-FFF2-40B4-BE49-F238E27FC236}">
              <a16:creationId xmlns:a16="http://schemas.microsoft.com/office/drawing/2014/main" id="{00000000-0008-0000-0100-0000F3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16" name="Drop Down 1" hidden="1">
          <a:extLst>
            <a:ext uri="{FF2B5EF4-FFF2-40B4-BE49-F238E27FC236}">
              <a16:creationId xmlns:a16="http://schemas.microsoft.com/office/drawing/2014/main" id="{00000000-0008-0000-0100-0000F4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17" name="Drop Down -1022" hidden="1">
          <a:extLst>
            <a:ext uri="{FF2B5EF4-FFF2-40B4-BE49-F238E27FC236}">
              <a16:creationId xmlns:a16="http://schemas.microsoft.com/office/drawing/2014/main" id="{00000000-0008-0000-0100-0000F5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18" name="Drop Down 1" hidden="1">
          <a:extLst>
            <a:ext uri="{FF2B5EF4-FFF2-40B4-BE49-F238E27FC236}">
              <a16:creationId xmlns:a16="http://schemas.microsoft.com/office/drawing/2014/main" id="{00000000-0008-0000-0100-0000F6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19" name="Drop Down 1" hidden="1">
          <a:extLst>
            <a:ext uri="{FF2B5EF4-FFF2-40B4-BE49-F238E27FC236}">
              <a16:creationId xmlns:a16="http://schemas.microsoft.com/office/drawing/2014/main" id="{00000000-0008-0000-0100-0000F7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20" name="Drop Down 1" hidden="1">
          <a:extLst>
            <a:ext uri="{FF2B5EF4-FFF2-40B4-BE49-F238E27FC236}">
              <a16:creationId xmlns:a16="http://schemas.microsoft.com/office/drawing/2014/main" id="{00000000-0008-0000-0100-0000F8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21" name="Drop Down 1" hidden="1">
          <a:extLst>
            <a:ext uri="{FF2B5EF4-FFF2-40B4-BE49-F238E27FC236}">
              <a16:creationId xmlns:a16="http://schemas.microsoft.com/office/drawing/2014/main" id="{00000000-0008-0000-0100-0000F9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22" name="Drop Down 2" hidden="1">
          <a:extLst>
            <a:ext uri="{FF2B5EF4-FFF2-40B4-BE49-F238E27FC236}">
              <a16:creationId xmlns:a16="http://schemas.microsoft.com/office/drawing/2014/main" id="{00000000-0008-0000-0100-0000FA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23" name="Drop Down 1" hidden="1">
          <a:extLst>
            <a:ext uri="{FF2B5EF4-FFF2-40B4-BE49-F238E27FC236}">
              <a16:creationId xmlns:a16="http://schemas.microsoft.com/office/drawing/2014/main" id="{00000000-0008-0000-0100-0000FB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24" name="Drop Down -1022" hidden="1">
          <a:extLst>
            <a:ext uri="{FF2B5EF4-FFF2-40B4-BE49-F238E27FC236}">
              <a16:creationId xmlns:a16="http://schemas.microsoft.com/office/drawing/2014/main" id="{00000000-0008-0000-0100-0000FC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25" name="Drop Down 1" hidden="1">
          <a:extLst>
            <a:ext uri="{FF2B5EF4-FFF2-40B4-BE49-F238E27FC236}">
              <a16:creationId xmlns:a16="http://schemas.microsoft.com/office/drawing/2014/main" id="{00000000-0008-0000-0100-0000FD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26" name="Drop Down 1" hidden="1">
          <a:extLst>
            <a:ext uri="{FF2B5EF4-FFF2-40B4-BE49-F238E27FC236}">
              <a16:creationId xmlns:a16="http://schemas.microsoft.com/office/drawing/2014/main" id="{00000000-0008-0000-0100-0000FE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27" name="Drop Down 1" hidden="1">
          <a:extLst>
            <a:ext uri="{FF2B5EF4-FFF2-40B4-BE49-F238E27FC236}">
              <a16:creationId xmlns:a16="http://schemas.microsoft.com/office/drawing/2014/main" id="{00000000-0008-0000-0100-0000FF25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28" name="Drop Down 1" hidden="1">
          <a:extLst>
            <a:ext uri="{FF2B5EF4-FFF2-40B4-BE49-F238E27FC236}">
              <a16:creationId xmlns:a16="http://schemas.microsoft.com/office/drawing/2014/main" id="{00000000-0008-0000-0100-00000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29" name="Drop Down 2" hidden="1">
          <a:extLst>
            <a:ext uri="{FF2B5EF4-FFF2-40B4-BE49-F238E27FC236}">
              <a16:creationId xmlns:a16="http://schemas.microsoft.com/office/drawing/2014/main" id="{00000000-0008-0000-0100-00000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30" name="Drop Down 1" hidden="1">
          <a:extLst>
            <a:ext uri="{FF2B5EF4-FFF2-40B4-BE49-F238E27FC236}">
              <a16:creationId xmlns:a16="http://schemas.microsoft.com/office/drawing/2014/main" id="{00000000-0008-0000-0100-00000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31" name="Drop Down -1022" hidden="1">
          <a:extLst>
            <a:ext uri="{FF2B5EF4-FFF2-40B4-BE49-F238E27FC236}">
              <a16:creationId xmlns:a16="http://schemas.microsoft.com/office/drawing/2014/main" id="{00000000-0008-0000-0100-00000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32" name="Drop Down 1" hidden="1">
          <a:extLst>
            <a:ext uri="{FF2B5EF4-FFF2-40B4-BE49-F238E27FC236}">
              <a16:creationId xmlns:a16="http://schemas.microsoft.com/office/drawing/2014/main" id="{00000000-0008-0000-0100-00000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33" name="Drop Down 1" hidden="1">
          <a:extLst>
            <a:ext uri="{FF2B5EF4-FFF2-40B4-BE49-F238E27FC236}">
              <a16:creationId xmlns:a16="http://schemas.microsoft.com/office/drawing/2014/main" id="{00000000-0008-0000-0100-00000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34" name="Drop Down 1" hidden="1">
          <a:extLst>
            <a:ext uri="{FF2B5EF4-FFF2-40B4-BE49-F238E27FC236}">
              <a16:creationId xmlns:a16="http://schemas.microsoft.com/office/drawing/2014/main" id="{00000000-0008-0000-0100-00000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35" name="Drop Down 1" hidden="1">
          <a:extLst>
            <a:ext uri="{FF2B5EF4-FFF2-40B4-BE49-F238E27FC236}">
              <a16:creationId xmlns:a16="http://schemas.microsoft.com/office/drawing/2014/main" id="{00000000-0008-0000-0100-00000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36" name="Drop Down 2" hidden="1">
          <a:extLst>
            <a:ext uri="{FF2B5EF4-FFF2-40B4-BE49-F238E27FC236}">
              <a16:creationId xmlns:a16="http://schemas.microsoft.com/office/drawing/2014/main" id="{00000000-0008-0000-0100-00000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37" name="Drop Down 1" hidden="1">
          <a:extLst>
            <a:ext uri="{FF2B5EF4-FFF2-40B4-BE49-F238E27FC236}">
              <a16:creationId xmlns:a16="http://schemas.microsoft.com/office/drawing/2014/main" id="{00000000-0008-0000-0100-00000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38" name="Drop Down -1022" hidden="1">
          <a:extLst>
            <a:ext uri="{FF2B5EF4-FFF2-40B4-BE49-F238E27FC236}">
              <a16:creationId xmlns:a16="http://schemas.microsoft.com/office/drawing/2014/main" id="{00000000-0008-0000-0100-00000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39" name="Drop Down 1" hidden="1">
          <a:extLst>
            <a:ext uri="{FF2B5EF4-FFF2-40B4-BE49-F238E27FC236}">
              <a16:creationId xmlns:a16="http://schemas.microsoft.com/office/drawing/2014/main" id="{00000000-0008-0000-0100-00000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40" name="Drop Down 1" hidden="1">
          <a:extLst>
            <a:ext uri="{FF2B5EF4-FFF2-40B4-BE49-F238E27FC236}">
              <a16:creationId xmlns:a16="http://schemas.microsoft.com/office/drawing/2014/main" id="{00000000-0008-0000-0100-00000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41" name="Drop Down 1" hidden="1">
          <a:extLst>
            <a:ext uri="{FF2B5EF4-FFF2-40B4-BE49-F238E27FC236}">
              <a16:creationId xmlns:a16="http://schemas.microsoft.com/office/drawing/2014/main" id="{00000000-0008-0000-0100-00000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42" name="Drop Down 1" hidden="1">
          <a:extLst>
            <a:ext uri="{FF2B5EF4-FFF2-40B4-BE49-F238E27FC236}">
              <a16:creationId xmlns:a16="http://schemas.microsoft.com/office/drawing/2014/main" id="{00000000-0008-0000-0100-00000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43" name="Drop Down 2" hidden="1">
          <a:extLst>
            <a:ext uri="{FF2B5EF4-FFF2-40B4-BE49-F238E27FC236}">
              <a16:creationId xmlns:a16="http://schemas.microsoft.com/office/drawing/2014/main" id="{00000000-0008-0000-0100-00000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44" name="Drop Down 1" hidden="1">
          <a:extLst>
            <a:ext uri="{FF2B5EF4-FFF2-40B4-BE49-F238E27FC236}">
              <a16:creationId xmlns:a16="http://schemas.microsoft.com/office/drawing/2014/main" id="{00000000-0008-0000-0100-00001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45" name="Drop Down -1022" hidden="1">
          <a:extLst>
            <a:ext uri="{FF2B5EF4-FFF2-40B4-BE49-F238E27FC236}">
              <a16:creationId xmlns:a16="http://schemas.microsoft.com/office/drawing/2014/main" id="{00000000-0008-0000-0100-00001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46" name="Drop Down 1" hidden="1">
          <a:extLst>
            <a:ext uri="{FF2B5EF4-FFF2-40B4-BE49-F238E27FC236}">
              <a16:creationId xmlns:a16="http://schemas.microsoft.com/office/drawing/2014/main" id="{00000000-0008-0000-0100-00001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47" name="Drop Down 1" hidden="1">
          <a:extLst>
            <a:ext uri="{FF2B5EF4-FFF2-40B4-BE49-F238E27FC236}">
              <a16:creationId xmlns:a16="http://schemas.microsoft.com/office/drawing/2014/main" id="{00000000-0008-0000-0100-00001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48" name="Drop Down 1" hidden="1">
          <a:extLst>
            <a:ext uri="{FF2B5EF4-FFF2-40B4-BE49-F238E27FC236}">
              <a16:creationId xmlns:a16="http://schemas.microsoft.com/office/drawing/2014/main" id="{00000000-0008-0000-0100-00001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49" name="Drop Down 1" hidden="1">
          <a:extLst>
            <a:ext uri="{FF2B5EF4-FFF2-40B4-BE49-F238E27FC236}">
              <a16:creationId xmlns:a16="http://schemas.microsoft.com/office/drawing/2014/main" id="{00000000-0008-0000-0100-00001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50" name="Drop Down 2" hidden="1">
          <a:extLst>
            <a:ext uri="{FF2B5EF4-FFF2-40B4-BE49-F238E27FC236}">
              <a16:creationId xmlns:a16="http://schemas.microsoft.com/office/drawing/2014/main" id="{00000000-0008-0000-0100-00001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51" name="Drop Down 1" hidden="1">
          <a:extLst>
            <a:ext uri="{FF2B5EF4-FFF2-40B4-BE49-F238E27FC236}">
              <a16:creationId xmlns:a16="http://schemas.microsoft.com/office/drawing/2014/main" id="{00000000-0008-0000-0100-00001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52" name="Drop Down -1022" hidden="1">
          <a:extLst>
            <a:ext uri="{FF2B5EF4-FFF2-40B4-BE49-F238E27FC236}">
              <a16:creationId xmlns:a16="http://schemas.microsoft.com/office/drawing/2014/main" id="{00000000-0008-0000-0100-00001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53" name="Drop Down 1" hidden="1">
          <a:extLst>
            <a:ext uri="{FF2B5EF4-FFF2-40B4-BE49-F238E27FC236}">
              <a16:creationId xmlns:a16="http://schemas.microsoft.com/office/drawing/2014/main" id="{00000000-0008-0000-0100-00001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54" name="Drop Down 1" hidden="1">
          <a:extLst>
            <a:ext uri="{FF2B5EF4-FFF2-40B4-BE49-F238E27FC236}">
              <a16:creationId xmlns:a16="http://schemas.microsoft.com/office/drawing/2014/main" id="{00000000-0008-0000-0100-00001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55" name="Drop Down 1" hidden="1">
          <a:extLst>
            <a:ext uri="{FF2B5EF4-FFF2-40B4-BE49-F238E27FC236}">
              <a16:creationId xmlns:a16="http://schemas.microsoft.com/office/drawing/2014/main" id="{00000000-0008-0000-0100-00001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56" name="Drop Down 1" hidden="1">
          <a:extLst>
            <a:ext uri="{FF2B5EF4-FFF2-40B4-BE49-F238E27FC236}">
              <a16:creationId xmlns:a16="http://schemas.microsoft.com/office/drawing/2014/main" id="{00000000-0008-0000-0100-00001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57" name="Drop Down 2" hidden="1">
          <a:extLst>
            <a:ext uri="{FF2B5EF4-FFF2-40B4-BE49-F238E27FC236}">
              <a16:creationId xmlns:a16="http://schemas.microsoft.com/office/drawing/2014/main" id="{00000000-0008-0000-0100-00001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58" name="Drop Down 1" hidden="1">
          <a:extLst>
            <a:ext uri="{FF2B5EF4-FFF2-40B4-BE49-F238E27FC236}">
              <a16:creationId xmlns:a16="http://schemas.microsoft.com/office/drawing/2014/main" id="{00000000-0008-0000-0100-00001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59" name="Drop Down -1022" hidden="1">
          <a:extLst>
            <a:ext uri="{FF2B5EF4-FFF2-40B4-BE49-F238E27FC236}">
              <a16:creationId xmlns:a16="http://schemas.microsoft.com/office/drawing/2014/main" id="{00000000-0008-0000-0100-00001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760" name="Drop Down 1" hidden="1">
          <a:extLst>
            <a:ext uri="{FF2B5EF4-FFF2-40B4-BE49-F238E27FC236}">
              <a16:creationId xmlns:a16="http://schemas.microsoft.com/office/drawing/2014/main" id="{00000000-0008-0000-0100-00002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761" name="Drop Down 1" hidden="1">
          <a:extLst>
            <a:ext uri="{FF2B5EF4-FFF2-40B4-BE49-F238E27FC236}">
              <a16:creationId xmlns:a16="http://schemas.microsoft.com/office/drawing/2014/main" id="{00000000-0008-0000-0100-00002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762" name="Drop Down 1" hidden="1">
          <a:extLst>
            <a:ext uri="{FF2B5EF4-FFF2-40B4-BE49-F238E27FC236}">
              <a16:creationId xmlns:a16="http://schemas.microsoft.com/office/drawing/2014/main" id="{00000000-0008-0000-0100-00002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763" name="Drop Down 1" hidden="1">
          <a:extLst>
            <a:ext uri="{FF2B5EF4-FFF2-40B4-BE49-F238E27FC236}">
              <a16:creationId xmlns:a16="http://schemas.microsoft.com/office/drawing/2014/main" id="{00000000-0008-0000-0100-00002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764" name="Drop Down 2" hidden="1">
          <a:extLst>
            <a:ext uri="{FF2B5EF4-FFF2-40B4-BE49-F238E27FC236}">
              <a16:creationId xmlns:a16="http://schemas.microsoft.com/office/drawing/2014/main" id="{00000000-0008-0000-0100-00002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765" name="Drop Down 1" hidden="1">
          <a:extLst>
            <a:ext uri="{FF2B5EF4-FFF2-40B4-BE49-F238E27FC236}">
              <a16:creationId xmlns:a16="http://schemas.microsoft.com/office/drawing/2014/main" id="{00000000-0008-0000-0100-00002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766" name="Drop Down -1022" hidden="1">
          <a:extLst>
            <a:ext uri="{FF2B5EF4-FFF2-40B4-BE49-F238E27FC236}">
              <a16:creationId xmlns:a16="http://schemas.microsoft.com/office/drawing/2014/main" id="{00000000-0008-0000-0100-00002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767" name="Drop Down 1" hidden="1">
          <a:extLst>
            <a:ext uri="{FF2B5EF4-FFF2-40B4-BE49-F238E27FC236}">
              <a16:creationId xmlns:a16="http://schemas.microsoft.com/office/drawing/2014/main" id="{00000000-0008-0000-0100-00002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768" name="Drop Down 1" hidden="1">
          <a:extLst>
            <a:ext uri="{FF2B5EF4-FFF2-40B4-BE49-F238E27FC236}">
              <a16:creationId xmlns:a16="http://schemas.microsoft.com/office/drawing/2014/main" id="{00000000-0008-0000-0100-00002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769" name="Drop Down 1" hidden="1">
          <a:extLst>
            <a:ext uri="{FF2B5EF4-FFF2-40B4-BE49-F238E27FC236}">
              <a16:creationId xmlns:a16="http://schemas.microsoft.com/office/drawing/2014/main" id="{00000000-0008-0000-0100-00002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770" name="Drop Down 1" hidden="1">
          <a:extLst>
            <a:ext uri="{FF2B5EF4-FFF2-40B4-BE49-F238E27FC236}">
              <a16:creationId xmlns:a16="http://schemas.microsoft.com/office/drawing/2014/main" id="{00000000-0008-0000-0100-00002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771" name="Drop Down 2" hidden="1">
          <a:extLst>
            <a:ext uri="{FF2B5EF4-FFF2-40B4-BE49-F238E27FC236}">
              <a16:creationId xmlns:a16="http://schemas.microsoft.com/office/drawing/2014/main" id="{00000000-0008-0000-0100-00002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772" name="Drop Down 1" hidden="1">
          <a:extLst>
            <a:ext uri="{FF2B5EF4-FFF2-40B4-BE49-F238E27FC236}">
              <a16:creationId xmlns:a16="http://schemas.microsoft.com/office/drawing/2014/main" id="{00000000-0008-0000-0100-00002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773" name="Drop Down -1022" hidden="1">
          <a:extLst>
            <a:ext uri="{FF2B5EF4-FFF2-40B4-BE49-F238E27FC236}">
              <a16:creationId xmlns:a16="http://schemas.microsoft.com/office/drawing/2014/main" id="{00000000-0008-0000-0100-00002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74" name="Drop Down 1" hidden="1">
          <a:extLst>
            <a:ext uri="{FF2B5EF4-FFF2-40B4-BE49-F238E27FC236}">
              <a16:creationId xmlns:a16="http://schemas.microsoft.com/office/drawing/2014/main" id="{00000000-0008-0000-0100-00002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75" name="Drop Down 1" hidden="1">
          <a:extLst>
            <a:ext uri="{FF2B5EF4-FFF2-40B4-BE49-F238E27FC236}">
              <a16:creationId xmlns:a16="http://schemas.microsoft.com/office/drawing/2014/main" id="{00000000-0008-0000-0100-00002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76" name="Drop Down 1" hidden="1">
          <a:extLst>
            <a:ext uri="{FF2B5EF4-FFF2-40B4-BE49-F238E27FC236}">
              <a16:creationId xmlns:a16="http://schemas.microsoft.com/office/drawing/2014/main" id="{00000000-0008-0000-0100-00003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77" name="Drop Down 1" hidden="1">
          <a:extLst>
            <a:ext uri="{FF2B5EF4-FFF2-40B4-BE49-F238E27FC236}">
              <a16:creationId xmlns:a16="http://schemas.microsoft.com/office/drawing/2014/main" id="{00000000-0008-0000-0100-00003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78" name="Drop Down 2" hidden="1">
          <a:extLst>
            <a:ext uri="{FF2B5EF4-FFF2-40B4-BE49-F238E27FC236}">
              <a16:creationId xmlns:a16="http://schemas.microsoft.com/office/drawing/2014/main" id="{00000000-0008-0000-0100-00003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79" name="Drop Down 1" hidden="1">
          <a:extLst>
            <a:ext uri="{FF2B5EF4-FFF2-40B4-BE49-F238E27FC236}">
              <a16:creationId xmlns:a16="http://schemas.microsoft.com/office/drawing/2014/main" id="{00000000-0008-0000-0100-00003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80" name="Drop Down -1022" hidden="1">
          <a:extLst>
            <a:ext uri="{FF2B5EF4-FFF2-40B4-BE49-F238E27FC236}">
              <a16:creationId xmlns:a16="http://schemas.microsoft.com/office/drawing/2014/main" id="{00000000-0008-0000-0100-00003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81" name="Drop Down 1" hidden="1">
          <a:extLst>
            <a:ext uri="{FF2B5EF4-FFF2-40B4-BE49-F238E27FC236}">
              <a16:creationId xmlns:a16="http://schemas.microsoft.com/office/drawing/2014/main" id="{00000000-0008-0000-0100-00003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82" name="Drop Down 1" hidden="1">
          <a:extLst>
            <a:ext uri="{FF2B5EF4-FFF2-40B4-BE49-F238E27FC236}">
              <a16:creationId xmlns:a16="http://schemas.microsoft.com/office/drawing/2014/main" id="{00000000-0008-0000-0100-00003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83" name="Drop Down 1" hidden="1">
          <a:extLst>
            <a:ext uri="{FF2B5EF4-FFF2-40B4-BE49-F238E27FC236}">
              <a16:creationId xmlns:a16="http://schemas.microsoft.com/office/drawing/2014/main" id="{00000000-0008-0000-0100-00003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84" name="Drop Down 1" hidden="1">
          <a:extLst>
            <a:ext uri="{FF2B5EF4-FFF2-40B4-BE49-F238E27FC236}">
              <a16:creationId xmlns:a16="http://schemas.microsoft.com/office/drawing/2014/main" id="{00000000-0008-0000-0100-00003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85" name="Drop Down 2" hidden="1">
          <a:extLst>
            <a:ext uri="{FF2B5EF4-FFF2-40B4-BE49-F238E27FC236}">
              <a16:creationId xmlns:a16="http://schemas.microsoft.com/office/drawing/2014/main" id="{00000000-0008-0000-0100-00003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86" name="Drop Down 1" hidden="1">
          <a:extLst>
            <a:ext uri="{FF2B5EF4-FFF2-40B4-BE49-F238E27FC236}">
              <a16:creationId xmlns:a16="http://schemas.microsoft.com/office/drawing/2014/main" id="{00000000-0008-0000-0100-00003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87" name="Drop Down -1022" hidden="1">
          <a:extLst>
            <a:ext uri="{FF2B5EF4-FFF2-40B4-BE49-F238E27FC236}">
              <a16:creationId xmlns:a16="http://schemas.microsoft.com/office/drawing/2014/main" id="{00000000-0008-0000-0100-00003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88" name="Drop Down 1" hidden="1">
          <a:extLst>
            <a:ext uri="{FF2B5EF4-FFF2-40B4-BE49-F238E27FC236}">
              <a16:creationId xmlns:a16="http://schemas.microsoft.com/office/drawing/2014/main" id="{00000000-0008-0000-0100-00003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89" name="Drop Down 1" hidden="1">
          <a:extLst>
            <a:ext uri="{FF2B5EF4-FFF2-40B4-BE49-F238E27FC236}">
              <a16:creationId xmlns:a16="http://schemas.microsoft.com/office/drawing/2014/main" id="{00000000-0008-0000-0100-00003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90" name="Drop Down 1" hidden="1">
          <a:extLst>
            <a:ext uri="{FF2B5EF4-FFF2-40B4-BE49-F238E27FC236}">
              <a16:creationId xmlns:a16="http://schemas.microsoft.com/office/drawing/2014/main" id="{00000000-0008-0000-0100-00003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91" name="Drop Down 1" hidden="1">
          <a:extLst>
            <a:ext uri="{FF2B5EF4-FFF2-40B4-BE49-F238E27FC236}">
              <a16:creationId xmlns:a16="http://schemas.microsoft.com/office/drawing/2014/main" id="{00000000-0008-0000-0100-00003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92" name="Drop Down 2" hidden="1">
          <a:extLst>
            <a:ext uri="{FF2B5EF4-FFF2-40B4-BE49-F238E27FC236}">
              <a16:creationId xmlns:a16="http://schemas.microsoft.com/office/drawing/2014/main" id="{00000000-0008-0000-0100-00004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93" name="Drop Down 1" hidden="1">
          <a:extLst>
            <a:ext uri="{FF2B5EF4-FFF2-40B4-BE49-F238E27FC236}">
              <a16:creationId xmlns:a16="http://schemas.microsoft.com/office/drawing/2014/main" id="{00000000-0008-0000-0100-00004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794" name="Drop Down -1022" hidden="1">
          <a:extLst>
            <a:ext uri="{FF2B5EF4-FFF2-40B4-BE49-F238E27FC236}">
              <a16:creationId xmlns:a16="http://schemas.microsoft.com/office/drawing/2014/main" id="{00000000-0008-0000-0100-00004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95" name="Drop Down 1" hidden="1">
          <a:extLst>
            <a:ext uri="{FF2B5EF4-FFF2-40B4-BE49-F238E27FC236}">
              <a16:creationId xmlns:a16="http://schemas.microsoft.com/office/drawing/2014/main" id="{00000000-0008-0000-0100-00004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96" name="Drop Down 1" hidden="1">
          <a:extLst>
            <a:ext uri="{FF2B5EF4-FFF2-40B4-BE49-F238E27FC236}">
              <a16:creationId xmlns:a16="http://schemas.microsoft.com/office/drawing/2014/main" id="{00000000-0008-0000-0100-00004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97" name="Drop Down 1" hidden="1">
          <a:extLst>
            <a:ext uri="{FF2B5EF4-FFF2-40B4-BE49-F238E27FC236}">
              <a16:creationId xmlns:a16="http://schemas.microsoft.com/office/drawing/2014/main" id="{00000000-0008-0000-0100-00004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98" name="Drop Down 1" hidden="1">
          <a:extLst>
            <a:ext uri="{FF2B5EF4-FFF2-40B4-BE49-F238E27FC236}">
              <a16:creationId xmlns:a16="http://schemas.microsoft.com/office/drawing/2014/main" id="{00000000-0008-0000-0100-00004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799" name="Drop Down 2" hidden="1">
          <a:extLst>
            <a:ext uri="{FF2B5EF4-FFF2-40B4-BE49-F238E27FC236}">
              <a16:creationId xmlns:a16="http://schemas.microsoft.com/office/drawing/2014/main" id="{00000000-0008-0000-0100-00004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00" name="Drop Down 1" hidden="1">
          <a:extLst>
            <a:ext uri="{FF2B5EF4-FFF2-40B4-BE49-F238E27FC236}">
              <a16:creationId xmlns:a16="http://schemas.microsoft.com/office/drawing/2014/main" id="{00000000-0008-0000-0100-00004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01" name="Drop Down -1022" hidden="1">
          <a:extLst>
            <a:ext uri="{FF2B5EF4-FFF2-40B4-BE49-F238E27FC236}">
              <a16:creationId xmlns:a16="http://schemas.microsoft.com/office/drawing/2014/main" id="{00000000-0008-0000-0100-00004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02" name="Drop Down 1" hidden="1">
          <a:extLst>
            <a:ext uri="{FF2B5EF4-FFF2-40B4-BE49-F238E27FC236}">
              <a16:creationId xmlns:a16="http://schemas.microsoft.com/office/drawing/2014/main" id="{00000000-0008-0000-0100-00004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03" name="Drop Down 1" hidden="1">
          <a:extLst>
            <a:ext uri="{FF2B5EF4-FFF2-40B4-BE49-F238E27FC236}">
              <a16:creationId xmlns:a16="http://schemas.microsoft.com/office/drawing/2014/main" id="{00000000-0008-0000-0100-00004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04" name="Drop Down 1" hidden="1">
          <a:extLst>
            <a:ext uri="{FF2B5EF4-FFF2-40B4-BE49-F238E27FC236}">
              <a16:creationId xmlns:a16="http://schemas.microsoft.com/office/drawing/2014/main" id="{00000000-0008-0000-0100-00004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05" name="Drop Down 1" hidden="1">
          <a:extLst>
            <a:ext uri="{FF2B5EF4-FFF2-40B4-BE49-F238E27FC236}">
              <a16:creationId xmlns:a16="http://schemas.microsoft.com/office/drawing/2014/main" id="{00000000-0008-0000-0100-00004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06" name="Drop Down 2" hidden="1">
          <a:extLst>
            <a:ext uri="{FF2B5EF4-FFF2-40B4-BE49-F238E27FC236}">
              <a16:creationId xmlns:a16="http://schemas.microsoft.com/office/drawing/2014/main" id="{00000000-0008-0000-0100-00004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07" name="Drop Down 1" hidden="1">
          <a:extLst>
            <a:ext uri="{FF2B5EF4-FFF2-40B4-BE49-F238E27FC236}">
              <a16:creationId xmlns:a16="http://schemas.microsoft.com/office/drawing/2014/main" id="{00000000-0008-0000-0100-00004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08" name="Drop Down -1022" hidden="1">
          <a:extLst>
            <a:ext uri="{FF2B5EF4-FFF2-40B4-BE49-F238E27FC236}">
              <a16:creationId xmlns:a16="http://schemas.microsoft.com/office/drawing/2014/main" id="{00000000-0008-0000-0100-00005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09" name="Drop Down 1" hidden="1">
          <a:extLst>
            <a:ext uri="{FF2B5EF4-FFF2-40B4-BE49-F238E27FC236}">
              <a16:creationId xmlns:a16="http://schemas.microsoft.com/office/drawing/2014/main" id="{00000000-0008-0000-0100-00005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10" name="Drop Down 1" hidden="1">
          <a:extLst>
            <a:ext uri="{FF2B5EF4-FFF2-40B4-BE49-F238E27FC236}">
              <a16:creationId xmlns:a16="http://schemas.microsoft.com/office/drawing/2014/main" id="{00000000-0008-0000-0100-00005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11" name="Drop Down 1" hidden="1">
          <a:extLst>
            <a:ext uri="{FF2B5EF4-FFF2-40B4-BE49-F238E27FC236}">
              <a16:creationId xmlns:a16="http://schemas.microsoft.com/office/drawing/2014/main" id="{00000000-0008-0000-0100-00005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12" name="Drop Down 1" hidden="1">
          <a:extLst>
            <a:ext uri="{FF2B5EF4-FFF2-40B4-BE49-F238E27FC236}">
              <a16:creationId xmlns:a16="http://schemas.microsoft.com/office/drawing/2014/main" id="{00000000-0008-0000-0100-00005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13" name="Drop Down 2" hidden="1">
          <a:extLst>
            <a:ext uri="{FF2B5EF4-FFF2-40B4-BE49-F238E27FC236}">
              <a16:creationId xmlns:a16="http://schemas.microsoft.com/office/drawing/2014/main" id="{00000000-0008-0000-0100-00005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14" name="Drop Down 1" hidden="1">
          <a:extLst>
            <a:ext uri="{FF2B5EF4-FFF2-40B4-BE49-F238E27FC236}">
              <a16:creationId xmlns:a16="http://schemas.microsoft.com/office/drawing/2014/main" id="{00000000-0008-0000-0100-00005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15" name="Drop Down -1022" hidden="1">
          <a:extLst>
            <a:ext uri="{FF2B5EF4-FFF2-40B4-BE49-F238E27FC236}">
              <a16:creationId xmlns:a16="http://schemas.microsoft.com/office/drawing/2014/main" id="{00000000-0008-0000-0100-00005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16" name="Drop Down 1" hidden="1">
          <a:extLst>
            <a:ext uri="{FF2B5EF4-FFF2-40B4-BE49-F238E27FC236}">
              <a16:creationId xmlns:a16="http://schemas.microsoft.com/office/drawing/2014/main" id="{00000000-0008-0000-0100-00005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17" name="Drop Down 1" hidden="1">
          <a:extLst>
            <a:ext uri="{FF2B5EF4-FFF2-40B4-BE49-F238E27FC236}">
              <a16:creationId xmlns:a16="http://schemas.microsoft.com/office/drawing/2014/main" id="{00000000-0008-0000-0100-00005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18" name="Drop Down 1" hidden="1">
          <a:extLst>
            <a:ext uri="{FF2B5EF4-FFF2-40B4-BE49-F238E27FC236}">
              <a16:creationId xmlns:a16="http://schemas.microsoft.com/office/drawing/2014/main" id="{00000000-0008-0000-0100-00005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19" name="Drop Down 1" hidden="1">
          <a:extLst>
            <a:ext uri="{FF2B5EF4-FFF2-40B4-BE49-F238E27FC236}">
              <a16:creationId xmlns:a16="http://schemas.microsoft.com/office/drawing/2014/main" id="{00000000-0008-0000-0100-00005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20" name="Drop Down 2" hidden="1">
          <a:extLst>
            <a:ext uri="{FF2B5EF4-FFF2-40B4-BE49-F238E27FC236}">
              <a16:creationId xmlns:a16="http://schemas.microsoft.com/office/drawing/2014/main" id="{00000000-0008-0000-0100-00005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21" name="Drop Down 1" hidden="1">
          <a:extLst>
            <a:ext uri="{FF2B5EF4-FFF2-40B4-BE49-F238E27FC236}">
              <a16:creationId xmlns:a16="http://schemas.microsoft.com/office/drawing/2014/main" id="{00000000-0008-0000-0100-00005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22" name="Drop Down -1022" hidden="1">
          <a:extLst>
            <a:ext uri="{FF2B5EF4-FFF2-40B4-BE49-F238E27FC236}">
              <a16:creationId xmlns:a16="http://schemas.microsoft.com/office/drawing/2014/main" id="{00000000-0008-0000-0100-00005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23" name="Drop Down 1" hidden="1">
          <a:extLst>
            <a:ext uri="{FF2B5EF4-FFF2-40B4-BE49-F238E27FC236}">
              <a16:creationId xmlns:a16="http://schemas.microsoft.com/office/drawing/2014/main" id="{00000000-0008-0000-0100-00005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24" name="Drop Down 1" hidden="1">
          <a:extLst>
            <a:ext uri="{FF2B5EF4-FFF2-40B4-BE49-F238E27FC236}">
              <a16:creationId xmlns:a16="http://schemas.microsoft.com/office/drawing/2014/main" id="{00000000-0008-0000-0100-00006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25" name="Drop Down 1" hidden="1">
          <a:extLst>
            <a:ext uri="{FF2B5EF4-FFF2-40B4-BE49-F238E27FC236}">
              <a16:creationId xmlns:a16="http://schemas.microsoft.com/office/drawing/2014/main" id="{00000000-0008-0000-0100-00006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26" name="Drop Down 1" hidden="1">
          <a:extLst>
            <a:ext uri="{FF2B5EF4-FFF2-40B4-BE49-F238E27FC236}">
              <a16:creationId xmlns:a16="http://schemas.microsoft.com/office/drawing/2014/main" id="{00000000-0008-0000-0100-00006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27" name="Drop Down 2" hidden="1">
          <a:extLst>
            <a:ext uri="{FF2B5EF4-FFF2-40B4-BE49-F238E27FC236}">
              <a16:creationId xmlns:a16="http://schemas.microsoft.com/office/drawing/2014/main" id="{00000000-0008-0000-0100-00006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28" name="Drop Down 1" hidden="1">
          <a:extLst>
            <a:ext uri="{FF2B5EF4-FFF2-40B4-BE49-F238E27FC236}">
              <a16:creationId xmlns:a16="http://schemas.microsoft.com/office/drawing/2014/main" id="{00000000-0008-0000-0100-00006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29" name="Drop Down -1022" hidden="1">
          <a:extLst>
            <a:ext uri="{FF2B5EF4-FFF2-40B4-BE49-F238E27FC236}">
              <a16:creationId xmlns:a16="http://schemas.microsoft.com/office/drawing/2014/main" id="{00000000-0008-0000-0100-00006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30" name="Drop Down 1" hidden="1">
          <a:extLst>
            <a:ext uri="{FF2B5EF4-FFF2-40B4-BE49-F238E27FC236}">
              <a16:creationId xmlns:a16="http://schemas.microsoft.com/office/drawing/2014/main" id="{00000000-0008-0000-0100-00006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31" name="Drop Down 1" hidden="1">
          <a:extLst>
            <a:ext uri="{FF2B5EF4-FFF2-40B4-BE49-F238E27FC236}">
              <a16:creationId xmlns:a16="http://schemas.microsoft.com/office/drawing/2014/main" id="{00000000-0008-0000-0100-00006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32" name="Drop Down 1" hidden="1">
          <a:extLst>
            <a:ext uri="{FF2B5EF4-FFF2-40B4-BE49-F238E27FC236}">
              <a16:creationId xmlns:a16="http://schemas.microsoft.com/office/drawing/2014/main" id="{00000000-0008-0000-0100-00006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33" name="Drop Down 1" hidden="1">
          <a:extLst>
            <a:ext uri="{FF2B5EF4-FFF2-40B4-BE49-F238E27FC236}">
              <a16:creationId xmlns:a16="http://schemas.microsoft.com/office/drawing/2014/main" id="{00000000-0008-0000-0100-00006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34" name="Drop Down 2" hidden="1">
          <a:extLst>
            <a:ext uri="{FF2B5EF4-FFF2-40B4-BE49-F238E27FC236}">
              <a16:creationId xmlns:a16="http://schemas.microsoft.com/office/drawing/2014/main" id="{00000000-0008-0000-0100-00006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35" name="Drop Down 1" hidden="1">
          <a:extLst>
            <a:ext uri="{FF2B5EF4-FFF2-40B4-BE49-F238E27FC236}">
              <a16:creationId xmlns:a16="http://schemas.microsoft.com/office/drawing/2014/main" id="{00000000-0008-0000-0100-00006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36" name="Drop Down -1022" hidden="1">
          <a:extLst>
            <a:ext uri="{FF2B5EF4-FFF2-40B4-BE49-F238E27FC236}">
              <a16:creationId xmlns:a16="http://schemas.microsoft.com/office/drawing/2014/main" id="{00000000-0008-0000-0100-00006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37" name="Drop Down 1" hidden="1">
          <a:extLst>
            <a:ext uri="{FF2B5EF4-FFF2-40B4-BE49-F238E27FC236}">
              <a16:creationId xmlns:a16="http://schemas.microsoft.com/office/drawing/2014/main" id="{00000000-0008-0000-0100-00006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38" name="Drop Down 1" hidden="1">
          <a:extLst>
            <a:ext uri="{FF2B5EF4-FFF2-40B4-BE49-F238E27FC236}">
              <a16:creationId xmlns:a16="http://schemas.microsoft.com/office/drawing/2014/main" id="{00000000-0008-0000-0100-00006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39" name="Drop Down 1" hidden="1">
          <a:extLst>
            <a:ext uri="{FF2B5EF4-FFF2-40B4-BE49-F238E27FC236}">
              <a16:creationId xmlns:a16="http://schemas.microsoft.com/office/drawing/2014/main" id="{00000000-0008-0000-0100-00006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40" name="Drop Down 1" hidden="1">
          <a:extLst>
            <a:ext uri="{FF2B5EF4-FFF2-40B4-BE49-F238E27FC236}">
              <a16:creationId xmlns:a16="http://schemas.microsoft.com/office/drawing/2014/main" id="{00000000-0008-0000-0100-00007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41" name="Drop Down 2" hidden="1">
          <a:extLst>
            <a:ext uri="{FF2B5EF4-FFF2-40B4-BE49-F238E27FC236}">
              <a16:creationId xmlns:a16="http://schemas.microsoft.com/office/drawing/2014/main" id="{00000000-0008-0000-0100-00007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42" name="Drop Down 1" hidden="1">
          <a:extLst>
            <a:ext uri="{FF2B5EF4-FFF2-40B4-BE49-F238E27FC236}">
              <a16:creationId xmlns:a16="http://schemas.microsoft.com/office/drawing/2014/main" id="{00000000-0008-0000-0100-00007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43" name="Drop Down -1022" hidden="1">
          <a:extLst>
            <a:ext uri="{FF2B5EF4-FFF2-40B4-BE49-F238E27FC236}">
              <a16:creationId xmlns:a16="http://schemas.microsoft.com/office/drawing/2014/main" id="{00000000-0008-0000-0100-00007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844" name="Drop Down 1" hidden="1">
          <a:extLst>
            <a:ext uri="{FF2B5EF4-FFF2-40B4-BE49-F238E27FC236}">
              <a16:creationId xmlns:a16="http://schemas.microsoft.com/office/drawing/2014/main" id="{00000000-0008-0000-0100-00007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845" name="Drop Down 1" hidden="1">
          <a:extLst>
            <a:ext uri="{FF2B5EF4-FFF2-40B4-BE49-F238E27FC236}">
              <a16:creationId xmlns:a16="http://schemas.microsoft.com/office/drawing/2014/main" id="{00000000-0008-0000-0100-00007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846" name="Drop Down 1" hidden="1">
          <a:extLst>
            <a:ext uri="{FF2B5EF4-FFF2-40B4-BE49-F238E27FC236}">
              <a16:creationId xmlns:a16="http://schemas.microsoft.com/office/drawing/2014/main" id="{00000000-0008-0000-0100-00007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847" name="Drop Down 1" hidden="1">
          <a:extLst>
            <a:ext uri="{FF2B5EF4-FFF2-40B4-BE49-F238E27FC236}">
              <a16:creationId xmlns:a16="http://schemas.microsoft.com/office/drawing/2014/main" id="{00000000-0008-0000-0100-00007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848" name="Drop Down 2" hidden="1">
          <a:extLst>
            <a:ext uri="{FF2B5EF4-FFF2-40B4-BE49-F238E27FC236}">
              <a16:creationId xmlns:a16="http://schemas.microsoft.com/office/drawing/2014/main" id="{00000000-0008-0000-0100-00007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849" name="Drop Down 1" hidden="1">
          <a:extLst>
            <a:ext uri="{FF2B5EF4-FFF2-40B4-BE49-F238E27FC236}">
              <a16:creationId xmlns:a16="http://schemas.microsoft.com/office/drawing/2014/main" id="{00000000-0008-0000-0100-00007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850" name="Drop Down -1022" hidden="1">
          <a:extLst>
            <a:ext uri="{FF2B5EF4-FFF2-40B4-BE49-F238E27FC236}">
              <a16:creationId xmlns:a16="http://schemas.microsoft.com/office/drawing/2014/main" id="{00000000-0008-0000-0100-00007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851" name="Drop Down 1" hidden="1">
          <a:extLst>
            <a:ext uri="{FF2B5EF4-FFF2-40B4-BE49-F238E27FC236}">
              <a16:creationId xmlns:a16="http://schemas.microsoft.com/office/drawing/2014/main" id="{00000000-0008-0000-0100-00007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852" name="Drop Down 1" hidden="1">
          <a:extLst>
            <a:ext uri="{FF2B5EF4-FFF2-40B4-BE49-F238E27FC236}">
              <a16:creationId xmlns:a16="http://schemas.microsoft.com/office/drawing/2014/main" id="{00000000-0008-0000-0100-00007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853" name="Drop Down 1" hidden="1">
          <a:extLst>
            <a:ext uri="{FF2B5EF4-FFF2-40B4-BE49-F238E27FC236}">
              <a16:creationId xmlns:a16="http://schemas.microsoft.com/office/drawing/2014/main" id="{00000000-0008-0000-0100-00007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854" name="Drop Down 1" hidden="1">
          <a:extLst>
            <a:ext uri="{FF2B5EF4-FFF2-40B4-BE49-F238E27FC236}">
              <a16:creationId xmlns:a16="http://schemas.microsoft.com/office/drawing/2014/main" id="{00000000-0008-0000-0100-00007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855" name="Drop Down 2" hidden="1">
          <a:extLst>
            <a:ext uri="{FF2B5EF4-FFF2-40B4-BE49-F238E27FC236}">
              <a16:creationId xmlns:a16="http://schemas.microsoft.com/office/drawing/2014/main" id="{00000000-0008-0000-0100-00007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856" name="Drop Down 1" hidden="1">
          <a:extLst>
            <a:ext uri="{FF2B5EF4-FFF2-40B4-BE49-F238E27FC236}">
              <a16:creationId xmlns:a16="http://schemas.microsoft.com/office/drawing/2014/main" id="{00000000-0008-0000-0100-00008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857" name="Drop Down -1022" hidden="1">
          <a:extLst>
            <a:ext uri="{FF2B5EF4-FFF2-40B4-BE49-F238E27FC236}">
              <a16:creationId xmlns:a16="http://schemas.microsoft.com/office/drawing/2014/main" id="{00000000-0008-0000-0100-00008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58" name="Drop Down 1" hidden="1">
          <a:extLst>
            <a:ext uri="{FF2B5EF4-FFF2-40B4-BE49-F238E27FC236}">
              <a16:creationId xmlns:a16="http://schemas.microsoft.com/office/drawing/2014/main" id="{00000000-0008-0000-0100-00008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59" name="Drop Down 1" hidden="1">
          <a:extLst>
            <a:ext uri="{FF2B5EF4-FFF2-40B4-BE49-F238E27FC236}">
              <a16:creationId xmlns:a16="http://schemas.microsoft.com/office/drawing/2014/main" id="{00000000-0008-0000-0100-00008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60" name="Drop Down 1" hidden="1">
          <a:extLst>
            <a:ext uri="{FF2B5EF4-FFF2-40B4-BE49-F238E27FC236}">
              <a16:creationId xmlns:a16="http://schemas.microsoft.com/office/drawing/2014/main" id="{00000000-0008-0000-0100-00008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61" name="Drop Down 1" hidden="1">
          <a:extLst>
            <a:ext uri="{FF2B5EF4-FFF2-40B4-BE49-F238E27FC236}">
              <a16:creationId xmlns:a16="http://schemas.microsoft.com/office/drawing/2014/main" id="{00000000-0008-0000-0100-00008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62" name="Drop Down 2" hidden="1">
          <a:extLst>
            <a:ext uri="{FF2B5EF4-FFF2-40B4-BE49-F238E27FC236}">
              <a16:creationId xmlns:a16="http://schemas.microsoft.com/office/drawing/2014/main" id="{00000000-0008-0000-0100-00008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63" name="Drop Down 1" hidden="1">
          <a:extLst>
            <a:ext uri="{FF2B5EF4-FFF2-40B4-BE49-F238E27FC236}">
              <a16:creationId xmlns:a16="http://schemas.microsoft.com/office/drawing/2014/main" id="{00000000-0008-0000-0100-00008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64" name="Drop Down -1022" hidden="1">
          <a:extLst>
            <a:ext uri="{FF2B5EF4-FFF2-40B4-BE49-F238E27FC236}">
              <a16:creationId xmlns:a16="http://schemas.microsoft.com/office/drawing/2014/main" id="{00000000-0008-0000-0100-00008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65" name="Drop Down 1" hidden="1">
          <a:extLst>
            <a:ext uri="{FF2B5EF4-FFF2-40B4-BE49-F238E27FC236}">
              <a16:creationId xmlns:a16="http://schemas.microsoft.com/office/drawing/2014/main" id="{00000000-0008-0000-0100-00008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66" name="Drop Down 1" hidden="1">
          <a:extLst>
            <a:ext uri="{FF2B5EF4-FFF2-40B4-BE49-F238E27FC236}">
              <a16:creationId xmlns:a16="http://schemas.microsoft.com/office/drawing/2014/main" id="{00000000-0008-0000-0100-00008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67" name="Drop Down 1" hidden="1">
          <a:extLst>
            <a:ext uri="{FF2B5EF4-FFF2-40B4-BE49-F238E27FC236}">
              <a16:creationId xmlns:a16="http://schemas.microsoft.com/office/drawing/2014/main" id="{00000000-0008-0000-0100-00008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68" name="Drop Down 1" hidden="1">
          <a:extLst>
            <a:ext uri="{FF2B5EF4-FFF2-40B4-BE49-F238E27FC236}">
              <a16:creationId xmlns:a16="http://schemas.microsoft.com/office/drawing/2014/main" id="{00000000-0008-0000-0100-00008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69" name="Drop Down 2" hidden="1">
          <a:extLst>
            <a:ext uri="{FF2B5EF4-FFF2-40B4-BE49-F238E27FC236}">
              <a16:creationId xmlns:a16="http://schemas.microsoft.com/office/drawing/2014/main" id="{00000000-0008-0000-0100-00008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70" name="Drop Down 1" hidden="1">
          <a:extLst>
            <a:ext uri="{FF2B5EF4-FFF2-40B4-BE49-F238E27FC236}">
              <a16:creationId xmlns:a16="http://schemas.microsoft.com/office/drawing/2014/main" id="{00000000-0008-0000-0100-00008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71" name="Drop Down -1022" hidden="1">
          <a:extLst>
            <a:ext uri="{FF2B5EF4-FFF2-40B4-BE49-F238E27FC236}">
              <a16:creationId xmlns:a16="http://schemas.microsoft.com/office/drawing/2014/main" id="{00000000-0008-0000-0100-00008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72" name="Drop Down 1" hidden="1">
          <a:extLst>
            <a:ext uri="{FF2B5EF4-FFF2-40B4-BE49-F238E27FC236}">
              <a16:creationId xmlns:a16="http://schemas.microsoft.com/office/drawing/2014/main" id="{00000000-0008-0000-0100-00009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73" name="Drop Down 1" hidden="1">
          <a:extLst>
            <a:ext uri="{FF2B5EF4-FFF2-40B4-BE49-F238E27FC236}">
              <a16:creationId xmlns:a16="http://schemas.microsoft.com/office/drawing/2014/main" id="{00000000-0008-0000-0100-00009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74" name="Drop Down 1" hidden="1">
          <a:extLst>
            <a:ext uri="{FF2B5EF4-FFF2-40B4-BE49-F238E27FC236}">
              <a16:creationId xmlns:a16="http://schemas.microsoft.com/office/drawing/2014/main" id="{00000000-0008-0000-0100-00009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75" name="Drop Down 1" hidden="1">
          <a:extLst>
            <a:ext uri="{FF2B5EF4-FFF2-40B4-BE49-F238E27FC236}">
              <a16:creationId xmlns:a16="http://schemas.microsoft.com/office/drawing/2014/main" id="{00000000-0008-0000-0100-00009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76" name="Drop Down 2" hidden="1">
          <a:extLst>
            <a:ext uri="{FF2B5EF4-FFF2-40B4-BE49-F238E27FC236}">
              <a16:creationId xmlns:a16="http://schemas.microsoft.com/office/drawing/2014/main" id="{00000000-0008-0000-0100-00009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77" name="Drop Down 1" hidden="1">
          <a:extLst>
            <a:ext uri="{FF2B5EF4-FFF2-40B4-BE49-F238E27FC236}">
              <a16:creationId xmlns:a16="http://schemas.microsoft.com/office/drawing/2014/main" id="{00000000-0008-0000-0100-00009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78" name="Drop Down -1022" hidden="1">
          <a:extLst>
            <a:ext uri="{FF2B5EF4-FFF2-40B4-BE49-F238E27FC236}">
              <a16:creationId xmlns:a16="http://schemas.microsoft.com/office/drawing/2014/main" id="{00000000-0008-0000-0100-00009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79" name="Drop Down 1" hidden="1">
          <a:extLst>
            <a:ext uri="{FF2B5EF4-FFF2-40B4-BE49-F238E27FC236}">
              <a16:creationId xmlns:a16="http://schemas.microsoft.com/office/drawing/2014/main" id="{00000000-0008-0000-0100-00009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80" name="Drop Down 1" hidden="1">
          <a:extLst>
            <a:ext uri="{FF2B5EF4-FFF2-40B4-BE49-F238E27FC236}">
              <a16:creationId xmlns:a16="http://schemas.microsoft.com/office/drawing/2014/main" id="{00000000-0008-0000-0100-00009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81" name="Drop Down 1" hidden="1">
          <a:extLst>
            <a:ext uri="{FF2B5EF4-FFF2-40B4-BE49-F238E27FC236}">
              <a16:creationId xmlns:a16="http://schemas.microsoft.com/office/drawing/2014/main" id="{00000000-0008-0000-0100-00009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82" name="Drop Down 1" hidden="1">
          <a:extLst>
            <a:ext uri="{FF2B5EF4-FFF2-40B4-BE49-F238E27FC236}">
              <a16:creationId xmlns:a16="http://schemas.microsoft.com/office/drawing/2014/main" id="{00000000-0008-0000-0100-00009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83" name="Drop Down 2" hidden="1">
          <a:extLst>
            <a:ext uri="{FF2B5EF4-FFF2-40B4-BE49-F238E27FC236}">
              <a16:creationId xmlns:a16="http://schemas.microsoft.com/office/drawing/2014/main" id="{00000000-0008-0000-0100-00009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84" name="Drop Down 1" hidden="1">
          <a:extLst>
            <a:ext uri="{FF2B5EF4-FFF2-40B4-BE49-F238E27FC236}">
              <a16:creationId xmlns:a16="http://schemas.microsoft.com/office/drawing/2014/main" id="{00000000-0008-0000-0100-00009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85" name="Drop Down -1022" hidden="1">
          <a:extLst>
            <a:ext uri="{FF2B5EF4-FFF2-40B4-BE49-F238E27FC236}">
              <a16:creationId xmlns:a16="http://schemas.microsoft.com/office/drawing/2014/main" id="{00000000-0008-0000-0100-00009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86" name="Drop Down 1" hidden="1">
          <a:extLst>
            <a:ext uri="{FF2B5EF4-FFF2-40B4-BE49-F238E27FC236}">
              <a16:creationId xmlns:a16="http://schemas.microsoft.com/office/drawing/2014/main" id="{00000000-0008-0000-0100-00009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87" name="Drop Down 1" hidden="1">
          <a:extLst>
            <a:ext uri="{FF2B5EF4-FFF2-40B4-BE49-F238E27FC236}">
              <a16:creationId xmlns:a16="http://schemas.microsoft.com/office/drawing/2014/main" id="{00000000-0008-0000-0100-00009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88" name="Drop Down 1" hidden="1">
          <a:extLst>
            <a:ext uri="{FF2B5EF4-FFF2-40B4-BE49-F238E27FC236}">
              <a16:creationId xmlns:a16="http://schemas.microsoft.com/office/drawing/2014/main" id="{00000000-0008-0000-0100-0000A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89" name="Drop Down 1" hidden="1">
          <a:extLst>
            <a:ext uri="{FF2B5EF4-FFF2-40B4-BE49-F238E27FC236}">
              <a16:creationId xmlns:a16="http://schemas.microsoft.com/office/drawing/2014/main" id="{00000000-0008-0000-0100-0000A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90" name="Drop Down 2" hidden="1">
          <a:extLst>
            <a:ext uri="{FF2B5EF4-FFF2-40B4-BE49-F238E27FC236}">
              <a16:creationId xmlns:a16="http://schemas.microsoft.com/office/drawing/2014/main" id="{00000000-0008-0000-0100-0000A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91" name="Drop Down 1" hidden="1">
          <a:extLst>
            <a:ext uri="{FF2B5EF4-FFF2-40B4-BE49-F238E27FC236}">
              <a16:creationId xmlns:a16="http://schemas.microsoft.com/office/drawing/2014/main" id="{00000000-0008-0000-0100-0000A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892" name="Drop Down -1022" hidden="1">
          <a:extLst>
            <a:ext uri="{FF2B5EF4-FFF2-40B4-BE49-F238E27FC236}">
              <a16:creationId xmlns:a16="http://schemas.microsoft.com/office/drawing/2014/main" id="{00000000-0008-0000-0100-0000A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93" name="Drop Down 1" hidden="1">
          <a:extLst>
            <a:ext uri="{FF2B5EF4-FFF2-40B4-BE49-F238E27FC236}">
              <a16:creationId xmlns:a16="http://schemas.microsoft.com/office/drawing/2014/main" id="{00000000-0008-0000-0100-0000A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94" name="Drop Down 1" hidden="1">
          <a:extLst>
            <a:ext uri="{FF2B5EF4-FFF2-40B4-BE49-F238E27FC236}">
              <a16:creationId xmlns:a16="http://schemas.microsoft.com/office/drawing/2014/main" id="{00000000-0008-0000-0100-0000A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95" name="Drop Down 1" hidden="1">
          <a:extLst>
            <a:ext uri="{FF2B5EF4-FFF2-40B4-BE49-F238E27FC236}">
              <a16:creationId xmlns:a16="http://schemas.microsoft.com/office/drawing/2014/main" id="{00000000-0008-0000-0100-0000A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96" name="Drop Down 1" hidden="1">
          <a:extLst>
            <a:ext uri="{FF2B5EF4-FFF2-40B4-BE49-F238E27FC236}">
              <a16:creationId xmlns:a16="http://schemas.microsoft.com/office/drawing/2014/main" id="{00000000-0008-0000-0100-0000A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97" name="Drop Down 2" hidden="1">
          <a:extLst>
            <a:ext uri="{FF2B5EF4-FFF2-40B4-BE49-F238E27FC236}">
              <a16:creationId xmlns:a16="http://schemas.microsoft.com/office/drawing/2014/main" id="{00000000-0008-0000-0100-0000A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98" name="Drop Down 1" hidden="1">
          <a:extLst>
            <a:ext uri="{FF2B5EF4-FFF2-40B4-BE49-F238E27FC236}">
              <a16:creationId xmlns:a16="http://schemas.microsoft.com/office/drawing/2014/main" id="{00000000-0008-0000-0100-0000A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899" name="Drop Down -1022" hidden="1">
          <a:extLst>
            <a:ext uri="{FF2B5EF4-FFF2-40B4-BE49-F238E27FC236}">
              <a16:creationId xmlns:a16="http://schemas.microsoft.com/office/drawing/2014/main" id="{00000000-0008-0000-0100-0000A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00" name="Drop Down 1" hidden="1">
          <a:extLst>
            <a:ext uri="{FF2B5EF4-FFF2-40B4-BE49-F238E27FC236}">
              <a16:creationId xmlns:a16="http://schemas.microsoft.com/office/drawing/2014/main" id="{00000000-0008-0000-0100-0000A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01" name="Drop Down 1" hidden="1">
          <a:extLst>
            <a:ext uri="{FF2B5EF4-FFF2-40B4-BE49-F238E27FC236}">
              <a16:creationId xmlns:a16="http://schemas.microsoft.com/office/drawing/2014/main" id="{00000000-0008-0000-0100-0000A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02" name="Drop Down 1" hidden="1">
          <a:extLst>
            <a:ext uri="{FF2B5EF4-FFF2-40B4-BE49-F238E27FC236}">
              <a16:creationId xmlns:a16="http://schemas.microsoft.com/office/drawing/2014/main" id="{00000000-0008-0000-0100-0000A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03" name="Drop Down 1" hidden="1">
          <a:extLst>
            <a:ext uri="{FF2B5EF4-FFF2-40B4-BE49-F238E27FC236}">
              <a16:creationId xmlns:a16="http://schemas.microsoft.com/office/drawing/2014/main" id="{00000000-0008-0000-0100-0000A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04" name="Drop Down 2" hidden="1">
          <a:extLst>
            <a:ext uri="{FF2B5EF4-FFF2-40B4-BE49-F238E27FC236}">
              <a16:creationId xmlns:a16="http://schemas.microsoft.com/office/drawing/2014/main" id="{00000000-0008-0000-0100-0000B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05" name="Drop Down 1" hidden="1">
          <a:extLst>
            <a:ext uri="{FF2B5EF4-FFF2-40B4-BE49-F238E27FC236}">
              <a16:creationId xmlns:a16="http://schemas.microsoft.com/office/drawing/2014/main" id="{00000000-0008-0000-0100-0000B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06" name="Drop Down -1022" hidden="1">
          <a:extLst>
            <a:ext uri="{FF2B5EF4-FFF2-40B4-BE49-F238E27FC236}">
              <a16:creationId xmlns:a16="http://schemas.microsoft.com/office/drawing/2014/main" id="{00000000-0008-0000-0100-0000B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07" name="Drop Down 1" hidden="1">
          <a:extLst>
            <a:ext uri="{FF2B5EF4-FFF2-40B4-BE49-F238E27FC236}">
              <a16:creationId xmlns:a16="http://schemas.microsoft.com/office/drawing/2014/main" id="{00000000-0008-0000-0100-0000B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08" name="Drop Down 1" hidden="1">
          <a:extLst>
            <a:ext uri="{FF2B5EF4-FFF2-40B4-BE49-F238E27FC236}">
              <a16:creationId xmlns:a16="http://schemas.microsoft.com/office/drawing/2014/main" id="{00000000-0008-0000-0100-0000B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09" name="Drop Down 1" hidden="1">
          <a:extLst>
            <a:ext uri="{FF2B5EF4-FFF2-40B4-BE49-F238E27FC236}">
              <a16:creationId xmlns:a16="http://schemas.microsoft.com/office/drawing/2014/main" id="{00000000-0008-0000-0100-0000B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10" name="Drop Down 1" hidden="1">
          <a:extLst>
            <a:ext uri="{FF2B5EF4-FFF2-40B4-BE49-F238E27FC236}">
              <a16:creationId xmlns:a16="http://schemas.microsoft.com/office/drawing/2014/main" id="{00000000-0008-0000-0100-0000B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11" name="Drop Down 2" hidden="1">
          <a:extLst>
            <a:ext uri="{FF2B5EF4-FFF2-40B4-BE49-F238E27FC236}">
              <a16:creationId xmlns:a16="http://schemas.microsoft.com/office/drawing/2014/main" id="{00000000-0008-0000-0100-0000B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12" name="Drop Down 1" hidden="1">
          <a:extLst>
            <a:ext uri="{FF2B5EF4-FFF2-40B4-BE49-F238E27FC236}">
              <a16:creationId xmlns:a16="http://schemas.microsoft.com/office/drawing/2014/main" id="{00000000-0008-0000-0100-0000B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13" name="Drop Down -1022" hidden="1">
          <a:extLst>
            <a:ext uri="{FF2B5EF4-FFF2-40B4-BE49-F238E27FC236}">
              <a16:creationId xmlns:a16="http://schemas.microsoft.com/office/drawing/2014/main" id="{00000000-0008-0000-0100-0000B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14" name="Drop Down 1" hidden="1">
          <a:extLst>
            <a:ext uri="{FF2B5EF4-FFF2-40B4-BE49-F238E27FC236}">
              <a16:creationId xmlns:a16="http://schemas.microsoft.com/office/drawing/2014/main" id="{00000000-0008-0000-0100-0000B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15" name="Drop Down 1" hidden="1">
          <a:extLst>
            <a:ext uri="{FF2B5EF4-FFF2-40B4-BE49-F238E27FC236}">
              <a16:creationId xmlns:a16="http://schemas.microsoft.com/office/drawing/2014/main" id="{00000000-0008-0000-0100-0000B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16" name="Drop Down 1" hidden="1">
          <a:extLst>
            <a:ext uri="{FF2B5EF4-FFF2-40B4-BE49-F238E27FC236}">
              <a16:creationId xmlns:a16="http://schemas.microsoft.com/office/drawing/2014/main" id="{00000000-0008-0000-0100-0000B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17" name="Drop Down 1" hidden="1">
          <a:extLst>
            <a:ext uri="{FF2B5EF4-FFF2-40B4-BE49-F238E27FC236}">
              <a16:creationId xmlns:a16="http://schemas.microsoft.com/office/drawing/2014/main" id="{00000000-0008-0000-0100-0000B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18" name="Drop Down 2" hidden="1">
          <a:extLst>
            <a:ext uri="{FF2B5EF4-FFF2-40B4-BE49-F238E27FC236}">
              <a16:creationId xmlns:a16="http://schemas.microsoft.com/office/drawing/2014/main" id="{00000000-0008-0000-0100-0000B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19" name="Drop Down 1" hidden="1">
          <a:extLst>
            <a:ext uri="{FF2B5EF4-FFF2-40B4-BE49-F238E27FC236}">
              <a16:creationId xmlns:a16="http://schemas.microsoft.com/office/drawing/2014/main" id="{00000000-0008-0000-0100-0000B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20" name="Drop Down -1022" hidden="1">
          <a:extLst>
            <a:ext uri="{FF2B5EF4-FFF2-40B4-BE49-F238E27FC236}">
              <a16:creationId xmlns:a16="http://schemas.microsoft.com/office/drawing/2014/main" id="{00000000-0008-0000-0100-0000C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21" name="Drop Down 1" hidden="1">
          <a:extLst>
            <a:ext uri="{FF2B5EF4-FFF2-40B4-BE49-F238E27FC236}">
              <a16:creationId xmlns:a16="http://schemas.microsoft.com/office/drawing/2014/main" id="{00000000-0008-0000-0100-0000C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22" name="Drop Down 1" hidden="1">
          <a:extLst>
            <a:ext uri="{FF2B5EF4-FFF2-40B4-BE49-F238E27FC236}">
              <a16:creationId xmlns:a16="http://schemas.microsoft.com/office/drawing/2014/main" id="{00000000-0008-0000-0100-0000C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23" name="Drop Down 1" hidden="1">
          <a:extLst>
            <a:ext uri="{FF2B5EF4-FFF2-40B4-BE49-F238E27FC236}">
              <a16:creationId xmlns:a16="http://schemas.microsoft.com/office/drawing/2014/main" id="{00000000-0008-0000-0100-0000C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24" name="Drop Down 1" hidden="1">
          <a:extLst>
            <a:ext uri="{FF2B5EF4-FFF2-40B4-BE49-F238E27FC236}">
              <a16:creationId xmlns:a16="http://schemas.microsoft.com/office/drawing/2014/main" id="{00000000-0008-0000-0100-0000C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25" name="Drop Down 2" hidden="1">
          <a:extLst>
            <a:ext uri="{FF2B5EF4-FFF2-40B4-BE49-F238E27FC236}">
              <a16:creationId xmlns:a16="http://schemas.microsoft.com/office/drawing/2014/main" id="{00000000-0008-0000-0100-0000C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26" name="Drop Down 1" hidden="1">
          <a:extLst>
            <a:ext uri="{FF2B5EF4-FFF2-40B4-BE49-F238E27FC236}">
              <a16:creationId xmlns:a16="http://schemas.microsoft.com/office/drawing/2014/main" id="{00000000-0008-0000-0100-0000C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27" name="Drop Down -1022" hidden="1">
          <a:extLst>
            <a:ext uri="{FF2B5EF4-FFF2-40B4-BE49-F238E27FC236}">
              <a16:creationId xmlns:a16="http://schemas.microsoft.com/office/drawing/2014/main" id="{00000000-0008-0000-0100-0000C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928" name="Drop Down 1" hidden="1">
          <a:extLst>
            <a:ext uri="{FF2B5EF4-FFF2-40B4-BE49-F238E27FC236}">
              <a16:creationId xmlns:a16="http://schemas.microsoft.com/office/drawing/2014/main" id="{00000000-0008-0000-0100-0000C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929" name="Drop Down 1" hidden="1">
          <a:extLst>
            <a:ext uri="{FF2B5EF4-FFF2-40B4-BE49-F238E27FC236}">
              <a16:creationId xmlns:a16="http://schemas.microsoft.com/office/drawing/2014/main" id="{00000000-0008-0000-0100-0000C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930" name="Drop Down 1" hidden="1">
          <a:extLst>
            <a:ext uri="{FF2B5EF4-FFF2-40B4-BE49-F238E27FC236}">
              <a16:creationId xmlns:a16="http://schemas.microsoft.com/office/drawing/2014/main" id="{00000000-0008-0000-0100-0000C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931" name="Drop Down 1" hidden="1">
          <a:extLst>
            <a:ext uri="{FF2B5EF4-FFF2-40B4-BE49-F238E27FC236}">
              <a16:creationId xmlns:a16="http://schemas.microsoft.com/office/drawing/2014/main" id="{00000000-0008-0000-0100-0000C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932" name="Drop Down 2" hidden="1">
          <a:extLst>
            <a:ext uri="{FF2B5EF4-FFF2-40B4-BE49-F238E27FC236}">
              <a16:creationId xmlns:a16="http://schemas.microsoft.com/office/drawing/2014/main" id="{00000000-0008-0000-0100-0000C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933" name="Drop Down 1" hidden="1">
          <a:extLst>
            <a:ext uri="{FF2B5EF4-FFF2-40B4-BE49-F238E27FC236}">
              <a16:creationId xmlns:a16="http://schemas.microsoft.com/office/drawing/2014/main" id="{00000000-0008-0000-0100-0000C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9934" name="Drop Down -1022" hidden="1">
          <a:extLst>
            <a:ext uri="{FF2B5EF4-FFF2-40B4-BE49-F238E27FC236}">
              <a16:creationId xmlns:a16="http://schemas.microsoft.com/office/drawing/2014/main" id="{00000000-0008-0000-0100-0000C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935" name="Drop Down 1" hidden="1">
          <a:extLst>
            <a:ext uri="{FF2B5EF4-FFF2-40B4-BE49-F238E27FC236}">
              <a16:creationId xmlns:a16="http://schemas.microsoft.com/office/drawing/2014/main" id="{00000000-0008-0000-0100-0000C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936" name="Drop Down 1" hidden="1">
          <a:extLst>
            <a:ext uri="{FF2B5EF4-FFF2-40B4-BE49-F238E27FC236}">
              <a16:creationId xmlns:a16="http://schemas.microsoft.com/office/drawing/2014/main" id="{00000000-0008-0000-0100-0000D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937" name="Drop Down 1" hidden="1">
          <a:extLst>
            <a:ext uri="{FF2B5EF4-FFF2-40B4-BE49-F238E27FC236}">
              <a16:creationId xmlns:a16="http://schemas.microsoft.com/office/drawing/2014/main" id="{00000000-0008-0000-0100-0000D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938" name="Drop Down 1" hidden="1">
          <a:extLst>
            <a:ext uri="{FF2B5EF4-FFF2-40B4-BE49-F238E27FC236}">
              <a16:creationId xmlns:a16="http://schemas.microsoft.com/office/drawing/2014/main" id="{00000000-0008-0000-0100-0000D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939" name="Drop Down 2" hidden="1">
          <a:extLst>
            <a:ext uri="{FF2B5EF4-FFF2-40B4-BE49-F238E27FC236}">
              <a16:creationId xmlns:a16="http://schemas.microsoft.com/office/drawing/2014/main" id="{00000000-0008-0000-0100-0000D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940" name="Drop Down 1" hidden="1">
          <a:extLst>
            <a:ext uri="{FF2B5EF4-FFF2-40B4-BE49-F238E27FC236}">
              <a16:creationId xmlns:a16="http://schemas.microsoft.com/office/drawing/2014/main" id="{00000000-0008-0000-0100-0000D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9941" name="Drop Down -1022" hidden="1">
          <a:extLst>
            <a:ext uri="{FF2B5EF4-FFF2-40B4-BE49-F238E27FC236}">
              <a16:creationId xmlns:a16="http://schemas.microsoft.com/office/drawing/2014/main" id="{00000000-0008-0000-0100-0000D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42" name="Drop Down 1" hidden="1">
          <a:extLst>
            <a:ext uri="{FF2B5EF4-FFF2-40B4-BE49-F238E27FC236}">
              <a16:creationId xmlns:a16="http://schemas.microsoft.com/office/drawing/2014/main" id="{00000000-0008-0000-0100-0000D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43" name="Drop Down 1" hidden="1">
          <a:extLst>
            <a:ext uri="{FF2B5EF4-FFF2-40B4-BE49-F238E27FC236}">
              <a16:creationId xmlns:a16="http://schemas.microsoft.com/office/drawing/2014/main" id="{00000000-0008-0000-0100-0000D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44" name="Drop Down 1" hidden="1">
          <a:extLst>
            <a:ext uri="{FF2B5EF4-FFF2-40B4-BE49-F238E27FC236}">
              <a16:creationId xmlns:a16="http://schemas.microsoft.com/office/drawing/2014/main" id="{00000000-0008-0000-0100-0000D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45" name="Drop Down 1" hidden="1">
          <a:extLst>
            <a:ext uri="{FF2B5EF4-FFF2-40B4-BE49-F238E27FC236}">
              <a16:creationId xmlns:a16="http://schemas.microsoft.com/office/drawing/2014/main" id="{00000000-0008-0000-0100-0000D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46" name="Drop Down 2" hidden="1">
          <a:extLst>
            <a:ext uri="{FF2B5EF4-FFF2-40B4-BE49-F238E27FC236}">
              <a16:creationId xmlns:a16="http://schemas.microsoft.com/office/drawing/2014/main" id="{00000000-0008-0000-0100-0000D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47" name="Drop Down 1" hidden="1">
          <a:extLst>
            <a:ext uri="{FF2B5EF4-FFF2-40B4-BE49-F238E27FC236}">
              <a16:creationId xmlns:a16="http://schemas.microsoft.com/office/drawing/2014/main" id="{00000000-0008-0000-0100-0000D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48" name="Drop Down -1022" hidden="1">
          <a:extLst>
            <a:ext uri="{FF2B5EF4-FFF2-40B4-BE49-F238E27FC236}">
              <a16:creationId xmlns:a16="http://schemas.microsoft.com/office/drawing/2014/main" id="{00000000-0008-0000-0100-0000D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49" name="Drop Down 1" hidden="1">
          <a:extLst>
            <a:ext uri="{FF2B5EF4-FFF2-40B4-BE49-F238E27FC236}">
              <a16:creationId xmlns:a16="http://schemas.microsoft.com/office/drawing/2014/main" id="{00000000-0008-0000-0100-0000D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50" name="Drop Down 1" hidden="1">
          <a:extLst>
            <a:ext uri="{FF2B5EF4-FFF2-40B4-BE49-F238E27FC236}">
              <a16:creationId xmlns:a16="http://schemas.microsoft.com/office/drawing/2014/main" id="{00000000-0008-0000-0100-0000D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51" name="Drop Down 1" hidden="1">
          <a:extLst>
            <a:ext uri="{FF2B5EF4-FFF2-40B4-BE49-F238E27FC236}">
              <a16:creationId xmlns:a16="http://schemas.microsoft.com/office/drawing/2014/main" id="{00000000-0008-0000-0100-0000D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52" name="Drop Down 1" hidden="1">
          <a:extLst>
            <a:ext uri="{FF2B5EF4-FFF2-40B4-BE49-F238E27FC236}">
              <a16:creationId xmlns:a16="http://schemas.microsoft.com/office/drawing/2014/main" id="{00000000-0008-0000-0100-0000E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53" name="Drop Down 2" hidden="1">
          <a:extLst>
            <a:ext uri="{FF2B5EF4-FFF2-40B4-BE49-F238E27FC236}">
              <a16:creationId xmlns:a16="http://schemas.microsoft.com/office/drawing/2014/main" id="{00000000-0008-0000-0100-0000E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54" name="Drop Down 1" hidden="1">
          <a:extLst>
            <a:ext uri="{FF2B5EF4-FFF2-40B4-BE49-F238E27FC236}">
              <a16:creationId xmlns:a16="http://schemas.microsoft.com/office/drawing/2014/main" id="{00000000-0008-0000-0100-0000E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55" name="Drop Down -1022" hidden="1">
          <a:extLst>
            <a:ext uri="{FF2B5EF4-FFF2-40B4-BE49-F238E27FC236}">
              <a16:creationId xmlns:a16="http://schemas.microsoft.com/office/drawing/2014/main" id="{00000000-0008-0000-0100-0000E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56" name="Drop Down 1" hidden="1">
          <a:extLst>
            <a:ext uri="{FF2B5EF4-FFF2-40B4-BE49-F238E27FC236}">
              <a16:creationId xmlns:a16="http://schemas.microsoft.com/office/drawing/2014/main" id="{00000000-0008-0000-0100-0000E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57" name="Drop Down 1" hidden="1">
          <a:extLst>
            <a:ext uri="{FF2B5EF4-FFF2-40B4-BE49-F238E27FC236}">
              <a16:creationId xmlns:a16="http://schemas.microsoft.com/office/drawing/2014/main" id="{00000000-0008-0000-0100-0000E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58" name="Drop Down 1" hidden="1">
          <a:extLst>
            <a:ext uri="{FF2B5EF4-FFF2-40B4-BE49-F238E27FC236}">
              <a16:creationId xmlns:a16="http://schemas.microsoft.com/office/drawing/2014/main" id="{00000000-0008-0000-0100-0000E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59" name="Drop Down 1" hidden="1">
          <a:extLst>
            <a:ext uri="{FF2B5EF4-FFF2-40B4-BE49-F238E27FC236}">
              <a16:creationId xmlns:a16="http://schemas.microsoft.com/office/drawing/2014/main" id="{00000000-0008-0000-0100-0000E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60" name="Drop Down 2" hidden="1">
          <a:extLst>
            <a:ext uri="{FF2B5EF4-FFF2-40B4-BE49-F238E27FC236}">
              <a16:creationId xmlns:a16="http://schemas.microsoft.com/office/drawing/2014/main" id="{00000000-0008-0000-0100-0000E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61" name="Drop Down 1" hidden="1">
          <a:extLst>
            <a:ext uri="{FF2B5EF4-FFF2-40B4-BE49-F238E27FC236}">
              <a16:creationId xmlns:a16="http://schemas.microsoft.com/office/drawing/2014/main" id="{00000000-0008-0000-0100-0000E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62" name="Drop Down -1022" hidden="1">
          <a:extLst>
            <a:ext uri="{FF2B5EF4-FFF2-40B4-BE49-F238E27FC236}">
              <a16:creationId xmlns:a16="http://schemas.microsoft.com/office/drawing/2014/main" id="{00000000-0008-0000-0100-0000E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63" name="Drop Down 1" hidden="1">
          <a:extLst>
            <a:ext uri="{FF2B5EF4-FFF2-40B4-BE49-F238E27FC236}">
              <a16:creationId xmlns:a16="http://schemas.microsoft.com/office/drawing/2014/main" id="{00000000-0008-0000-0100-0000E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64" name="Drop Down 1" hidden="1">
          <a:extLst>
            <a:ext uri="{FF2B5EF4-FFF2-40B4-BE49-F238E27FC236}">
              <a16:creationId xmlns:a16="http://schemas.microsoft.com/office/drawing/2014/main" id="{00000000-0008-0000-0100-0000E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65" name="Drop Down 1" hidden="1">
          <a:extLst>
            <a:ext uri="{FF2B5EF4-FFF2-40B4-BE49-F238E27FC236}">
              <a16:creationId xmlns:a16="http://schemas.microsoft.com/office/drawing/2014/main" id="{00000000-0008-0000-0100-0000E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66" name="Drop Down 1" hidden="1">
          <a:extLst>
            <a:ext uri="{FF2B5EF4-FFF2-40B4-BE49-F238E27FC236}">
              <a16:creationId xmlns:a16="http://schemas.microsoft.com/office/drawing/2014/main" id="{00000000-0008-0000-0100-0000E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67" name="Drop Down 2" hidden="1">
          <a:extLst>
            <a:ext uri="{FF2B5EF4-FFF2-40B4-BE49-F238E27FC236}">
              <a16:creationId xmlns:a16="http://schemas.microsoft.com/office/drawing/2014/main" id="{00000000-0008-0000-0100-0000E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68" name="Drop Down 1" hidden="1">
          <a:extLst>
            <a:ext uri="{FF2B5EF4-FFF2-40B4-BE49-F238E27FC236}">
              <a16:creationId xmlns:a16="http://schemas.microsoft.com/office/drawing/2014/main" id="{00000000-0008-0000-0100-0000F0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69" name="Drop Down -1022" hidden="1">
          <a:extLst>
            <a:ext uri="{FF2B5EF4-FFF2-40B4-BE49-F238E27FC236}">
              <a16:creationId xmlns:a16="http://schemas.microsoft.com/office/drawing/2014/main" id="{00000000-0008-0000-0100-0000F1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70" name="Drop Down 1" hidden="1">
          <a:extLst>
            <a:ext uri="{FF2B5EF4-FFF2-40B4-BE49-F238E27FC236}">
              <a16:creationId xmlns:a16="http://schemas.microsoft.com/office/drawing/2014/main" id="{00000000-0008-0000-0100-0000F2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71" name="Drop Down 1" hidden="1">
          <a:extLst>
            <a:ext uri="{FF2B5EF4-FFF2-40B4-BE49-F238E27FC236}">
              <a16:creationId xmlns:a16="http://schemas.microsoft.com/office/drawing/2014/main" id="{00000000-0008-0000-0100-0000F3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72" name="Drop Down 1" hidden="1">
          <a:extLst>
            <a:ext uri="{FF2B5EF4-FFF2-40B4-BE49-F238E27FC236}">
              <a16:creationId xmlns:a16="http://schemas.microsoft.com/office/drawing/2014/main" id="{00000000-0008-0000-0100-0000F4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73" name="Drop Down 1" hidden="1">
          <a:extLst>
            <a:ext uri="{FF2B5EF4-FFF2-40B4-BE49-F238E27FC236}">
              <a16:creationId xmlns:a16="http://schemas.microsoft.com/office/drawing/2014/main" id="{00000000-0008-0000-0100-0000F5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74" name="Drop Down 2" hidden="1">
          <a:extLst>
            <a:ext uri="{FF2B5EF4-FFF2-40B4-BE49-F238E27FC236}">
              <a16:creationId xmlns:a16="http://schemas.microsoft.com/office/drawing/2014/main" id="{00000000-0008-0000-0100-0000F6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75" name="Drop Down 1" hidden="1">
          <a:extLst>
            <a:ext uri="{FF2B5EF4-FFF2-40B4-BE49-F238E27FC236}">
              <a16:creationId xmlns:a16="http://schemas.microsoft.com/office/drawing/2014/main" id="{00000000-0008-0000-0100-0000F7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76" name="Drop Down -1022" hidden="1">
          <a:extLst>
            <a:ext uri="{FF2B5EF4-FFF2-40B4-BE49-F238E27FC236}">
              <a16:creationId xmlns:a16="http://schemas.microsoft.com/office/drawing/2014/main" id="{00000000-0008-0000-0100-0000F8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77" name="Drop Down 1" hidden="1">
          <a:extLst>
            <a:ext uri="{FF2B5EF4-FFF2-40B4-BE49-F238E27FC236}">
              <a16:creationId xmlns:a16="http://schemas.microsoft.com/office/drawing/2014/main" id="{00000000-0008-0000-0100-0000F9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78" name="Drop Down 1" hidden="1">
          <a:extLst>
            <a:ext uri="{FF2B5EF4-FFF2-40B4-BE49-F238E27FC236}">
              <a16:creationId xmlns:a16="http://schemas.microsoft.com/office/drawing/2014/main" id="{00000000-0008-0000-0100-0000FA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79" name="Drop Down 1" hidden="1">
          <a:extLst>
            <a:ext uri="{FF2B5EF4-FFF2-40B4-BE49-F238E27FC236}">
              <a16:creationId xmlns:a16="http://schemas.microsoft.com/office/drawing/2014/main" id="{00000000-0008-0000-0100-0000FB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80" name="Drop Down 1" hidden="1">
          <a:extLst>
            <a:ext uri="{FF2B5EF4-FFF2-40B4-BE49-F238E27FC236}">
              <a16:creationId xmlns:a16="http://schemas.microsoft.com/office/drawing/2014/main" id="{00000000-0008-0000-0100-0000FC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81" name="Drop Down 2" hidden="1">
          <a:extLst>
            <a:ext uri="{FF2B5EF4-FFF2-40B4-BE49-F238E27FC236}">
              <a16:creationId xmlns:a16="http://schemas.microsoft.com/office/drawing/2014/main" id="{00000000-0008-0000-0100-0000FD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82" name="Drop Down 1" hidden="1">
          <a:extLst>
            <a:ext uri="{FF2B5EF4-FFF2-40B4-BE49-F238E27FC236}">
              <a16:creationId xmlns:a16="http://schemas.microsoft.com/office/drawing/2014/main" id="{00000000-0008-0000-0100-0000FE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83" name="Drop Down -1022" hidden="1">
          <a:extLst>
            <a:ext uri="{FF2B5EF4-FFF2-40B4-BE49-F238E27FC236}">
              <a16:creationId xmlns:a16="http://schemas.microsoft.com/office/drawing/2014/main" id="{00000000-0008-0000-0100-0000FF26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84" name="Drop Down 1" hidden="1">
          <a:extLst>
            <a:ext uri="{FF2B5EF4-FFF2-40B4-BE49-F238E27FC236}">
              <a16:creationId xmlns:a16="http://schemas.microsoft.com/office/drawing/2014/main" id="{00000000-0008-0000-0100-00000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85" name="Drop Down 1" hidden="1">
          <a:extLst>
            <a:ext uri="{FF2B5EF4-FFF2-40B4-BE49-F238E27FC236}">
              <a16:creationId xmlns:a16="http://schemas.microsoft.com/office/drawing/2014/main" id="{00000000-0008-0000-0100-00000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86" name="Drop Down 1" hidden="1">
          <a:extLst>
            <a:ext uri="{FF2B5EF4-FFF2-40B4-BE49-F238E27FC236}">
              <a16:creationId xmlns:a16="http://schemas.microsoft.com/office/drawing/2014/main" id="{00000000-0008-0000-0100-00000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87" name="Drop Down 1" hidden="1">
          <a:extLst>
            <a:ext uri="{FF2B5EF4-FFF2-40B4-BE49-F238E27FC236}">
              <a16:creationId xmlns:a16="http://schemas.microsoft.com/office/drawing/2014/main" id="{00000000-0008-0000-0100-00000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88" name="Drop Down 2" hidden="1">
          <a:extLst>
            <a:ext uri="{FF2B5EF4-FFF2-40B4-BE49-F238E27FC236}">
              <a16:creationId xmlns:a16="http://schemas.microsoft.com/office/drawing/2014/main" id="{00000000-0008-0000-0100-00000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89" name="Drop Down 1" hidden="1">
          <a:extLst>
            <a:ext uri="{FF2B5EF4-FFF2-40B4-BE49-F238E27FC236}">
              <a16:creationId xmlns:a16="http://schemas.microsoft.com/office/drawing/2014/main" id="{00000000-0008-0000-0100-00000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90" name="Drop Down -1022" hidden="1">
          <a:extLst>
            <a:ext uri="{FF2B5EF4-FFF2-40B4-BE49-F238E27FC236}">
              <a16:creationId xmlns:a16="http://schemas.microsoft.com/office/drawing/2014/main" id="{00000000-0008-0000-0100-00000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91" name="Drop Down 1" hidden="1">
          <a:extLst>
            <a:ext uri="{FF2B5EF4-FFF2-40B4-BE49-F238E27FC236}">
              <a16:creationId xmlns:a16="http://schemas.microsoft.com/office/drawing/2014/main" id="{00000000-0008-0000-0100-00000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92" name="Drop Down 1" hidden="1">
          <a:extLst>
            <a:ext uri="{FF2B5EF4-FFF2-40B4-BE49-F238E27FC236}">
              <a16:creationId xmlns:a16="http://schemas.microsoft.com/office/drawing/2014/main" id="{00000000-0008-0000-0100-00000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93" name="Drop Down 1" hidden="1">
          <a:extLst>
            <a:ext uri="{FF2B5EF4-FFF2-40B4-BE49-F238E27FC236}">
              <a16:creationId xmlns:a16="http://schemas.microsoft.com/office/drawing/2014/main" id="{00000000-0008-0000-0100-00000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94" name="Drop Down 1" hidden="1">
          <a:extLst>
            <a:ext uri="{FF2B5EF4-FFF2-40B4-BE49-F238E27FC236}">
              <a16:creationId xmlns:a16="http://schemas.microsoft.com/office/drawing/2014/main" id="{00000000-0008-0000-0100-00000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95" name="Drop Down 2" hidden="1">
          <a:extLst>
            <a:ext uri="{FF2B5EF4-FFF2-40B4-BE49-F238E27FC236}">
              <a16:creationId xmlns:a16="http://schemas.microsoft.com/office/drawing/2014/main" id="{00000000-0008-0000-0100-00000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96" name="Drop Down 1" hidden="1">
          <a:extLst>
            <a:ext uri="{FF2B5EF4-FFF2-40B4-BE49-F238E27FC236}">
              <a16:creationId xmlns:a16="http://schemas.microsoft.com/office/drawing/2014/main" id="{00000000-0008-0000-0100-00000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9997" name="Drop Down -1022" hidden="1">
          <a:extLst>
            <a:ext uri="{FF2B5EF4-FFF2-40B4-BE49-F238E27FC236}">
              <a16:creationId xmlns:a16="http://schemas.microsoft.com/office/drawing/2014/main" id="{00000000-0008-0000-0100-00000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98" name="Drop Down 1" hidden="1">
          <a:extLst>
            <a:ext uri="{FF2B5EF4-FFF2-40B4-BE49-F238E27FC236}">
              <a16:creationId xmlns:a16="http://schemas.microsoft.com/office/drawing/2014/main" id="{00000000-0008-0000-0100-00000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9999" name="Drop Down 1" hidden="1">
          <a:extLst>
            <a:ext uri="{FF2B5EF4-FFF2-40B4-BE49-F238E27FC236}">
              <a16:creationId xmlns:a16="http://schemas.microsoft.com/office/drawing/2014/main" id="{00000000-0008-0000-0100-00000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00" name="Drop Down 1" hidden="1">
          <a:extLst>
            <a:ext uri="{FF2B5EF4-FFF2-40B4-BE49-F238E27FC236}">
              <a16:creationId xmlns:a16="http://schemas.microsoft.com/office/drawing/2014/main" id="{00000000-0008-0000-0100-00001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01" name="Drop Down 1" hidden="1">
          <a:extLst>
            <a:ext uri="{FF2B5EF4-FFF2-40B4-BE49-F238E27FC236}">
              <a16:creationId xmlns:a16="http://schemas.microsoft.com/office/drawing/2014/main" id="{00000000-0008-0000-0100-00001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02" name="Drop Down 2" hidden="1">
          <a:extLst>
            <a:ext uri="{FF2B5EF4-FFF2-40B4-BE49-F238E27FC236}">
              <a16:creationId xmlns:a16="http://schemas.microsoft.com/office/drawing/2014/main" id="{00000000-0008-0000-0100-00001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03" name="Drop Down 1" hidden="1">
          <a:extLst>
            <a:ext uri="{FF2B5EF4-FFF2-40B4-BE49-F238E27FC236}">
              <a16:creationId xmlns:a16="http://schemas.microsoft.com/office/drawing/2014/main" id="{00000000-0008-0000-0100-00001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04" name="Drop Down -1022" hidden="1">
          <a:extLst>
            <a:ext uri="{FF2B5EF4-FFF2-40B4-BE49-F238E27FC236}">
              <a16:creationId xmlns:a16="http://schemas.microsoft.com/office/drawing/2014/main" id="{00000000-0008-0000-0100-00001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05" name="Drop Down 1" hidden="1">
          <a:extLst>
            <a:ext uri="{FF2B5EF4-FFF2-40B4-BE49-F238E27FC236}">
              <a16:creationId xmlns:a16="http://schemas.microsoft.com/office/drawing/2014/main" id="{00000000-0008-0000-0100-00001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06" name="Drop Down 1" hidden="1">
          <a:extLst>
            <a:ext uri="{FF2B5EF4-FFF2-40B4-BE49-F238E27FC236}">
              <a16:creationId xmlns:a16="http://schemas.microsoft.com/office/drawing/2014/main" id="{00000000-0008-0000-0100-00001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07" name="Drop Down 1" hidden="1">
          <a:extLst>
            <a:ext uri="{FF2B5EF4-FFF2-40B4-BE49-F238E27FC236}">
              <a16:creationId xmlns:a16="http://schemas.microsoft.com/office/drawing/2014/main" id="{00000000-0008-0000-0100-00001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08" name="Drop Down 1" hidden="1">
          <a:extLst>
            <a:ext uri="{FF2B5EF4-FFF2-40B4-BE49-F238E27FC236}">
              <a16:creationId xmlns:a16="http://schemas.microsoft.com/office/drawing/2014/main" id="{00000000-0008-0000-0100-00001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09" name="Drop Down 2" hidden="1">
          <a:extLst>
            <a:ext uri="{FF2B5EF4-FFF2-40B4-BE49-F238E27FC236}">
              <a16:creationId xmlns:a16="http://schemas.microsoft.com/office/drawing/2014/main" id="{00000000-0008-0000-0100-00001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10" name="Drop Down 1" hidden="1">
          <a:extLst>
            <a:ext uri="{FF2B5EF4-FFF2-40B4-BE49-F238E27FC236}">
              <a16:creationId xmlns:a16="http://schemas.microsoft.com/office/drawing/2014/main" id="{00000000-0008-0000-0100-00001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11" name="Drop Down -1022" hidden="1">
          <a:extLst>
            <a:ext uri="{FF2B5EF4-FFF2-40B4-BE49-F238E27FC236}">
              <a16:creationId xmlns:a16="http://schemas.microsoft.com/office/drawing/2014/main" id="{00000000-0008-0000-0100-00001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12" name="Drop Down 1" hidden="1">
          <a:extLst>
            <a:ext uri="{FF2B5EF4-FFF2-40B4-BE49-F238E27FC236}">
              <a16:creationId xmlns:a16="http://schemas.microsoft.com/office/drawing/2014/main" id="{00000000-0008-0000-0100-00001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13" name="Drop Down 1" hidden="1">
          <a:extLst>
            <a:ext uri="{FF2B5EF4-FFF2-40B4-BE49-F238E27FC236}">
              <a16:creationId xmlns:a16="http://schemas.microsoft.com/office/drawing/2014/main" id="{00000000-0008-0000-0100-00001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14" name="Drop Down 1" hidden="1">
          <a:extLst>
            <a:ext uri="{FF2B5EF4-FFF2-40B4-BE49-F238E27FC236}">
              <a16:creationId xmlns:a16="http://schemas.microsoft.com/office/drawing/2014/main" id="{00000000-0008-0000-0100-00001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15" name="Drop Down 1" hidden="1">
          <a:extLst>
            <a:ext uri="{FF2B5EF4-FFF2-40B4-BE49-F238E27FC236}">
              <a16:creationId xmlns:a16="http://schemas.microsoft.com/office/drawing/2014/main" id="{00000000-0008-0000-0100-00001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16" name="Drop Down 2" hidden="1">
          <a:extLst>
            <a:ext uri="{FF2B5EF4-FFF2-40B4-BE49-F238E27FC236}">
              <a16:creationId xmlns:a16="http://schemas.microsoft.com/office/drawing/2014/main" id="{00000000-0008-0000-0100-00002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17" name="Drop Down 1" hidden="1">
          <a:extLst>
            <a:ext uri="{FF2B5EF4-FFF2-40B4-BE49-F238E27FC236}">
              <a16:creationId xmlns:a16="http://schemas.microsoft.com/office/drawing/2014/main" id="{00000000-0008-0000-0100-00002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18" name="Drop Down -1022" hidden="1">
          <a:extLst>
            <a:ext uri="{FF2B5EF4-FFF2-40B4-BE49-F238E27FC236}">
              <a16:creationId xmlns:a16="http://schemas.microsoft.com/office/drawing/2014/main" id="{00000000-0008-0000-0100-00002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019" name="Drop Down 1" hidden="1">
          <a:extLst>
            <a:ext uri="{FF2B5EF4-FFF2-40B4-BE49-F238E27FC236}">
              <a16:creationId xmlns:a16="http://schemas.microsoft.com/office/drawing/2014/main" id="{00000000-0008-0000-0100-00002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020" name="Drop Down 1" hidden="1">
          <a:extLst>
            <a:ext uri="{FF2B5EF4-FFF2-40B4-BE49-F238E27FC236}">
              <a16:creationId xmlns:a16="http://schemas.microsoft.com/office/drawing/2014/main" id="{00000000-0008-0000-0100-00002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021" name="Drop Down 1" hidden="1">
          <a:extLst>
            <a:ext uri="{FF2B5EF4-FFF2-40B4-BE49-F238E27FC236}">
              <a16:creationId xmlns:a16="http://schemas.microsoft.com/office/drawing/2014/main" id="{00000000-0008-0000-0100-00002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022" name="Drop Down 1" hidden="1">
          <a:extLst>
            <a:ext uri="{FF2B5EF4-FFF2-40B4-BE49-F238E27FC236}">
              <a16:creationId xmlns:a16="http://schemas.microsoft.com/office/drawing/2014/main" id="{00000000-0008-0000-0100-00002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023" name="Drop Down 2" hidden="1">
          <a:extLst>
            <a:ext uri="{FF2B5EF4-FFF2-40B4-BE49-F238E27FC236}">
              <a16:creationId xmlns:a16="http://schemas.microsoft.com/office/drawing/2014/main" id="{00000000-0008-0000-0100-00002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024" name="Drop Down 1" hidden="1">
          <a:extLst>
            <a:ext uri="{FF2B5EF4-FFF2-40B4-BE49-F238E27FC236}">
              <a16:creationId xmlns:a16="http://schemas.microsoft.com/office/drawing/2014/main" id="{00000000-0008-0000-0100-00002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025" name="Drop Down -1022" hidden="1">
          <a:extLst>
            <a:ext uri="{FF2B5EF4-FFF2-40B4-BE49-F238E27FC236}">
              <a16:creationId xmlns:a16="http://schemas.microsoft.com/office/drawing/2014/main" id="{00000000-0008-0000-0100-00002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26" name="Drop Down 1" hidden="1">
          <a:extLst>
            <a:ext uri="{FF2B5EF4-FFF2-40B4-BE49-F238E27FC236}">
              <a16:creationId xmlns:a16="http://schemas.microsoft.com/office/drawing/2014/main" id="{00000000-0008-0000-0100-00002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27" name="Drop Down 1" hidden="1">
          <a:extLst>
            <a:ext uri="{FF2B5EF4-FFF2-40B4-BE49-F238E27FC236}">
              <a16:creationId xmlns:a16="http://schemas.microsoft.com/office/drawing/2014/main" id="{00000000-0008-0000-0100-00002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28" name="Drop Down 1" hidden="1">
          <a:extLst>
            <a:ext uri="{FF2B5EF4-FFF2-40B4-BE49-F238E27FC236}">
              <a16:creationId xmlns:a16="http://schemas.microsoft.com/office/drawing/2014/main" id="{00000000-0008-0000-0100-00002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29" name="Drop Down 1" hidden="1">
          <a:extLst>
            <a:ext uri="{FF2B5EF4-FFF2-40B4-BE49-F238E27FC236}">
              <a16:creationId xmlns:a16="http://schemas.microsoft.com/office/drawing/2014/main" id="{00000000-0008-0000-0100-00002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30" name="Drop Down 2" hidden="1">
          <a:extLst>
            <a:ext uri="{FF2B5EF4-FFF2-40B4-BE49-F238E27FC236}">
              <a16:creationId xmlns:a16="http://schemas.microsoft.com/office/drawing/2014/main" id="{00000000-0008-0000-0100-00002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31" name="Drop Down 1" hidden="1">
          <a:extLst>
            <a:ext uri="{FF2B5EF4-FFF2-40B4-BE49-F238E27FC236}">
              <a16:creationId xmlns:a16="http://schemas.microsoft.com/office/drawing/2014/main" id="{00000000-0008-0000-0100-00002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32" name="Drop Down -1022" hidden="1">
          <a:extLst>
            <a:ext uri="{FF2B5EF4-FFF2-40B4-BE49-F238E27FC236}">
              <a16:creationId xmlns:a16="http://schemas.microsoft.com/office/drawing/2014/main" id="{00000000-0008-0000-0100-00003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33" name="Drop Down 1" hidden="1">
          <a:extLst>
            <a:ext uri="{FF2B5EF4-FFF2-40B4-BE49-F238E27FC236}">
              <a16:creationId xmlns:a16="http://schemas.microsoft.com/office/drawing/2014/main" id="{00000000-0008-0000-0100-00003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34" name="Drop Down 1" hidden="1">
          <a:extLst>
            <a:ext uri="{FF2B5EF4-FFF2-40B4-BE49-F238E27FC236}">
              <a16:creationId xmlns:a16="http://schemas.microsoft.com/office/drawing/2014/main" id="{00000000-0008-0000-0100-00003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35" name="Drop Down 1" hidden="1">
          <a:extLst>
            <a:ext uri="{FF2B5EF4-FFF2-40B4-BE49-F238E27FC236}">
              <a16:creationId xmlns:a16="http://schemas.microsoft.com/office/drawing/2014/main" id="{00000000-0008-0000-0100-00003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36" name="Drop Down 1" hidden="1">
          <a:extLst>
            <a:ext uri="{FF2B5EF4-FFF2-40B4-BE49-F238E27FC236}">
              <a16:creationId xmlns:a16="http://schemas.microsoft.com/office/drawing/2014/main" id="{00000000-0008-0000-0100-00003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37" name="Drop Down 2" hidden="1">
          <a:extLst>
            <a:ext uri="{FF2B5EF4-FFF2-40B4-BE49-F238E27FC236}">
              <a16:creationId xmlns:a16="http://schemas.microsoft.com/office/drawing/2014/main" id="{00000000-0008-0000-0100-00003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38" name="Drop Down 1" hidden="1">
          <a:extLst>
            <a:ext uri="{FF2B5EF4-FFF2-40B4-BE49-F238E27FC236}">
              <a16:creationId xmlns:a16="http://schemas.microsoft.com/office/drawing/2014/main" id="{00000000-0008-0000-0100-00003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39" name="Drop Down -1022" hidden="1">
          <a:extLst>
            <a:ext uri="{FF2B5EF4-FFF2-40B4-BE49-F238E27FC236}">
              <a16:creationId xmlns:a16="http://schemas.microsoft.com/office/drawing/2014/main" id="{00000000-0008-0000-0100-00003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40" name="Drop Down 1" hidden="1">
          <a:extLst>
            <a:ext uri="{FF2B5EF4-FFF2-40B4-BE49-F238E27FC236}">
              <a16:creationId xmlns:a16="http://schemas.microsoft.com/office/drawing/2014/main" id="{00000000-0008-0000-0100-00003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41" name="Drop Down 1" hidden="1">
          <a:extLst>
            <a:ext uri="{FF2B5EF4-FFF2-40B4-BE49-F238E27FC236}">
              <a16:creationId xmlns:a16="http://schemas.microsoft.com/office/drawing/2014/main" id="{00000000-0008-0000-0100-00003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42" name="Drop Down 1" hidden="1">
          <a:extLst>
            <a:ext uri="{FF2B5EF4-FFF2-40B4-BE49-F238E27FC236}">
              <a16:creationId xmlns:a16="http://schemas.microsoft.com/office/drawing/2014/main" id="{00000000-0008-0000-0100-00003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43" name="Drop Down 1" hidden="1">
          <a:extLst>
            <a:ext uri="{FF2B5EF4-FFF2-40B4-BE49-F238E27FC236}">
              <a16:creationId xmlns:a16="http://schemas.microsoft.com/office/drawing/2014/main" id="{00000000-0008-0000-0100-00003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44" name="Drop Down 2" hidden="1">
          <a:extLst>
            <a:ext uri="{FF2B5EF4-FFF2-40B4-BE49-F238E27FC236}">
              <a16:creationId xmlns:a16="http://schemas.microsoft.com/office/drawing/2014/main" id="{00000000-0008-0000-0100-00003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45" name="Drop Down 1" hidden="1">
          <a:extLst>
            <a:ext uri="{FF2B5EF4-FFF2-40B4-BE49-F238E27FC236}">
              <a16:creationId xmlns:a16="http://schemas.microsoft.com/office/drawing/2014/main" id="{00000000-0008-0000-0100-00003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46" name="Drop Down -1022" hidden="1">
          <a:extLst>
            <a:ext uri="{FF2B5EF4-FFF2-40B4-BE49-F238E27FC236}">
              <a16:creationId xmlns:a16="http://schemas.microsoft.com/office/drawing/2014/main" id="{00000000-0008-0000-0100-00003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47" name="Drop Down 1" hidden="1">
          <a:extLst>
            <a:ext uri="{FF2B5EF4-FFF2-40B4-BE49-F238E27FC236}">
              <a16:creationId xmlns:a16="http://schemas.microsoft.com/office/drawing/2014/main" id="{00000000-0008-0000-0100-00003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48" name="Drop Down 1" hidden="1">
          <a:extLst>
            <a:ext uri="{FF2B5EF4-FFF2-40B4-BE49-F238E27FC236}">
              <a16:creationId xmlns:a16="http://schemas.microsoft.com/office/drawing/2014/main" id="{00000000-0008-0000-0100-00004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49" name="Drop Down 1" hidden="1">
          <a:extLst>
            <a:ext uri="{FF2B5EF4-FFF2-40B4-BE49-F238E27FC236}">
              <a16:creationId xmlns:a16="http://schemas.microsoft.com/office/drawing/2014/main" id="{00000000-0008-0000-0100-00004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50" name="Drop Down 1" hidden="1">
          <a:extLst>
            <a:ext uri="{FF2B5EF4-FFF2-40B4-BE49-F238E27FC236}">
              <a16:creationId xmlns:a16="http://schemas.microsoft.com/office/drawing/2014/main" id="{00000000-0008-0000-0100-00004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51" name="Drop Down 2" hidden="1">
          <a:extLst>
            <a:ext uri="{FF2B5EF4-FFF2-40B4-BE49-F238E27FC236}">
              <a16:creationId xmlns:a16="http://schemas.microsoft.com/office/drawing/2014/main" id="{00000000-0008-0000-0100-00004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52" name="Drop Down 1" hidden="1">
          <a:extLst>
            <a:ext uri="{FF2B5EF4-FFF2-40B4-BE49-F238E27FC236}">
              <a16:creationId xmlns:a16="http://schemas.microsoft.com/office/drawing/2014/main" id="{00000000-0008-0000-0100-00004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53" name="Drop Down -1022" hidden="1">
          <a:extLst>
            <a:ext uri="{FF2B5EF4-FFF2-40B4-BE49-F238E27FC236}">
              <a16:creationId xmlns:a16="http://schemas.microsoft.com/office/drawing/2014/main" id="{00000000-0008-0000-0100-00004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54" name="Drop Down 1" hidden="1">
          <a:extLst>
            <a:ext uri="{FF2B5EF4-FFF2-40B4-BE49-F238E27FC236}">
              <a16:creationId xmlns:a16="http://schemas.microsoft.com/office/drawing/2014/main" id="{00000000-0008-0000-0100-00004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55" name="Drop Down 1" hidden="1">
          <a:extLst>
            <a:ext uri="{FF2B5EF4-FFF2-40B4-BE49-F238E27FC236}">
              <a16:creationId xmlns:a16="http://schemas.microsoft.com/office/drawing/2014/main" id="{00000000-0008-0000-0100-00004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56" name="Drop Down 1" hidden="1">
          <a:extLst>
            <a:ext uri="{FF2B5EF4-FFF2-40B4-BE49-F238E27FC236}">
              <a16:creationId xmlns:a16="http://schemas.microsoft.com/office/drawing/2014/main" id="{00000000-0008-0000-0100-00004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57" name="Drop Down 1" hidden="1">
          <a:extLst>
            <a:ext uri="{FF2B5EF4-FFF2-40B4-BE49-F238E27FC236}">
              <a16:creationId xmlns:a16="http://schemas.microsoft.com/office/drawing/2014/main" id="{00000000-0008-0000-0100-00004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58" name="Drop Down 2" hidden="1">
          <a:extLst>
            <a:ext uri="{FF2B5EF4-FFF2-40B4-BE49-F238E27FC236}">
              <a16:creationId xmlns:a16="http://schemas.microsoft.com/office/drawing/2014/main" id="{00000000-0008-0000-0100-00004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59" name="Drop Down 1" hidden="1">
          <a:extLst>
            <a:ext uri="{FF2B5EF4-FFF2-40B4-BE49-F238E27FC236}">
              <a16:creationId xmlns:a16="http://schemas.microsoft.com/office/drawing/2014/main" id="{00000000-0008-0000-0100-00004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60" name="Drop Down -1022" hidden="1">
          <a:extLst>
            <a:ext uri="{FF2B5EF4-FFF2-40B4-BE49-F238E27FC236}">
              <a16:creationId xmlns:a16="http://schemas.microsoft.com/office/drawing/2014/main" id="{00000000-0008-0000-0100-00004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61" name="Drop Down 1" hidden="1">
          <a:extLst>
            <a:ext uri="{FF2B5EF4-FFF2-40B4-BE49-F238E27FC236}">
              <a16:creationId xmlns:a16="http://schemas.microsoft.com/office/drawing/2014/main" id="{00000000-0008-0000-0100-00004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62" name="Drop Down 1" hidden="1">
          <a:extLst>
            <a:ext uri="{FF2B5EF4-FFF2-40B4-BE49-F238E27FC236}">
              <a16:creationId xmlns:a16="http://schemas.microsoft.com/office/drawing/2014/main" id="{00000000-0008-0000-0100-00004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63" name="Drop Down 1" hidden="1">
          <a:extLst>
            <a:ext uri="{FF2B5EF4-FFF2-40B4-BE49-F238E27FC236}">
              <a16:creationId xmlns:a16="http://schemas.microsoft.com/office/drawing/2014/main" id="{00000000-0008-0000-0100-00004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64" name="Drop Down 1" hidden="1">
          <a:extLst>
            <a:ext uri="{FF2B5EF4-FFF2-40B4-BE49-F238E27FC236}">
              <a16:creationId xmlns:a16="http://schemas.microsoft.com/office/drawing/2014/main" id="{00000000-0008-0000-0100-00005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65" name="Drop Down 2" hidden="1">
          <a:extLst>
            <a:ext uri="{FF2B5EF4-FFF2-40B4-BE49-F238E27FC236}">
              <a16:creationId xmlns:a16="http://schemas.microsoft.com/office/drawing/2014/main" id="{00000000-0008-0000-0100-00005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66" name="Drop Down 1" hidden="1">
          <a:extLst>
            <a:ext uri="{FF2B5EF4-FFF2-40B4-BE49-F238E27FC236}">
              <a16:creationId xmlns:a16="http://schemas.microsoft.com/office/drawing/2014/main" id="{00000000-0008-0000-0100-00005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67" name="Drop Down -1022" hidden="1">
          <a:extLst>
            <a:ext uri="{FF2B5EF4-FFF2-40B4-BE49-F238E27FC236}">
              <a16:creationId xmlns:a16="http://schemas.microsoft.com/office/drawing/2014/main" id="{00000000-0008-0000-0100-00005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68" name="Drop Down 1" hidden="1">
          <a:extLst>
            <a:ext uri="{FF2B5EF4-FFF2-40B4-BE49-F238E27FC236}">
              <a16:creationId xmlns:a16="http://schemas.microsoft.com/office/drawing/2014/main" id="{00000000-0008-0000-0100-00005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69" name="Drop Down 1" hidden="1">
          <a:extLst>
            <a:ext uri="{FF2B5EF4-FFF2-40B4-BE49-F238E27FC236}">
              <a16:creationId xmlns:a16="http://schemas.microsoft.com/office/drawing/2014/main" id="{00000000-0008-0000-0100-00005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70" name="Drop Down 1" hidden="1">
          <a:extLst>
            <a:ext uri="{FF2B5EF4-FFF2-40B4-BE49-F238E27FC236}">
              <a16:creationId xmlns:a16="http://schemas.microsoft.com/office/drawing/2014/main" id="{00000000-0008-0000-0100-00005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71" name="Drop Down 1" hidden="1">
          <a:extLst>
            <a:ext uri="{FF2B5EF4-FFF2-40B4-BE49-F238E27FC236}">
              <a16:creationId xmlns:a16="http://schemas.microsoft.com/office/drawing/2014/main" id="{00000000-0008-0000-0100-00005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72" name="Drop Down 2" hidden="1">
          <a:extLst>
            <a:ext uri="{FF2B5EF4-FFF2-40B4-BE49-F238E27FC236}">
              <a16:creationId xmlns:a16="http://schemas.microsoft.com/office/drawing/2014/main" id="{00000000-0008-0000-0100-00005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73" name="Drop Down 1" hidden="1">
          <a:extLst>
            <a:ext uri="{FF2B5EF4-FFF2-40B4-BE49-F238E27FC236}">
              <a16:creationId xmlns:a16="http://schemas.microsoft.com/office/drawing/2014/main" id="{00000000-0008-0000-0100-00005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74" name="Drop Down -1022" hidden="1">
          <a:extLst>
            <a:ext uri="{FF2B5EF4-FFF2-40B4-BE49-F238E27FC236}">
              <a16:creationId xmlns:a16="http://schemas.microsoft.com/office/drawing/2014/main" id="{00000000-0008-0000-0100-00005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75" name="Drop Down 1" hidden="1">
          <a:extLst>
            <a:ext uri="{FF2B5EF4-FFF2-40B4-BE49-F238E27FC236}">
              <a16:creationId xmlns:a16="http://schemas.microsoft.com/office/drawing/2014/main" id="{00000000-0008-0000-0100-00005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76" name="Drop Down 1" hidden="1">
          <a:extLst>
            <a:ext uri="{FF2B5EF4-FFF2-40B4-BE49-F238E27FC236}">
              <a16:creationId xmlns:a16="http://schemas.microsoft.com/office/drawing/2014/main" id="{00000000-0008-0000-0100-00005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77" name="Drop Down 1" hidden="1">
          <a:extLst>
            <a:ext uri="{FF2B5EF4-FFF2-40B4-BE49-F238E27FC236}">
              <a16:creationId xmlns:a16="http://schemas.microsoft.com/office/drawing/2014/main" id="{00000000-0008-0000-0100-00005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78" name="Drop Down 1" hidden="1">
          <a:extLst>
            <a:ext uri="{FF2B5EF4-FFF2-40B4-BE49-F238E27FC236}">
              <a16:creationId xmlns:a16="http://schemas.microsoft.com/office/drawing/2014/main" id="{00000000-0008-0000-0100-00005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79" name="Drop Down 2" hidden="1">
          <a:extLst>
            <a:ext uri="{FF2B5EF4-FFF2-40B4-BE49-F238E27FC236}">
              <a16:creationId xmlns:a16="http://schemas.microsoft.com/office/drawing/2014/main" id="{00000000-0008-0000-0100-00005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80" name="Drop Down 1" hidden="1">
          <a:extLst>
            <a:ext uri="{FF2B5EF4-FFF2-40B4-BE49-F238E27FC236}">
              <a16:creationId xmlns:a16="http://schemas.microsoft.com/office/drawing/2014/main" id="{00000000-0008-0000-0100-00006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81" name="Drop Down -1022" hidden="1">
          <a:extLst>
            <a:ext uri="{FF2B5EF4-FFF2-40B4-BE49-F238E27FC236}">
              <a16:creationId xmlns:a16="http://schemas.microsoft.com/office/drawing/2014/main" id="{00000000-0008-0000-0100-00006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82" name="Drop Down 1" hidden="1">
          <a:extLst>
            <a:ext uri="{FF2B5EF4-FFF2-40B4-BE49-F238E27FC236}">
              <a16:creationId xmlns:a16="http://schemas.microsoft.com/office/drawing/2014/main" id="{00000000-0008-0000-0100-00006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83" name="Drop Down 1" hidden="1">
          <a:extLst>
            <a:ext uri="{FF2B5EF4-FFF2-40B4-BE49-F238E27FC236}">
              <a16:creationId xmlns:a16="http://schemas.microsoft.com/office/drawing/2014/main" id="{00000000-0008-0000-0100-00006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84" name="Drop Down 1" hidden="1">
          <a:extLst>
            <a:ext uri="{FF2B5EF4-FFF2-40B4-BE49-F238E27FC236}">
              <a16:creationId xmlns:a16="http://schemas.microsoft.com/office/drawing/2014/main" id="{00000000-0008-0000-0100-00006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85" name="Drop Down 1" hidden="1">
          <a:extLst>
            <a:ext uri="{FF2B5EF4-FFF2-40B4-BE49-F238E27FC236}">
              <a16:creationId xmlns:a16="http://schemas.microsoft.com/office/drawing/2014/main" id="{00000000-0008-0000-0100-00006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86" name="Drop Down 2" hidden="1">
          <a:extLst>
            <a:ext uri="{FF2B5EF4-FFF2-40B4-BE49-F238E27FC236}">
              <a16:creationId xmlns:a16="http://schemas.microsoft.com/office/drawing/2014/main" id="{00000000-0008-0000-0100-00006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87" name="Drop Down 1" hidden="1">
          <a:extLst>
            <a:ext uri="{FF2B5EF4-FFF2-40B4-BE49-F238E27FC236}">
              <a16:creationId xmlns:a16="http://schemas.microsoft.com/office/drawing/2014/main" id="{00000000-0008-0000-0100-00006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088" name="Drop Down -1022" hidden="1">
          <a:extLst>
            <a:ext uri="{FF2B5EF4-FFF2-40B4-BE49-F238E27FC236}">
              <a16:creationId xmlns:a16="http://schemas.microsoft.com/office/drawing/2014/main" id="{00000000-0008-0000-0100-00006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89" name="Drop Down 1" hidden="1">
          <a:extLst>
            <a:ext uri="{FF2B5EF4-FFF2-40B4-BE49-F238E27FC236}">
              <a16:creationId xmlns:a16="http://schemas.microsoft.com/office/drawing/2014/main" id="{00000000-0008-0000-0100-00006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90" name="Drop Down 1" hidden="1">
          <a:extLst>
            <a:ext uri="{FF2B5EF4-FFF2-40B4-BE49-F238E27FC236}">
              <a16:creationId xmlns:a16="http://schemas.microsoft.com/office/drawing/2014/main" id="{00000000-0008-0000-0100-00006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91" name="Drop Down 1" hidden="1">
          <a:extLst>
            <a:ext uri="{FF2B5EF4-FFF2-40B4-BE49-F238E27FC236}">
              <a16:creationId xmlns:a16="http://schemas.microsoft.com/office/drawing/2014/main" id="{00000000-0008-0000-0100-00006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92" name="Drop Down 1" hidden="1">
          <a:extLst>
            <a:ext uri="{FF2B5EF4-FFF2-40B4-BE49-F238E27FC236}">
              <a16:creationId xmlns:a16="http://schemas.microsoft.com/office/drawing/2014/main" id="{00000000-0008-0000-0100-00006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93" name="Drop Down 2" hidden="1">
          <a:extLst>
            <a:ext uri="{FF2B5EF4-FFF2-40B4-BE49-F238E27FC236}">
              <a16:creationId xmlns:a16="http://schemas.microsoft.com/office/drawing/2014/main" id="{00000000-0008-0000-0100-00006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94" name="Drop Down 1" hidden="1">
          <a:extLst>
            <a:ext uri="{FF2B5EF4-FFF2-40B4-BE49-F238E27FC236}">
              <a16:creationId xmlns:a16="http://schemas.microsoft.com/office/drawing/2014/main" id="{00000000-0008-0000-0100-00006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095" name="Drop Down -1022" hidden="1">
          <a:extLst>
            <a:ext uri="{FF2B5EF4-FFF2-40B4-BE49-F238E27FC236}">
              <a16:creationId xmlns:a16="http://schemas.microsoft.com/office/drawing/2014/main" id="{00000000-0008-0000-0100-00006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96" name="Drop Down 1" hidden="1">
          <a:extLst>
            <a:ext uri="{FF2B5EF4-FFF2-40B4-BE49-F238E27FC236}">
              <a16:creationId xmlns:a16="http://schemas.microsoft.com/office/drawing/2014/main" id="{00000000-0008-0000-0100-00007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97" name="Drop Down 1" hidden="1">
          <a:extLst>
            <a:ext uri="{FF2B5EF4-FFF2-40B4-BE49-F238E27FC236}">
              <a16:creationId xmlns:a16="http://schemas.microsoft.com/office/drawing/2014/main" id="{00000000-0008-0000-0100-00007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98" name="Drop Down 1" hidden="1">
          <a:extLst>
            <a:ext uri="{FF2B5EF4-FFF2-40B4-BE49-F238E27FC236}">
              <a16:creationId xmlns:a16="http://schemas.microsoft.com/office/drawing/2014/main" id="{00000000-0008-0000-0100-00007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099" name="Drop Down 1" hidden="1">
          <a:extLst>
            <a:ext uri="{FF2B5EF4-FFF2-40B4-BE49-F238E27FC236}">
              <a16:creationId xmlns:a16="http://schemas.microsoft.com/office/drawing/2014/main" id="{00000000-0008-0000-0100-00007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100" name="Drop Down 2" hidden="1">
          <a:extLst>
            <a:ext uri="{FF2B5EF4-FFF2-40B4-BE49-F238E27FC236}">
              <a16:creationId xmlns:a16="http://schemas.microsoft.com/office/drawing/2014/main" id="{00000000-0008-0000-0100-00007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101" name="Drop Down 1" hidden="1">
          <a:extLst>
            <a:ext uri="{FF2B5EF4-FFF2-40B4-BE49-F238E27FC236}">
              <a16:creationId xmlns:a16="http://schemas.microsoft.com/office/drawing/2014/main" id="{00000000-0008-0000-0100-00007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102" name="Drop Down -1022" hidden="1">
          <a:extLst>
            <a:ext uri="{FF2B5EF4-FFF2-40B4-BE49-F238E27FC236}">
              <a16:creationId xmlns:a16="http://schemas.microsoft.com/office/drawing/2014/main" id="{00000000-0008-0000-0100-00007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103" name="Drop Down 1" hidden="1">
          <a:extLst>
            <a:ext uri="{FF2B5EF4-FFF2-40B4-BE49-F238E27FC236}">
              <a16:creationId xmlns:a16="http://schemas.microsoft.com/office/drawing/2014/main" id="{00000000-0008-0000-0100-00007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104" name="Drop Down 1" hidden="1">
          <a:extLst>
            <a:ext uri="{FF2B5EF4-FFF2-40B4-BE49-F238E27FC236}">
              <a16:creationId xmlns:a16="http://schemas.microsoft.com/office/drawing/2014/main" id="{00000000-0008-0000-0100-00007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105" name="Drop Down 1" hidden="1">
          <a:extLst>
            <a:ext uri="{FF2B5EF4-FFF2-40B4-BE49-F238E27FC236}">
              <a16:creationId xmlns:a16="http://schemas.microsoft.com/office/drawing/2014/main" id="{00000000-0008-0000-0100-00007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106" name="Drop Down 1" hidden="1">
          <a:extLst>
            <a:ext uri="{FF2B5EF4-FFF2-40B4-BE49-F238E27FC236}">
              <a16:creationId xmlns:a16="http://schemas.microsoft.com/office/drawing/2014/main" id="{00000000-0008-0000-0100-00007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107" name="Drop Down 2" hidden="1">
          <a:extLst>
            <a:ext uri="{FF2B5EF4-FFF2-40B4-BE49-F238E27FC236}">
              <a16:creationId xmlns:a16="http://schemas.microsoft.com/office/drawing/2014/main" id="{00000000-0008-0000-0100-00007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108" name="Drop Down 1" hidden="1">
          <a:extLst>
            <a:ext uri="{FF2B5EF4-FFF2-40B4-BE49-F238E27FC236}">
              <a16:creationId xmlns:a16="http://schemas.microsoft.com/office/drawing/2014/main" id="{00000000-0008-0000-0100-00007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109" name="Drop Down -1022" hidden="1">
          <a:extLst>
            <a:ext uri="{FF2B5EF4-FFF2-40B4-BE49-F238E27FC236}">
              <a16:creationId xmlns:a16="http://schemas.microsoft.com/office/drawing/2014/main" id="{00000000-0008-0000-0100-00007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10" name="Drop Down 1" hidden="1">
          <a:extLst>
            <a:ext uri="{FF2B5EF4-FFF2-40B4-BE49-F238E27FC236}">
              <a16:creationId xmlns:a16="http://schemas.microsoft.com/office/drawing/2014/main" id="{00000000-0008-0000-0100-00007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11" name="Drop Down 1" hidden="1">
          <a:extLst>
            <a:ext uri="{FF2B5EF4-FFF2-40B4-BE49-F238E27FC236}">
              <a16:creationId xmlns:a16="http://schemas.microsoft.com/office/drawing/2014/main" id="{00000000-0008-0000-0100-00007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12" name="Drop Down 1" hidden="1">
          <a:extLst>
            <a:ext uri="{FF2B5EF4-FFF2-40B4-BE49-F238E27FC236}">
              <a16:creationId xmlns:a16="http://schemas.microsoft.com/office/drawing/2014/main" id="{00000000-0008-0000-0100-00008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13" name="Drop Down 1" hidden="1">
          <a:extLst>
            <a:ext uri="{FF2B5EF4-FFF2-40B4-BE49-F238E27FC236}">
              <a16:creationId xmlns:a16="http://schemas.microsoft.com/office/drawing/2014/main" id="{00000000-0008-0000-0100-00008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14" name="Drop Down 2" hidden="1">
          <a:extLst>
            <a:ext uri="{FF2B5EF4-FFF2-40B4-BE49-F238E27FC236}">
              <a16:creationId xmlns:a16="http://schemas.microsoft.com/office/drawing/2014/main" id="{00000000-0008-0000-0100-00008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15" name="Drop Down 1" hidden="1">
          <a:extLst>
            <a:ext uri="{FF2B5EF4-FFF2-40B4-BE49-F238E27FC236}">
              <a16:creationId xmlns:a16="http://schemas.microsoft.com/office/drawing/2014/main" id="{00000000-0008-0000-0100-00008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16" name="Drop Down -1022" hidden="1">
          <a:extLst>
            <a:ext uri="{FF2B5EF4-FFF2-40B4-BE49-F238E27FC236}">
              <a16:creationId xmlns:a16="http://schemas.microsoft.com/office/drawing/2014/main" id="{00000000-0008-0000-0100-00008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17" name="Drop Down 1" hidden="1">
          <a:extLst>
            <a:ext uri="{FF2B5EF4-FFF2-40B4-BE49-F238E27FC236}">
              <a16:creationId xmlns:a16="http://schemas.microsoft.com/office/drawing/2014/main" id="{00000000-0008-0000-0100-00008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18" name="Drop Down 1" hidden="1">
          <a:extLst>
            <a:ext uri="{FF2B5EF4-FFF2-40B4-BE49-F238E27FC236}">
              <a16:creationId xmlns:a16="http://schemas.microsoft.com/office/drawing/2014/main" id="{00000000-0008-0000-0100-00008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19" name="Drop Down 1" hidden="1">
          <a:extLst>
            <a:ext uri="{FF2B5EF4-FFF2-40B4-BE49-F238E27FC236}">
              <a16:creationId xmlns:a16="http://schemas.microsoft.com/office/drawing/2014/main" id="{00000000-0008-0000-0100-00008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20" name="Drop Down 1" hidden="1">
          <a:extLst>
            <a:ext uri="{FF2B5EF4-FFF2-40B4-BE49-F238E27FC236}">
              <a16:creationId xmlns:a16="http://schemas.microsoft.com/office/drawing/2014/main" id="{00000000-0008-0000-0100-00008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21" name="Drop Down 2" hidden="1">
          <a:extLst>
            <a:ext uri="{FF2B5EF4-FFF2-40B4-BE49-F238E27FC236}">
              <a16:creationId xmlns:a16="http://schemas.microsoft.com/office/drawing/2014/main" id="{00000000-0008-0000-0100-00008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22" name="Drop Down 1" hidden="1">
          <a:extLst>
            <a:ext uri="{FF2B5EF4-FFF2-40B4-BE49-F238E27FC236}">
              <a16:creationId xmlns:a16="http://schemas.microsoft.com/office/drawing/2014/main" id="{00000000-0008-0000-0100-00008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23" name="Drop Down -1022" hidden="1">
          <a:extLst>
            <a:ext uri="{FF2B5EF4-FFF2-40B4-BE49-F238E27FC236}">
              <a16:creationId xmlns:a16="http://schemas.microsoft.com/office/drawing/2014/main" id="{00000000-0008-0000-0100-00008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24" name="Drop Down 1" hidden="1">
          <a:extLst>
            <a:ext uri="{FF2B5EF4-FFF2-40B4-BE49-F238E27FC236}">
              <a16:creationId xmlns:a16="http://schemas.microsoft.com/office/drawing/2014/main" id="{00000000-0008-0000-0100-00008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25" name="Drop Down 1" hidden="1">
          <a:extLst>
            <a:ext uri="{FF2B5EF4-FFF2-40B4-BE49-F238E27FC236}">
              <a16:creationId xmlns:a16="http://schemas.microsoft.com/office/drawing/2014/main" id="{00000000-0008-0000-0100-00008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26" name="Drop Down 1" hidden="1">
          <a:extLst>
            <a:ext uri="{FF2B5EF4-FFF2-40B4-BE49-F238E27FC236}">
              <a16:creationId xmlns:a16="http://schemas.microsoft.com/office/drawing/2014/main" id="{00000000-0008-0000-0100-00008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27" name="Drop Down 1" hidden="1">
          <a:extLst>
            <a:ext uri="{FF2B5EF4-FFF2-40B4-BE49-F238E27FC236}">
              <a16:creationId xmlns:a16="http://schemas.microsoft.com/office/drawing/2014/main" id="{00000000-0008-0000-0100-00008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28" name="Drop Down 2" hidden="1">
          <a:extLst>
            <a:ext uri="{FF2B5EF4-FFF2-40B4-BE49-F238E27FC236}">
              <a16:creationId xmlns:a16="http://schemas.microsoft.com/office/drawing/2014/main" id="{00000000-0008-0000-0100-00009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29" name="Drop Down 1" hidden="1">
          <a:extLst>
            <a:ext uri="{FF2B5EF4-FFF2-40B4-BE49-F238E27FC236}">
              <a16:creationId xmlns:a16="http://schemas.microsoft.com/office/drawing/2014/main" id="{00000000-0008-0000-0100-00009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30" name="Drop Down -1022" hidden="1">
          <a:extLst>
            <a:ext uri="{FF2B5EF4-FFF2-40B4-BE49-F238E27FC236}">
              <a16:creationId xmlns:a16="http://schemas.microsoft.com/office/drawing/2014/main" id="{00000000-0008-0000-0100-00009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31" name="Drop Down 1" hidden="1">
          <a:extLst>
            <a:ext uri="{FF2B5EF4-FFF2-40B4-BE49-F238E27FC236}">
              <a16:creationId xmlns:a16="http://schemas.microsoft.com/office/drawing/2014/main" id="{00000000-0008-0000-0100-00009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32" name="Drop Down 1" hidden="1">
          <a:extLst>
            <a:ext uri="{FF2B5EF4-FFF2-40B4-BE49-F238E27FC236}">
              <a16:creationId xmlns:a16="http://schemas.microsoft.com/office/drawing/2014/main" id="{00000000-0008-0000-0100-00009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33" name="Drop Down 1" hidden="1">
          <a:extLst>
            <a:ext uri="{FF2B5EF4-FFF2-40B4-BE49-F238E27FC236}">
              <a16:creationId xmlns:a16="http://schemas.microsoft.com/office/drawing/2014/main" id="{00000000-0008-0000-0100-00009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34" name="Drop Down 1" hidden="1">
          <a:extLst>
            <a:ext uri="{FF2B5EF4-FFF2-40B4-BE49-F238E27FC236}">
              <a16:creationId xmlns:a16="http://schemas.microsoft.com/office/drawing/2014/main" id="{00000000-0008-0000-0100-00009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35" name="Drop Down 2" hidden="1">
          <a:extLst>
            <a:ext uri="{FF2B5EF4-FFF2-40B4-BE49-F238E27FC236}">
              <a16:creationId xmlns:a16="http://schemas.microsoft.com/office/drawing/2014/main" id="{00000000-0008-0000-0100-00009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36" name="Drop Down 1" hidden="1">
          <a:extLst>
            <a:ext uri="{FF2B5EF4-FFF2-40B4-BE49-F238E27FC236}">
              <a16:creationId xmlns:a16="http://schemas.microsoft.com/office/drawing/2014/main" id="{00000000-0008-0000-0100-00009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37" name="Drop Down -1022" hidden="1">
          <a:extLst>
            <a:ext uri="{FF2B5EF4-FFF2-40B4-BE49-F238E27FC236}">
              <a16:creationId xmlns:a16="http://schemas.microsoft.com/office/drawing/2014/main" id="{00000000-0008-0000-0100-00009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38" name="Drop Down 1" hidden="1">
          <a:extLst>
            <a:ext uri="{FF2B5EF4-FFF2-40B4-BE49-F238E27FC236}">
              <a16:creationId xmlns:a16="http://schemas.microsoft.com/office/drawing/2014/main" id="{00000000-0008-0000-0100-00009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39" name="Drop Down 1" hidden="1">
          <a:extLst>
            <a:ext uri="{FF2B5EF4-FFF2-40B4-BE49-F238E27FC236}">
              <a16:creationId xmlns:a16="http://schemas.microsoft.com/office/drawing/2014/main" id="{00000000-0008-0000-0100-00009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40" name="Drop Down 1" hidden="1">
          <a:extLst>
            <a:ext uri="{FF2B5EF4-FFF2-40B4-BE49-F238E27FC236}">
              <a16:creationId xmlns:a16="http://schemas.microsoft.com/office/drawing/2014/main" id="{00000000-0008-0000-0100-00009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41" name="Drop Down 1" hidden="1">
          <a:extLst>
            <a:ext uri="{FF2B5EF4-FFF2-40B4-BE49-F238E27FC236}">
              <a16:creationId xmlns:a16="http://schemas.microsoft.com/office/drawing/2014/main" id="{00000000-0008-0000-0100-00009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42" name="Drop Down 2" hidden="1">
          <a:extLst>
            <a:ext uri="{FF2B5EF4-FFF2-40B4-BE49-F238E27FC236}">
              <a16:creationId xmlns:a16="http://schemas.microsoft.com/office/drawing/2014/main" id="{00000000-0008-0000-0100-00009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43" name="Drop Down 1" hidden="1">
          <a:extLst>
            <a:ext uri="{FF2B5EF4-FFF2-40B4-BE49-F238E27FC236}">
              <a16:creationId xmlns:a16="http://schemas.microsoft.com/office/drawing/2014/main" id="{00000000-0008-0000-0100-00009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44" name="Drop Down -1022" hidden="1">
          <a:extLst>
            <a:ext uri="{FF2B5EF4-FFF2-40B4-BE49-F238E27FC236}">
              <a16:creationId xmlns:a16="http://schemas.microsoft.com/office/drawing/2014/main" id="{00000000-0008-0000-0100-0000A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45" name="Drop Down 1" hidden="1">
          <a:extLst>
            <a:ext uri="{FF2B5EF4-FFF2-40B4-BE49-F238E27FC236}">
              <a16:creationId xmlns:a16="http://schemas.microsoft.com/office/drawing/2014/main" id="{00000000-0008-0000-0100-0000A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46" name="Drop Down 1" hidden="1">
          <a:extLst>
            <a:ext uri="{FF2B5EF4-FFF2-40B4-BE49-F238E27FC236}">
              <a16:creationId xmlns:a16="http://schemas.microsoft.com/office/drawing/2014/main" id="{00000000-0008-0000-0100-0000A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47" name="Drop Down 1" hidden="1">
          <a:extLst>
            <a:ext uri="{FF2B5EF4-FFF2-40B4-BE49-F238E27FC236}">
              <a16:creationId xmlns:a16="http://schemas.microsoft.com/office/drawing/2014/main" id="{00000000-0008-0000-0100-0000A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48" name="Drop Down 1" hidden="1">
          <a:extLst>
            <a:ext uri="{FF2B5EF4-FFF2-40B4-BE49-F238E27FC236}">
              <a16:creationId xmlns:a16="http://schemas.microsoft.com/office/drawing/2014/main" id="{00000000-0008-0000-0100-0000A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49" name="Drop Down 2" hidden="1">
          <a:extLst>
            <a:ext uri="{FF2B5EF4-FFF2-40B4-BE49-F238E27FC236}">
              <a16:creationId xmlns:a16="http://schemas.microsoft.com/office/drawing/2014/main" id="{00000000-0008-0000-0100-0000A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50" name="Drop Down 1" hidden="1">
          <a:extLst>
            <a:ext uri="{FF2B5EF4-FFF2-40B4-BE49-F238E27FC236}">
              <a16:creationId xmlns:a16="http://schemas.microsoft.com/office/drawing/2014/main" id="{00000000-0008-0000-0100-0000A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51" name="Drop Down -1022" hidden="1">
          <a:extLst>
            <a:ext uri="{FF2B5EF4-FFF2-40B4-BE49-F238E27FC236}">
              <a16:creationId xmlns:a16="http://schemas.microsoft.com/office/drawing/2014/main" id="{00000000-0008-0000-0100-0000A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52" name="Drop Down 1" hidden="1">
          <a:extLst>
            <a:ext uri="{FF2B5EF4-FFF2-40B4-BE49-F238E27FC236}">
              <a16:creationId xmlns:a16="http://schemas.microsoft.com/office/drawing/2014/main" id="{00000000-0008-0000-0100-0000A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53" name="Drop Down 1" hidden="1">
          <a:extLst>
            <a:ext uri="{FF2B5EF4-FFF2-40B4-BE49-F238E27FC236}">
              <a16:creationId xmlns:a16="http://schemas.microsoft.com/office/drawing/2014/main" id="{00000000-0008-0000-0100-0000A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54" name="Drop Down 1" hidden="1">
          <a:extLst>
            <a:ext uri="{FF2B5EF4-FFF2-40B4-BE49-F238E27FC236}">
              <a16:creationId xmlns:a16="http://schemas.microsoft.com/office/drawing/2014/main" id="{00000000-0008-0000-0100-0000A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55" name="Drop Down 1" hidden="1">
          <a:extLst>
            <a:ext uri="{FF2B5EF4-FFF2-40B4-BE49-F238E27FC236}">
              <a16:creationId xmlns:a16="http://schemas.microsoft.com/office/drawing/2014/main" id="{00000000-0008-0000-0100-0000A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56" name="Drop Down 2" hidden="1">
          <a:extLst>
            <a:ext uri="{FF2B5EF4-FFF2-40B4-BE49-F238E27FC236}">
              <a16:creationId xmlns:a16="http://schemas.microsoft.com/office/drawing/2014/main" id="{00000000-0008-0000-0100-0000A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57" name="Drop Down 1" hidden="1">
          <a:extLst>
            <a:ext uri="{FF2B5EF4-FFF2-40B4-BE49-F238E27FC236}">
              <a16:creationId xmlns:a16="http://schemas.microsoft.com/office/drawing/2014/main" id="{00000000-0008-0000-0100-0000A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58" name="Drop Down -1022" hidden="1">
          <a:extLst>
            <a:ext uri="{FF2B5EF4-FFF2-40B4-BE49-F238E27FC236}">
              <a16:creationId xmlns:a16="http://schemas.microsoft.com/office/drawing/2014/main" id="{00000000-0008-0000-0100-0000A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59" name="Drop Down 1" hidden="1">
          <a:extLst>
            <a:ext uri="{FF2B5EF4-FFF2-40B4-BE49-F238E27FC236}">
              <a16:creationId xmlns:a16="http://schemas.microsoft.com/office/drawing/2014/main" id="{00000000-0008-0000-0100-0000A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60" name="Drop Down 1" hidden="1">
          <a:extLst>
            <a:ext uri="{FF2B5EF4-FFF2-40B4-BE49-F238E27FC236}">
              <a16:creationId xmlns:a16="http://schemas.microsoft.com/office/drawing/2014/main" id="{00000000-0008-0000-0100-0000B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61" name="Drop Down 1" hidden="1">
          <a:extLst>
            <a:ext uri="{FF2B5EF4-FFF2-40B4-BE49-F238E27FC236}">
              <a16:creationId xmlns:a16="http://schemas.microsoft.com/office/drawing/2014/main" id="{00000000-0008-0000-0100-0000B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62" name="Drop Down 1" hidden="1">
          <a:extLst>
            <a:ext uri="{FF2B5EF4-FFF2-40B4-BE49-F238E27FC236}">
              <a16:creationId xmlns:a16="http://schemas.microsoft.com/office/drawing/2014/main" id="{00000000-0008-0000-0100-0000B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63" name="Drop Down 2" hidden="1">
          <a:extLst>
            <a:ext uri="{FF2B5EF4-FFF2-40B4-BE49-F238E27FC236}">
              <a16:creationId xmlns:a16="http://schemas.microsoft.com/office/drawing/2014/main" id="{00000000-0008-0000-0100-0000B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64" name="Drop Down 1" hidden="1">
          <a:extLst>
            <a:ext uri="{FF2B5EF4-FFF2-40B4-BE49-F238E27FC236}">
              <a16:creationId xmlns:a16="http://schemas.microsoft.com/office/drawing/2014/main" id="{00000000-0008-0000-0100-0000B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65" name="Drop Down -1022" hidden="1">
          <a:extLst>
            <a:ext uri="{FF2B5EF4-FFF2-40B4-BE49-F238E27FC236}">
              <a16:creationId xmlns:a16="http://schemas.microsoft.com/office/drawing/2014/main" id="{00000000-0008-0000-0100-0000B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66" name="Drop Down 1" hidden="1">
          <a:extLst>
            <a:ext uri="{FF2B5EF4-FFF2-40B4-BE49-F238E27FC236}">
              <a16:creationId xmlns:a16="http://schemas.microsoft.com/office/drawing/2014/main" id="{00000000-0008-0000-0100-0000B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67" name="Drop Down 1" hidden="1">
          <a:extLst>
            <a:ext uri="{FF2B5EF4-FFF2-40B4-BE49-F238E27FC236}">
              <a16:creationId xmlns:a16="http://schemas.microsoft.com/office/drawing/2014/main" id="{00000000-0008-0000-0100-0000B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68" name="Drop Down 1" hidden="1">
          <a:extLst>
            <a:ext uri="{FF2B5EF4-FFF2-40B4-BE49-F238E27FC236}">
              <a16:creationId xmlns:a16="http://schemas.microsoft.com/office/drawing/2014/main" id="{00000000-0008-0000-0100-0000B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69" name="Drop Down 1" hidden="1">
          <a:extLst>
            <a:ext uri="{FF2B5EF4-FFF2-40B4-BE49-F238E27FC236}">
              <a16:creationId xmlns:a16="http://schemas.microsoft.com/office/drawing/2014/main" id="{00000000-0008-0000-0100-0000B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70" name="Drop Down 2" hidden="1">
          <a:extLst>
            <a:ext uri="{FF2B5EF4-FFF2-40B4-BE49-F238E27FC236}">
              <a16:creationId xmlns:a16="http://schemas.microsoft.com/office/drawing/2014/main" id="{00000000-0008-0000-0100-0000B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71" name="Drop Down 1" hidden="1">
          <a:extLst>
            <a:ext uri="{FF2B5EF4-FFF2-40B4-BE49-F238E27FC236}">
              <a16:creationId xmlns:a16="http://schemas.microsoft.com/office/drawing/2014/main" id="{00000000-0008-0000-0100-0000B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72" name="Drop Down -1022" hidden="1">
          <a:extLst>
            <a:ext uri="{FF2B5EF4-FFF2-40B4-BE49-F238E27FC236}">
              <a16:creationId xmlns:a16="http://schemas.microsoft.com/office/drawing/2014/main" id="{00000000-0008-0000-0100-0000B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73" name="Drop Down 1" hidden="1">
          <a:extLst>
            <a:ext uri="{FF2B5EF4-FFF2-40B4-BE49-F238E27FC236}">
              <a16:creationId xmlns:a16="http://schemas.microsoft.com/office/drawing/2014/main" id="{00000000-0008-0000-0100-0000B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74" name="Drop Down 1" hidden="1">
          <a:extLst>
            <a:ext uri="{FF2B5EF4-FFF2-40B4-BE49-F238E27FC236}">
              <a16:creationId xmlns:a16="http://schemas.microsoft.com/office/drawing/2014/main" id="{00000000-0008-0000-0100-0000B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75" name="Drop Down 1" hidden="1">
          <a:extLst>
            <a:ext uri="{FF2B5EF4-FFF2-40B4-BE49-F238E27FC236}">
              <a16:creationId xmlns:a16="http://schemas.microsoft.com/office/drawing/2014/main" id="{00000000-0008-0000-0100-0000B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76" name="Drop Down 1" hidden="1">
          <a:extLst>
            <a:ext uri="{FF2B5EF4-FFF2-40B4-BE49-F238E27FC236}">
              <a16:creationId xmlns:a16="http://schemas.microsoft.com/office/drawing/2014/main" id="{00000000-0008-0000-0100-0000C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77" name="Drop Down 2" hidden="1">
          <a:extLst>
            <a:ext uri="{FF2B5EF4-FFF2-40B4-BE49-F238E27FC236}">
              <a16:creationId xmlns:a16="http://schemas.microsoft.com/office/drawing/2014/main" id="{00000000-0008-0000-0100-0000C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78" name="Drop Down 1" hidden="1">
          <a:extLst>
            <a:ext uri="{FF2B5EF4-FFF2-40B4-BE49-F238E27FC236}">
              <a16:creationId xmlns:a16="http://schemas.microsoft.com/office/drawing/2014/main" id="{00000000-0008-0000-0100-0000C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179" name="Drop Down -1022" hidden="1">
          <a:extLst>
            <a:ext uri="{FF2B5EF4-FFF2-40B4-BE49-F238E27FC236}">
              <a16:creationId xmlns:a16="http://schemas.microsoft.com/office/drawing/2014/main" id="{00000000-0008-0000-0100-0000C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10180" name="Drop Down 1" hidden="1">
          <a:extLst>
            <a:ext uri="{FF2B5EF4-FFF2-40B4-BE49-F238E27FC236}">
              <a16:creationId xmlns:a16="http://schemas.microsoft.com/office/drawing/2014/main" id="{00000000-0008-0000-0100-0000C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10181" name="Drop Down 1" hidden="1">
          <a:extLst>
            <a:ext uri="{FF2B5EF4-FFF2-40B4-BE49-F238E27FC236}">
              <a16:creationId xmlns:a16="http://schemas.microsoft.com/office/drawing/2014/main" id="{00000000-0008-0000-0100-0000C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10182" name="Drop Down 1" hidden="1">
          <a:extLst>
            <a:ext uri="{FF2B5EF4-FFF2-40B4-BE49-F238E27FC236}">
              <a16:creationId xmlns:a16="http://schemas.microsoft.com/office/drawing/2014/main" id="{00000000-0008-0000-0100-0000C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10183" name="Drop Down 1" hidden="1">
          <a:extLst>
            <a:ext uri="{FF2B5EF4-FFF2-40B4-BE49-F238E27FC236}">
              <a16:creationId xmlns:a16="http://schemas.microsoft.com/office/drawing/2014/main" id="{00000000-0008-0000-0100-0000C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10184" name="Drop Down 2" hidden="1">
          <a:extLst>
            <a:ext uri="{FF2B5EF4-FFF2-40B4-BE49-F238E27FC236}">
              <a16:creationId xmlns:a16="http://schemas.microsoft.com/office/drawing/2014/main" id="{00000000-0008-0000-0100-0000C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10185" name="Drop Down 1" hidden="1">
          <a:extLst>
            <a:ext uri="{FF2B5EF4-FFF2-40B4-BE49-F238E27FC236}">
              <a16:creationId xmlns:a16="http://schemas.microsoft.com/office/drawing/2014/main" id="{00000000-0008-0000-0100-0000C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06910"/>
    <xdr:sp macro="" textlink="">
      <xdr:nvSpPr>
        <xdr:cNvPr id="10186" name="Drop Down -1022" hidden="1">
          <a:extLst>
            <a:ext uri="{FF2B5EF4-FFF2-40B4-BE49-F238E27FC236}">
              <a16:creationId xmlns:a16="http://schemas.microsoft.com/office/drawing/2014/main" id="{00000000-0008-0000-0100-0000C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06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10187" name="Drop Down 1" hidden="1">
          <a:extLst>
            <a:ext uri="{FF2B5EF4-FFF2-40B4-BE49-F238E27FC236}">
              <a16:creationId xmlns:a16="http://schemas.microsoft.com/office/drawing/2014/main" id="{00000000-0008-0000-0100-0000C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10188" name="Drop Down 1" hidden="1">
          <a:extLst>
            <a:ext uri="{FF2B5EF4-FFF2-40B4-BE49-F238E27FC236}">
              <a16:creationId xmlns:a16="http://schemas.microsoft.com/office/drawing/2014/main" id="{00000000-0008-0000-0100-0000C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10189" name="Drop Down 1" hidden="1">
          <a:extLst>
            <a:ext uri="{FF2B5EF4-FFF2-40B4-BE49-F238E27FC236}">
              <a16:creationId xmlns:a16="http://schemas.microsoft.com/office/drawing/2014/main" id="{00000000-0008-0000-0100-0000C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10190" name="Drop Down 1" hidden="1">
          <a:extLst>
            <a:ext uri="{FF2B5EF4-FFF2-40B4-BE49-F238E27FC236}">
              <a16:creationId xmlns:a16="http://schemas.microsoft.com/office/drawing/2014/main" id="{00000000-0008-0000-0100-0000C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10191" name="Drop Down 2" hidden="1">
          <a:extLst>
            <a:ext uri="{FF2B5EF4-FFF2-40B4-BE49-F238E27FC236}">
              <a16:creationId xmlns:a16="http://schemas.microsoft.com/office/drawing/2014/main" id="{00000000-0008-0000-0100-0000C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10192" name="Drop Down 1" hidden="1">
          <a:extLst>
            <a:ext uri="{FF2B5EF4-FFF2-40B4-BE49-F238E27FC236}">
              <a16:creationId xmlns:a16="http://schemas.microsoft.com/office/drawing/2014/main" id="{00000000-0008-0000-0100-0000D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2774" cy="211501"/>
    <xdr:sp macro="" textlink="">
      <xdr:nvSpPr>
        <xdr:cNvPr id="10193" name="Drop Down -1022" hidden="1">
          <a:extLst>
            <a:ext uri="{FF2B5EF4-FFF2-40B4-BE49-F238E27FC236}">
              <a16:creationId xmlns:a16="http://schemas.microsoft.com/office/drawing/2014/main" id="{00000000-0008-0000-0100-0000D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2774" cy="21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94" name="Drop Down 1" hidden="1">
          <a:extLst>
            <a:ext uri="{FF2B5EF4-FFF2-40B4-BE49-F238E27FC236}">
              <a16:creationId xmlns:a16="http://schemas.microsoft.com/office/drawing/2014/main" id="{00000000-0008-0000-0100-0000D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95" name="Drop Down 1" hidden="1">
          <a:extLst>
            <a:ext uri="{FF2B5EF4-FFF2-40B4-BE49-F238E27FC236}">
              <a16:creationId xmlns:a16="http://schemas.microsoft.com/office/drawing/2014/main" id="{00000000-0008-0000-0100-0000D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96" name="Drop Down 1" hidden="1">
          <a:extLst>
            <a:ext uri="{FF2B5EF4-FFF2-40B4-BE49-F238E27FC236}">
              <a16:creationId xmlns:a16="http://schemas.microsoft.com/office/drawing/2014/main" id="{00000000-0008-0000-0100-0000D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97" name="Drop Down 1" hidden="1">
          <a:extLst>
            <a:ext uri="{FF2B5EF4-FFF2-40B4-BE49-F238E27FC236}">
              <a16:creationId xmlns:a16="http://schemas.microsoft.com/office/drawing/2014/main" id="{00000000-0008-0000-0100-0000D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98" name="Drop Down 2" hidden="1">
          <a:extLst>
            <a:ext uri="{FF2B5EF4-FFF2-40B4-BE49-F238E27FC236}">
              <a16:creationId xmlns:a16="http://schemas.microsoft.com/office/drawing/2014/main" id="{00000000-0008-0000-0100-0000D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199" name="Drop Down 1" hidden="1">
          <a:extLst>
            <a:ext uri="{FF2B5EF4-FFF2-40B4-BE49-F238E27FC236}">
              <a16:creationId xmlns:a16="http://schemas.microsoft.com/office/drawing/2014/main" id="{00000000-0008-0000-0100-0000D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00" name="Drop Down -1022" hidden="1">
          <a:extLst>
            <a:ext uri="{FF2B5EF4-FFF2-40B4-BE49-F238E27FC236}">
              <a16:creationId xmlns:a16="http://schemas.microsoft.com/office/drawing/2014/main" id="{00000000-0008-0000-0100-0000D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01" name="Drop Down 1" hidden="1">
          <a:extLst>
            <a:ext uri="{FF2B5EF4-FFF2-40B4-BE49-F238E27FC236}">
              <a16:creationId xmlns:a16="http://schemas.microsoft.com/office/drawing/2014/main" id="{00000000-0008-0000-0100-0000D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02" name="Drop Down 1" hidden="1">
          <a:extLst>
            <a:ext uri="{FF2B5EF4-FFF2-40B4-BE49-F238E27FC236}">
              <a16:creationId xmlns:a16="http://schemas.microsoft.com/office/drawing/2014/main" id="{00000000-0008-0000-0100-0000D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03" name="Drop Down 1" hidden="1">
          <a:extLst>
            <a:ext uri="{FF2B5EF4-FFF2-40B4-BE49-F238E27FC236}">
              <a16:creationId xmlns:a16="http://schemas.microsoft.com/office/drawing/2014/main" id="{00000000-0008-0000-0100-0000D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04" name="Drop Down 1" hidden="1">
          <a:extLst>
            <a:ext uri="{FF2B5EF4-FFF2-40B4-BE49-F238E27FC236}">
              <a16:creationId xmlns:a16="http://schemas.microsoft.com/office/drawing/2014/main" id="{00000000-0008-0000-0100-0000D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05" name="Drop Down 2" hidden="1">
          <a:extLst>
            <a:ext uri="{FF2B5EF4-FFF2-40B4-BE49-F238E27FC236}">
              <a16:creationId xmlns:a16="http://schemas.microsoft.com/office/drawing/2014/main" id="{00000000-0008-0000-0100-0000D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06" name="Drop Down 1" hidden="1">
          <a:extLst>
            <a:ext uri="{FF2B5EF4-FFF2-40B4-BE49-F238E27FC236}">
              <a16:creationId xmlns:a16="http://schemas.microsoft.com/office/drawing/2014/main" id="{00000000-0008-0000-0100-0000D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07" name="Drop Down -1022" hidden="1">
          <a:extLst>
            <a:ext uri="{FF2B5EF4-FFF2-40B4-BE49-F238E27FC236}">
              <a16:creationId xmlns:a16="http://schemas.microsoft.com/office/drawing/2014/main" id="{00000000-0008-0000-0100-0000D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08" name="Drop Down 1" hidden="1">
          <a:extLst>
            <a:ext uri="{FF2B5EF4-FFF2-40B4-BE49-F238E27FC236}">
              <a16:creationId xmlns:a16="http://schemas.microsoft.com/office/drawing/2014/main" id="{00000000-0008-0000-0100-0000E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09" name="Drop Down 1" hidden="1">
          <a:extLst>
            <a:ext uri="{FF2B5EF4-FFF2-40B4-BE49-F238E27FC236}">
              <a16:creationId xmlns:a16="http://schemas.microsoft.com/office/drawing/2014/main" id="{00000000-0008-0000-0100-0000E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10" name="Drop Down 1" hidden="1">
          <a:extLst>
            <a:ext uri="{FF2B5EF4-FFF2-40B4-BE49-F238E27FC236}">
              <a16:creationId xmlns:a16="http://schemas.microsoft.com/office/drawing/2014/main" id="{00000000-0008-0000-0100-0000E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11" name="Drop Down 1" hidden="1">
          <a:extLst>
            <a:ext uri="{FF2B5EF4-FFF2-40B4-BE49-F238E27FC236}">
              <a16:creationId xmlns:a16="http://schemas.microsoft.com/office/drawing/2014/main" id="{00000000-0008-0000-0100-0000E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12" name="Drop Down 2" hidden="1">
          <a:extLst>
            <a:ext uri="{FF2B5EF4-FFF2-40B4-BE49-F238E27FC236}">
              <a16:creationId xmlns:a16="http://schemas.microsoft.com/office/drawing/2014/main" id="{00000000-0008-0000-0100-0000E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13" name="Drop Down 1" hidden="1">
          <a:extLst>
            <a:ext uri="{FF2B5EF4-FFF2-40B4-BE49-F238E27FC236}">
              <a16:creationId xmlns:a16="http://schemas.microsoft.com/office/drawing/2014/main" id="{00000000-0008-0000-0100-0000E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14" name="Drop Down -1022" hidden="1">
          <a:extLst>
            <a:ext uri="{FF2B5EF4-FFF2-40B4-BE49-F238E27FC236}">
              <a16:creationId xmlns:a16="http://schemas.microsoft.com/office/drawing/2014/main" id="{00000000-0008-0000-0100-0000E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15" name="Drop Down 1" hidden="1">
          <a:extLst>
            <a:ext uri="{FF2B5EF4-FFF2-40B4-BE49-F238E27FC236}">
              <a16:creationId xmlns:a16="http://schemas.microsoft.com/office/drawing/2014/main" id="{00000000-0008-0000-0100-0000E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16" name="Drop Down 1" hidden="1">
          <a:extLst>
            <a:ext uri="{FF2B5EF4-FFF2-40B4-BE49-F238E27FC236}">
              <a16:creationId xmlns:a16="http://schemas.microsoft.com/office/drawing/2014/main" id="{00000000-0008-0000-0100-0000E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17" name="Drop Down 1" hidden="1">
          <a:extLst>
            <a:ext uri="{FF2B5EF4-FFF2-40B4-BE49-F238E27FC236}">
              <a16:creationId xmlns:a16="http://schemas.microsoft.com/office/drawing/2014/main" id="{00000000-0008-0000-0100-0000E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18" name="Drop Down 1" hidden="1">
          <a:extLst>
            <a:ext uri="{FF2B5EF4-FFF2-40B4-BE49-F238E27FC236}">
              <a16:creationId xmlns:a16="http://schemas.microsoft.com/office/drawing/2014/main" id="{00000000-0008-0000-0100-0000E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19" name="Drop Down 2" hidden="1">
          <a:extLst>
            <a:ext uri="{FF2B5EF4-FFF2-40B4-BE49-F238E27FC236}">
              <a16:creationId xmlns:a16="http://schemas.microsoft.com/office/drawing/2014/main" id="{00000000-0008-0000-0100-0000E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20" name="Drop Down 1" hidden="1">
          <a:extLst>
            <a:ext uri="{FF2B5EF4-FFF2-40B4-BE49-F238E27FC236}">
              <a16:creationId xmlns:a16="http://schemas.microsoft.com/office/drawing/2014/main" id="{00000000-0008-0000-0100-0000E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21" name="Drop Down -1022" hidden="1">
          <a:extLst>
            <a:ext uri="{FF2B5EF4-FFF2-40B4-BE49-F238E27FC236}">
              <a16:creationId xmlns:a16="http://schemas.microsoft.com/office/drawing/2014/main" id="{00000000-0008-0000-0100-0000E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22" name="Drop Down 1" hidden="1">
          <a:extLst>
            <a:ext uri="{FF2B5EF4-FFF2-40B4-BE49-F238E27FC236}">
              <a16:creationId xmlns:a16="http://schemas.microsoft.com/office/drawing/2014/main" id="{00000000-0008-0000-0100-0000E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23" name="Drop Down 1" hidden="1">
          <a:extLst>
            <a:ext uri="{FF2B5EF4-FFF2-40B4-BE49-F238E27FC236}">
              <a16:creationId xmlns:a16="http://schemas.microsoft.com/office/drawing/2014/main" id="{00000000-0008-0000-0100-0000E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24" name="Drop Down 1" hidden="1">
          <a:extLst>
            <a:ext uri="{FF2B5EF4-FFF2-40B4-BE49-F238E27FC236}">
              <a16:creationId xmlns:a16="http://schemas.microsoft.com/office/drawing/2014/main" id="{00000000-0008-0000-0100-0000F0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25" name="Drop Down 1" hidden="1">
          <a:extLst>
            <a:ext uri="{FF2B5EF4-FFF2-40B4-BE49-F238E27FC236}">
              <a16:creationId xmlns:a16="http://schemas.microsoft.com/office/drawing/2014/main" id="{00000000-0008-0000-0100-0000F1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26" name="Drop Down 2" hidden="1">
          <a:extLst>
            <a:ext uri="{FF2B5EF4-FFF2-40B4-BE49-F238E27FC236}">
              <a16:creationId xmlns:a16="http://schemas.microsoft.com/office/drawing/2014/main" id="{00000000-0008-0000-0100-0000F2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27" name="Drop Down 1" hidden="1">
          <a:extLst>
            <a:ext uri="{FF2B5EF4-FFF2-40B4-BE49-F238E27FC236}">
              <a16:creationId xmlns:a16="http://schemas.microsoft.com/office/drawing/2014/main" id="{00000000-0008-0000-0100-0000F3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28" name="Drop Down -1022" hidden="1">
          <a:extLst>
            <a:ext uri="{FF2B5EF4-FFF2-40B4-BE49-F238E27FC236}">
              <a16:creationId xmlns:a16="http://schemas.microsoft.com/office/drawing/2014/main" id="{00000000-0008-0000-0100-0000F4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29" name="Drop Down 1" hidden="1">
          <a:extLst>
            <a:ext uri="{FF2B5EF4-FFF2-40B4-BE49-F238E27FC236}">
              <a16:creationId xmlns:a16="http://schemas.microsoft.com/office/drawing/2014/main" id="{00000000-0008-0000-0100-0000F5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30" name="Drop Down 1" hidden="1">
          <a:extLst>
            <a:ext uri="{FF2B5EF4-FFF2-40B4-BE49-F238E27FC236}">
              <a16:creationId xmlns:a16="http://schemas.microsoft.com/office/drawing/2014/main" id="{00000000-0008-0000-0100-0000F6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31" name="Drop Down 1" hidden="1">
          <a:extLst>
            <a:ext uri="{FF2B5EF4-FFF2-40B4-BE49-F238E27FC236}">
              <a16:creationId xmlns:a16="http://schemas.microsoft.com/office/drawing/2014/main" id="{00000000-0008-0000-0100-0000F7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32" name="Drop Down 1" hidden="1">
          <a:extLst>
            <a:ext uri="{FF2B5EF4-FFF2-40B4-BE49-F238E27FC236}">
              <a16:creationId xmlns:a16="http://schemas.microsoft.com/office/drawing/2014/main" id="{00000000-0008-0000-0100-0000F8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33" name="Drop Down 2" hidden="1">
          <a:extLst>
            <a:ext uri="{FF2B5EF4-FFF2-40B4-BE49-F238E27FC236}">
              <a16:creationId xmlns:a16="http://schemas.microsoft.com/office/drawing/2014/main" id="{00000000-0008-0000-0100-0000F9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34" name="Drop Down 1" hidden="1">
          <a:extLst>
            <a:ext uri="{FF2B5EF4-FFF2-40B4-BE49-F238E27FC236}">
              <a16:creationId xmlns:a16="http://schemas.microsoft.com/office/drawing/2014/main" id="{00000000-0008-0000-0100-0000FA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35" name="Drop Down -1022" hidden="1">
          <a:extLst>
            <a:ext uri="{FF2B5EF4-FFF2-40B4-BE49-F238E27FC236}">
              <a16:creationId xmlns:a16="http://schemas.microsoft.com/office/drawing/2014/main" id="{00000000-0008-0000-0100-0000FB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36" name="Drop Down 1" hidden="1">
          <a:extLst>
            <a:ext uri="{FF2B5EF4-FFF2-40B4-BE49-F238E27FC236}">
              <a16:creationId xmlns:a16="http://schemas.microsoft.com/office/drawing/2014/main" id="{00000000-0008-0000-0100-0000FC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37" name="Drop Down 1" hidden="1">
          <a:extLst>
            <a:ext uri="{FF2B5EF4-FFF2-40B4-BE49-F238E27FC236}">
              <a16:creationId xmlns:a16="http://schemas.microsoft.com/office/drawing/2014/main" id="{00000000-0008-0000-0100-0000FD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38" name="Drop Down 1" hidden="1">
          <a:extLst>
            <a:ext uri="{FF2B5EF4-FFF2-40B4-BE49-F238E27FC236}">
              <a16:creationId xmlns:a16="http://schemas.microsoft.com/office/drawing/2014/main" id="{00000000-0008-0000-0100-0000FE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39" name="Drop Down 1" hidden="1">
          <a:extLst>
            <a:ext uri="{FF2B5EF4-FFF2-40B4-BE49-F238E27FC236}">
              <a16:creationId xmlns:a16="http://schemas.microsoft.com/office/drawing/2014/main" id="{00000000-0008-0000-0100-0000FF27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40" name="Drop Down 2" hidden="1">
          <a:extLst>
            <a:ext uri="{FF2B5EF4-FFF2-40B4-BE49-F238E27FC236}">
              <a16:creationId xmlns:a16="http://schemas.microsoft.com/office/drawing/2014/main" id="{00000000-0008-0000-0100-00000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41" name="Drop Down 1" hidden="1">
          <a:extLst>
            <a:ext uri="{FF2B5EF4-FFF2-40B4-BE49-F238E27FC236}">
              <a16:creationId xmlns:a16="http://schemas.microsoft.com/office/drawing/2014/main" id="{00000000-0008-0000-0100-00000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42" name="Drop Down -1022" hidden="1">
          <a:extLst>
            <a:ext uri="{FF2B5EF4-FFF2-40B4-BE49-F238E27FC236}">
              <a16:creationId xmlns:a16="http://schemas.microsoft.com/office/drawing/2014/main" id="{00000000-0008-0000-0100-00000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43" name="Drop Down 1" hidden="1">
          <a:extLst>
            <a:ext uri="{FF2B5EF4-FFF2-40B4-BE49-F238E27FC236}">
              <a16:creationId xmlns:a16="http://schemas.microsoft.com/office/drawing/2014/main" id="{00000000-0008-0000-0100-00000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44" name="Drop Down 1" hidden="1">
          <a:extLst>
            <a:ext uri="{FF2B5EF4-FFF2-40B4-BE49-F238E27FC236}">
              <a16:creationId xmlns:a16="http://schemas.microsoft.com/office/drawing/2014/main" id="{00000000-0008-0000-0100-00000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45" name="Drop Down 1" hidden="1">
          <a:extLst>
            <a:ext uri="{FF2B5EF4-FFF2-40B4-BE49-F238E27FC236}">
              <a16:creationId xmlns:a16="http://schemas.microsoft.com/office/drawing/2014/main" id="{00000000-0008-0000-0100-00000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46" name="Drop Down 1" hidden="1">
          <a:extLst>
            <a:ext uri="{FF2B5EF4-FFF2-40B4-BE49-F238E27FC236}">
              <a16:creationId xmlns:a16="http://schemas.microsoft.com/office/drawing/2014/main" id="{00000000-0008-0000-0100-00000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47" name="Drop Down 2" hidden="1">
          <a:extLst>
            <a:ext uri="{FF2B5EF4-FFF2-40B4-BE49-F238E27FC236}">
              <a16:creationId xmlns:a16="http://schemas.microsoft.com/office/drawing/2014/main" id="{00000000-0008-0000-0100-00000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48" name="Drop Down 1" hidden="1">
          <a:extLst>
            <a:ext uri="{FF2B5EF4-FFF2-40B4-BE49-F238E27FC236}">
              <a16:creationId xmlns:a16="http://schemas.microsoft.com/office/drawing/2014/main" id="{00000000-0008-0000-0100-00000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49" name="Drop Down -1022" hidden="1">
          <a:extLst>
            <a:ext uri="{FF2B5EF4-FFF2-40B4-BE49-F238E27FC236}">
              <a16:creationId xmlns:a16="http://schemas.microsoft.com/office/drawing/2014/main" id="{00000000-0008-0000-0100-00000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50" name="Drop Down 1" hidden="1">
          <a:extLst>
            <a:ext uri="{FF2B5EF4-FFF2-40B4-BE49-F238E27FC236}">
              <a16:creationId xmlns:a16="http://schemas.microsoft.com/office/drawing/2014/main" id="{00000000-0008-0000-0100-00000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51" name="Drop Down 1" hidden="1">
          <a:extLst>
            <a:ext uri="{FF2B5EF4-FFF2-40B4-BE49-F238E27FC236}">
              <a16:creationId xmlns:a16="http://schemas.microsoft.com/office/drawing/2014/main" id="{00000000-0008-0000-0100-00000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52" name="Drop Down 1" hidden="1">
          <a:extLst>
            <a:ext uri="{FF2B5EF4-FFF2-40B4-BE49-F238E27FC236}">
              <a16:creationId xmlns:a16="http://schemas.microsoft.com/office/drawing/2014/main" id="{00000000-0008-0000-0100-00000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53" name="Drop Down 1" hidden="1">
          <a:extLst>
            <a:ext uri="{FF2B5EF4-FFF2-40B4-BE49-F238E27FC236}">
              <a16:creationId xmlns:a16="http://schemas.microsoft.com/office/drawing/2014/main" id="{00000000-0008-0000-0100-00000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54" name="Drop Down 2" hidden="1">
          <a:extLst>
            <a:ext uri="{FF2B5EF4-FFF2-40B4-BE49-F238E27FC236}">
              <a16:creationId xmlns:a16="http://schemas.microsoft.com/office/drawing/2014/main" id="{00000000-0008-0000-0100-00000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55" name="Drop Down 1" hidden="1">
          <a:extLst>
            <a:ext uri="{FF2B5EF4-FFF2-40B4-BE49-F238E27FC236}">
              <a16:creationId xmlns:a16="http://schemas.microsoft.com/office/drawing/2014/main" id="{00000000-0008-0000-0100-00000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56" name="Drop Down -1022" hidden="1">
          <a:extLst>
            <a:ext uri="{FF2B5EF4-FFF2-40B4-BE49-F238E27FC236}">
              <a16:creationId xmlns:a16="http://schemas.microsoft.com/office/drawing/2014/main" id="{00000000-0008-0000-0100-00001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57" name="Drop Down 1" hidden="1">
          <a:extLst>
            <a:ext uri="{FF2B5EF4-FFF2-40B4-BE49-F238E27FC236}">
              <a16:creationId xmlns:a16="http://schemas.microsoft.com/office/drawing/2014/main" id="{00000000-0008-0000-0100-00001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58" name="Drop Down 1" hidden="1">
          <a:extLst>
            <a:ext uri="{FF2B5EF4-FFF2-40B4-BE49-F238E27FC236}">
              <a16:creationId xmlns:a16="http://schemas.microsoft.com/office/drawing/2014/main" id="{00000000-0008-0000-0100-00001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59" name="Drop Down 1" hidden="1">
          <a:extLst>
            <a:ext uri="{FF2B5EF4-FFF2-40B4-BE49-F238E27FC236}">
              <a16:creationId xmlns:a16="http://schemas.microsoft.com/office/drawing/2014/main" id="{00000000-0008-0000-0100-00001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60" name="Drop Down 1" hidden="1">
          <a:extLst>
            <a:ext uri="{FF2B5EF4-FFF2-40B4-BE49-F238E27FC236}">
              <a16:creationId xmlns:a16="http://schemas.microsoft.com/office/drawing/2014/main" id="{00000000-0008-0000-0100-00001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61" name="Drop Down 2" hidden="1">
          <a:extLst>
            <a:ext uri="{FF2B5EF4-FFF2-40B4-BE49-F238E27FC236}">
              <a16:creationId xmlns:a16="http://schemas.microsoft.com/office/drawing/2014/main" id="{00000000-0008-0000-0100-00001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62" name="Drop Down 1" hidden="1">
          <a:extLst>
            <a:ext uri="{FF2B5EF4-FFF2-40B4-BE49-F238E27FC236}">
              <a16:creationId xmlns:a16="http://schemas.microsoft.com/office/drawing/2014/main" id="{00000000-0008-0000-0100-00001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63" name="Drop Down -1022" hidden="1">
          <a:extLst>
            <a:ext uri="{FF2B5EF4-FFF2-40B4-BE49-F238E27FC236}">
              <a16:creationId xmlns:a16="http://schemas.microsoft.com/office/drawing/2014/main" id="{00000000-0008-0000-0100-00001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264" name="Drop Down 1" hidden="1">
          <a:extLst>
            <a:ext uri="{FF2B5EF4-FFF2-40B4-BE49-F238E27FC236}">
              <a16:creationId xmlns:a16="http://schemas.microsoft.com/office/drawing/2014/main" id="{00000000-0008-0000-0100-00001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265" name="Drop Down 1" hidden="1">
          <a:extLst>
            <a:ext uri="{FF2B5EF4-FFF2-40B4-BE49-F238E27FC236}">
              <a16:creationId xmlns:a16="http://schemas.microsoft.com/office/drawing/2014/main" id="{00000000-0008-0000-0100-00001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266" name="Drop Down 1" hidden="1">
          <a:extLst>
            <a:ext uri="{FF2B5EF4-FFF2-40B4-BE49-F238E27FC236}">
              <a16:creationId xmlns:a16="http://schemas.microsoft.com/office/drawing/2014/main" id="{00000000-0008-0000-0100-00001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267" name="Drop Down 1" hidden="1">
          <a:extLst>
            <a:ext uri="{FF2B5EF4-FFF2-40B4-BE49-F238E27FC236}">
              <a16:creationId xmlns:a16="http://schemas.microsoft.com/office/drawing/2014/main" id="{00000000-0008-0000-0100-00001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268" name="Drop Down 2" hidden="1">
          <a:extLst>
            <a:ext uri="{FF2B5EF4-FFF2-40B4-BE49-F238E27FC236}">
              <a16:creationId xmlns:a16="http://schemas.microsoft.com/office/drawing/2014/main" id="{00000000-0008-0000-0100-00001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269" name="Drop Down 1" hidden="1">
          <a:extLst>
            <a:ext uri="{FF2B5EF4-FFF2-40B4-BE49-F238E27FC236}">
              <a16:creationId xmlns:a16="http://schemas.microsoft.com/office/drawing/2014/main" id="{00000000-0008-0000-0100-00001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270" name="Drop Down -1022" hidden="1">
          <a:extLst>
            <a:ext uri="{FF2B5EF4-FFF2-40B4-BE49-F238E27FC236}">
              <a16:creationId xmlns:a16="http://schemas.microsoft.com/office/drawing/2014/main" id="{00000000-0008-0000-0100-00001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271" name="Drop Down 1" hidden="1">
          <a:extLst>
            <a:ext uri="{FF2B5EF4-FFF2-40B4-BE49-F238E27FC236}">
              <a16:creationId xmlns:a16="http://schemas.microsoft.com/office/drawing/2014/main" id="{00000000-0008-0000-0100-00001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272" name="Drop Down 1" hidden="1">
          <a:extLst>
            <a:ext uri="{FF2B5EF4-FFF2-40B4-BE49-F238E27FC236}">
              <a16:creationId xmlns:a16="http://schemas.microsoft.com/office/drawing/2014/main" id="{00000000-0008-0000-0100-00002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273" name="Drop Down 1" hidden="1">
          <a:extLst>
            <a:ext uri="{FF2B5EF4-FFF2-40B4-BE49-F238E27FC236}">
              <a16:creationId xmlns:a16="http://schemas.microsoft.com/office/drawing/2014/main" id="{00000000-0008-0000-0100-00002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274" name="Drop Down 1" hidden="1">
          <a:extLst>
            <a:ext uri="{FF2B5EF4-FFF2-40B4-BE49-F238E27FC236}">
              <a16:creationId xmlns:a16="http://schemas.microsoft.com/office/drawing/2014/main" id="{00000000-0008-0000-0100-00002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275" name="Drop Down 2" hidden="1">
          <a:extLst>
            <a:ext uri="{FF2B5EF4-FFF2-40B4-BE49-F238E27FC236}">
              <a16:creationId xmlns:a16="http://schemas.microsoft.com/office/drawing/2014/main" id="{00000000-0008-0000-0100-00002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276" name="Drop Down 1" hidden="1">
          <a:extLst>
            <a:ext uri="{FF2B5EF4-FFF2-40B4-BE49-F238E27FC236}">
              <a16:creationId xmlns:a16="http://schemas.microsoft.com/office/drawing/2014/main" id="{00000000-0008-0000-0100-00002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277" name="Drop Down -1022" hidden="1">
          <a:extLst>
            <a:ext uri="{FF2B5EF4-FFF2-40B4-BE49-F238E27FC236}">
              <a16:creationId xmlns:a16="http://schemas.microsoft.com/office/drawing/2014/main" id="{00000000-0008-0000-0100-00002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78" name="Drop Down 1" hidden="1">
          <a:extLst>
            <a:ext uri="{FF2B5EF4-FFF2-40B4-BE49-F238E27FC236}">
              <a16:creationId xmlns:a16="http://schemas.microsoft.com/office/drawing/2014/main" id="{00000000-0008-0000-0100-00002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79" name="Drop Down 1" hidden="1">
          <a:extLst>
            <a:ext uri="{FF2B5EF4-FFF2-40B4-BE49-F238E27FC236}">
              <a16:creationId xmlns:a16="http://schemas.microsoft.com/office/drawing/2014/main" id="{00000000-0008-0000-0100-00002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80" name="Drop Down 1" hidden="1">
          <a:extLst>
            <a:ext uri="{FF2B5EF4-FFF2-40B4-BE49-F238E27FC236}">
              <a16:creationId xmlns:a16="http://schemas.microsoft.com/office/drawing/2014/main" id="{00000000-0008-0000-0100-00002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81" name="Drop Down 1" hidden="1">
          <a:extLst>
            <a:ext uri="{FF2B5EF4-FFF2-40B4-BE49-F238E27FC236}">
              <a16:creationId xmlns:a16="http://schemas.microsoft.com/office/drawing/2014/main" id="{00000000-0008-0000-0100-00002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82" name="Drop Down 2" hidden="1">
          <a:extLst>
            <a:ext uri="{FF2B5EF4-FFF2-40B4-BE49-F238E27FC236}">
              <a16:creationId xmlns:a16="http://schemas.microsoft.com/office/drawing/2014/main" id="{00000000-0008-0000-0100-00002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83" name="Drop Down 1" hidden="1">
          <a:extLst>
            <a:ext uri="{FF2B5EF4-FFF2-40B4-BE49-F238E27FC236}">
              <a16:creationId xmlns:a16="http://schemas.microsoft.com/office/drawing/2014/main" id="{00000000-0008-0000-0100-00002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84" name="Drop Down -1022" hidden="1">
          <a:extLst>
            <a:ext uri="{FF2B5EF4-FFF2-40B4-BE49-F238E27FC236}">
              <a16:creationId xmlns:a16="http://schemas.microsoft.com/office/drawing/2014/main" id="{00000000-0008-0000-0100-00002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85" name="Drop Down 1" hidden="1">
          <a:extLst>
            <a:ext uri="{FF2B5EF4-FFF2-40B4-BE49-F238E27FC236}">
              <a16:creationId xmlns:a16="http://schemas.microsoft.com/office/drawing/2014/main" id="{00000000-0008-0000-0100-00002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86" name="Drop Down 1" hidden="1">
          <a:extLst>
            <a:ext uri="{FF2B5EF4-FFF2-40B4-BE49-F238E27FC236}">
              <a16:creationId xmlns:a16="http://schemas.microsoft.com/office/drawing/2014/main" id="{00000000-0008-0000-0100-00002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87" name="Drop Down 1" hidden="1">
          <a:extLst>
            <a:ext uri="{FF2B5EF4-FFF2-40B4-BE49-F238E27FC236}">
              <a16:creationId xmlns:a16="http://schemas.microsoft.com/office/drawing/2014/main" id="{00000000-0008-0000-0100-00002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88" name="Drop Down 1" hidden="1">
          <a:extLst>
            <a:ext uri="{FF2B5EF4-FFF2-40B4-BE49-F238E27FC236}">
              <a16:creationId xmlns:a16="http://schemas.microsoft.com/office/drawing/2014/main" id="{00000000-0008-0000-0100-00003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89" name="Drop Down 2" hidden="1">
          <a:extLst>
            <a:ext uri="{FF2B5EF4-FFF2-40B4-BE49-F238E27FC236}">
              <a16:creationId xmlns:a16="http://schemas.microsoft.com/office/drawing/2014/main" id="{00000000-0008-0000-0100-00003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90" name="Drop Down 1" hidden="1">
          <a:extLst>
            <a:ext uri="{FF2B5EF4-FFF2-40B4-BE49-F238E27FC236}">
              <a16:creationId xmlns:a16="http://schemas.microsoft.com/office/drawing/2014/main" id="{00000000-0008-0000-0100-00003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91" name="Drop Down -1022" hidden="1">
          <a:extLst>
            <a:ext uri="{FF2B5EF4-FFF2-40B4-BE49-F238E27FC236}">
              <a16:creationId xmlns:a16="http://schemas.microsoft.com/office/drawing/2014/main" id="{00000000-0008-0000-0100-00003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92" name="Drop Down 1" hidden="1">
          <a:extLst>
            <a:ext uri="{FF2B5EF4-FFF2-40B4-BE49-F238E27FC236}">
              <a16:creationId xmlns:a16="http://schemas.microsoft.com/office/drawing/2014/main" id="{00000000-0008-0000-0100-00003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93" name="Drop Down 1" hidden="1">
          <a:extLst>
            <a:ext uri="{FF2B5EF4-FFF2-40B4-BE49-F238E27FC236}">
              <a16:creationId xmlns:a16="http://schemas.microsoft.com/office/drawing/2014/main" id="{00000000-0008-0000-0100-00003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94" name="Drop Down 1" hidden="1">
          <a:extLst>
            <a:ext uri="{FF2B5EF4-FFF2-40B4-BE49-F238E27FC236}">
              <a16:creationId xmlns:a16="http://schemas.microsoft.com/office/drawing/2014/main" id="{00000000-0008-0000-0100-00003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95" name="Drop Down 1" hidden="1">
          <a:extLst>
            <a:ext uri="{FF2B5EF4-FFF2-40B4-BE49-F238E27FC236}">
              <a16:creationId xmlns:a16="http://schemas.microsoft.com/office/drawing/2014/main" id="{00000000-0008-0000-0100-00003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96" name="Drop Down 2" hidden="1">
          <a:extLst>
            <a:ext uri="{FF2B5EF4-FFF2-40B4-BE49-F238E27FC236}">
              <a16:creationId xmlns:a16="http://schemas.microsoft.com/office/drawing/2014/main" id="{00000000-0008-0000-0100-00003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97" name="Drop Down 1" hidden="1">
          <a:extLst>
            <a:ext uri="{FF2B5EF4-FFF2-40B4-BE49-F238E27FC236}">
              <a16:creationId xmlns:a16="http://schemas.microsoft.com/office/drawing/2014/main" id="{00000000-0008-0000-0100-00003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298" name="Drop Down -1022" hidden="1">
          <a:extLst>
            <a:ext uri="{FF2B5EF4-FFF2-40B4-BE49-F238E27FC236}">
              <a16:creationId xmlns:a16="http://schemas.microsoft.com/office/drawing/2014/main" id="{00000000-0008-0000-0100-00003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299" name="Drop Down 1" hidden="1">
          <a:extLst>
            <a:ext uri="{FF2B5EF4-FFF2-40B4-BE49-F238E27FC236}">
              <a16:creationId xmlns:a16="http://schemas.microsoft.com/office/drawing/2014/main" id="{00000000-0008-0000-0100-00003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00" name="Drop Down 1" hidden="1">
          <a:extLst>
            <a:ext uri="{FF2B5EF4-FFF2-40B4-BE49-F238E27FC236}">
              <a16:creationId xmlns:a16="http://schemas.microsoft.com/office/drawing/2014/main" id="{00000000-0008-0000-0100-00003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01" name="Drop Down 1" hidden="1">
          <a:extLst>
            <a:ext uri="{FF2B5EF4-FFF2-40B4-BE49-F238E27FC236}">
              <a16:creationId xmlns:a16="http://schemas.microsoft.com/office/drawing/2014/main" id="{00000000-0008-0000-0100-00003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02" name="Drop Down 1" hidden="1">
          <a:extLst>
            <a:ext uri="{FF2B5EF4-FFF2-40B4-BE49-F238E27FC236}">
              <a16:creationId xmlns:a16="http://schemas.microsoft.com/office/drawing/2014/main" id="{00000000-0008-0000-0100-00003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03" name="Drop Down 2" hidden="1">
          <a:extLst>
            <a:ext uri="{FF2B5EF4-FFF2-40B4-BE49-F238E27FC236}">
              <a16:creationId xmlns:a16="http://schemas.microsoft.com/office/drawing/2014/main" id="{00000000-0008-0000-0100-00003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04" name="Drop Down 1" hidden="1">
          <a:extLst>
            <a:ext uri="{FF2B5EF4-FFF2-40B4-BE49-F238E27FC236}">
              <a16:creationId xmlns:a16="http://schemas.microsoft.com/office/drawing/2014/main" id="{00000000-0008-0000-0100-00004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05" name="Drop Down -1022" hidden="1">
          <a:extLst>
            <a:ext uri="{FF2B5EF4-FFF2-40B4-BE49-F238E27FC236}">
              <a16:creationId xmlns:a16="http://schemas.microsoft.com/office/drawing/2014/main" id="{00000000-0008-0000-0100-00004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06" name="Drop Down 1" hidden="1">
          <a:extLst>
            <a:ext uri="{FF2B5EF4-FFF2-40B4-BE49-F238E27FC236}">
              <a16:creationId xmlns:a16="http://schemas.microsoft.com/office/drawing/2014/main" id="{00000000-0008-0000-0100-00004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07" name="Drop Down 1" hidden="1">
          <a:extLst>
            <a:ext uri="{FF2B5EF4-FFF2-40B4-BE49-F238E27FC236}">
              <a16:creationId xmlns:a16="http://schemas.microsoft.com/office/drawing/2014/main" id="{00000000-0008-0000-0100-00004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08" name="Drop Down 1" hidden="1">
          <a:extLst>
            <a:ext uri="{FF2B5EF4-FFF2-40B4-BE49-F238E27FC236}">
              <a16:creationId xmlns:a16="http://schemas.microsoft.com/office/drawing/2014/main" id="{00000000-0008-0000-0100-00004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09" name="Drop Down 1" hidden="1">
          <a:extLst>
            <a:ext uri="{FF2B5EF4-FFF2-40B4-BE49-F238E27FC236}">
              <a16:creationId xmlns:a16="http://schemas.microsoft.com/office/drawing/2014/main" id="{00000000-0008-0000-0100-00004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10" name="Drop Down 2" hidden="1">
          <a:extLst>
            <a:ext uri="{FF2B5EF4-FFF2-40B4-BE49-F238E27FC236}">
              <a16:creationId xmlns:a16="http://schemas.microsoft.com/office/drawing/2014/main" id="{00000000-0008-0000-0100-00004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11" name="Drop Down 1" hidden="1">
          <a:extLst>
            <a:ext uri="{FF2B5EF4-FFF2-40B4-BE49-F238E27FC236}">
              <a16:creationId xmlns:a16="http://schemas.microsoft.com/office/drawing/2014/main" id="{00000000-0008-0000-0100-00004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12" name="Drop Down -1022" hidden="1">
          <a:extLst>
            <a:ext uri="{FF2B5EF4-FFF2-40B4-BE49-F238E27FC236}">
              <a16:creationId xmlns:a16="http://schemas.microsoft.com/office/drawing/2014/main" id="{00000000-0008-0000-0100-00004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13" name="Drop Down 1" hidden="1">
          <a:extLst>
            <a:ext uri="{FF2B5EF4-FFF2-40B4-BE49-F238E27FC236}">
              <a16:creationId xmlns:a16="http://schemas.microsoft.com/office/drawing/2014/main" id="{00000000-0008-0000-0100-00004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14" name="Drop Down 1" hidden="1">
          <a:extLst>
            <a:ext uri="{FF2B5EF4-FFF2-40B4-BE49-F238E27FC236}">
              <a16:creationId xmlns:a16="http://schemas.microsoft.com/office/drawing/2014/main" id="{00000000-0008-0000-0100-00004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15" name="Drop Down 1" hidden="1">
          <a:extLst>
            <a:ext uri="{FF2B5EF4-FFF2-40B4-BE49-F238E27FC236}">
              <a16:creationId xmlns:a16="http://schemas.microsoft.com/office/drawing/2014/main" id="{00000000-0008-0000-0100-00004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16" name="Drop Down 1" hidden="1">
          <a:extLst>
            <a:ext uri="{FF2B5EF4-FFF2-40B4-BE49-F238E27FC236}">
              <a16:creationId xmlns:a16="http://schemas.microsoft.com/office/drawing/2014/main" id="{00000000-0008-0000-0100-00004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17" name="Drop Down 2" hidden="1">
          <a:extLst>
            <a:ext uri="{FF2B5EF4-FFF2-40B4-BE49-F238E27FC236}">
              <a16:creationId xmlns:a16="http://schemas.microsoft.com/office/drawing/2014/main" id="{00000000-0008-0000-0100-00004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18" name="Drop Down 1" hidden="1">
          <a:extLst>
            <a:ext uri="{FF2B5EF4-FFF2-40B4-BE49-F238E27FC236}">
              <a16:creationId xmlns:a16="http://schemas.microsoft.com/office/drawing/2014/main" id="{00000000-0008-0000-0100-00004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19" name="Drop Down -1022" hidden="1">
          <a:extLst>
            <a:ext uri="{FF2B5EF4-FFF2-40B4-BE49-F238E27FC236}">
              <a16:creationId xmlns:a16="http://schemas.microsoft.com/office/drawing/2014/main" id="{00000000-0008-0000-0100-00004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20" name="Drop Down 1" hidden="1">
          <a:extLst>
            <a:ext uri="{FF2B5EF4-FFF2-40B4-BE49-F238E27FC236}">
              <a16:creationId xmlns:a16="http://schemas.microsoft.com/office/drawing/2014/main" id="{00000000-0008-0000-0100-00005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21" name="Drop Down 1" hidden="1">
          <a:extLst>
            <a:ext uri="{FF2B5EF4-FFF2-40B4-BE49-F238E27FC236}">
              <a16:creationId xmlns:a16="http://schemas.microsoft.com/office/drawing/2014/main" id="{00000000-0008-0000-0100-00005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22" name="Drop Down 1" hidden="1">
          <a:extLst>
            <a:ext uri="{FF2B5EF4-FFF2-40B4-BE49-F238E27FC236}">
              <a16:creationId xmlns:a16="http://schemas.microsoft.com/office/drawing/2014/main" id="{00000000-0008-0000-0100-00005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23" name="Drop Down 1" hidden="1">
          <a:extLst>
            <a:ext uri="{FF2B5EF4-FFF2-40B4-BE49-F238E27FC236}">
              <a16:creationId xmlns:a16="http://schemas.microsoft.com/office/drawing/2014/main" id="{00000000-0008-0000-0100-00005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24" name="Drop Down 2" hidden="1">
          <a:extLst>
            <a:ext uri="{FF2B5EF4-FFF2-40B4-BE49-F238E27FC236}">
              <a16:creationId xmlns:a16="http://schemas.microsoft.com/office/drawing/2014/main" id="{00000000-0008-0000-0100-00005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25" name="Drop Down 1" hidden="1">
          <a:extLst>
            <a:ext uri="{FF2B5EF4-FFF2-40B4-BE49-F238E27FC236}">
              <a16:creationId xmlns:a16="http://schemas.microsoft.com/office/drawing/2014/main" id="{00000000-0008-0000-0100-00005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26" name="Drop Down -1022" hidden="1">
          <a:extLst>
            <a:ext uri="{FF2B5EF4-FFF2-40B4-BE49-F238E27FC236}">
              <a16:creationId xmlns:a16="http://schemas.microsoft.com/office/drawing/2014/main" id="{00000000-0008-0000-0100-00005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27" name="Drop Down 1" hidden="1">
          <a:extLst>
            <a:ext uri="{FF2B5EF4-FFF2-40B4-BE49-F238E27FC236}">
              <a16:creationId xmlns:a16="http://schemas.microsoft.com/office/drawing/2014/main" id="{00000000-0008-0000-0100-00005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28" name="Drop Down 1" hidden="1">
          <a:extLst>
            <a:ext uri="{FF2B5EF4-FFF2-40B4-BE49-F238E27FC236}">
              <a16:creationId xmlns:a16="http://schemas.microsoft.com/office/drawing/2014/main" id="{00000000-0008-0000-0100-00005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29" name="Drop Down 1" hidden="1">
          <a:extLst>
            <a:ext uri="{FF2B5EF4-FFF2-40B4-BE49-F238E27FC236}">
              <a16:creationId xmlns:a16="http://schemas.microsoft.com/office/drawing/2014/main" id="{00000000-0008-0000-0100-00005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30" name="Drop Down 1" hidden="1">
          <a:extLst>
            <a:ext uri="{FF2B5EF4-FFF2-40B4-BE49-F238E27FC236}">
              <a16:creationId xmlns:a16="http://schemas.microsoft.com/office/drawing/2014/main" id="{00000000-0008-0000-0100-00005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31" name="Drop Down 2" hidden="1">
          <a:extLst>
            <a:ext uri="{FF2B5EF4-FFF2-40B4-BE49-F238E27FC236}">
              <a16:creationId xmlns:a16="http://schemas.microsoft.com/office/drawing/2014/main" id="{00000000-0008-0000-0100-00005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32" name="Drop Down 1" hidden="1">
          <a:extLst>
            <a:ext uri="{FF2B5EF4-FFF2-40B4-BE49-F238E27FC236}">
              <a16:creationId xmlns:a16="http://schemas.microsoft.com/office/drawing/2014/main" id="{00000000-0008-0000-0100-00005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33" name="Drop Down -1022" hidden="1">
          <a:extLst>
            <a:ext uri="{FF2B5EF4-FFF2-40B4-BE49-F238E27FC236}">
              <a16:creationId xmlns:a16="http://schemas.microsoft.com/office/drawing/2014/main" id="{00000000-0008-0000-0100-00005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34" name="Drop Down 1" hidden="1">
          <a:extLst>
            <a:ext uri="{FF2B5EF4-FFF2-40B4-BE49-F238E27FC236}">
              <a16:creationId xmlns:a16="http://schemas.microsoft.com/office/drawing/2014/main" id="{00000000-0008-0000-0100-00005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35" name="Drop Down 1" hidden="1">
          <a:extLst>
            <a:ext uri="{FF2B5EF4-FFF2-40B4-BE49-F238E27FC236}">
              <a16:creationId xmlns:a16="http://schemas.microsoft.com/office/drawing/2014/main" id="{00000000-0008-0000-0100-00005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36" name="Drop Down 1" hidden="1">
          <a:extLst>
            <a:ext uri="{FF2B5EF4-FFF2-40B4-BE49-F238E27FC236}">
              <a16:creationId xmlns:a16="http://schemas.microsoft.com/office/drawing/2014/main" id="{00000000-0008-0000-0100-00006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37" name="Drop Down 1" hidden="1">
          <a:extLst>
            <a:ext uri="{FF2B5EF4-FFF2-40B4-BE49-F238E27FC236}">
              <a16:creationId xmlns:a16="http://schemas.microsoft.com/office/drawing/2014/main" id="{00000000-0008-0000-0100-00006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38" name="Drop Down 2" hidden="1">
          <a:extLst>
            <a:ext uri="{FF2B5EF4-FFF2-40B4-BE49-F238E27FC236}">
              <a16:creationId xmlns:a16="http://schemas.microsoft.com/office/drawing/2014/main" id="{00000000-0008-0000-0100-00006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39" name="Drop Down 1" hidden="1">
          <a:extLst>
            <a:ext uri="{FF2B5EF4-FFF2-40B4-BE49-F238E27FC236}">
              <a16:creationId xmlns:a16="http://schemas.microsoft.com/office/drawing/2014/main" id="{00000000-0008-0000-0100-00006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40" name="Drop Down -1022" hidden="1">
          <a:extLst>
            <a:ext uri="{FF2B5EF4-FFF2-40B4-BE49-F238E27FC236}">
              <a16:creationId xmlns:a16="http://schemas.microsoft.com/office/drawing/2014/main" id="{00000000-0008-0000-0100-00006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41" name="Drop Down 1" hidden="1">
          <a:extLst>
            <a:ext uri="{FF2B5EF4-FFF2-40B4-BE49-F238E27FC236}">
              <a16:creationId xmlns:a16="http://schemas.microsoft.com/office/drawing/2014/main" id="{00000000-0008-0000-0100-00006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42" name="Drop Down 1" hidden="1">
          <a:extLst>
            <a:ext uri="{FF2B5EF4-FFF2-40B4-BE49-F238E27FC236}">
              <a16:creationId xmlns:a16="http://schemas.microsoft.com/office/drawing/2014/main" id="{00000000-0008-0000-0100-00006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43" name="Drop Down 1" hidden="1">
          <a:extLst>
            <a:ext uri="{FF2B5EF4-FFF2-40B4-BE49-F238E27FC236}">
              <a16:creationId xmlns:a16="http://schemas.microsoft.com/office/drawing/2014/main" id="{00000000-0008-0000-0100-00006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44" name="Drop Down 1" hidden="1">
          <a:extLst>
            <a:ext uri="{FF2B5EF4-FFF2-40B4-BE49-F238E27FC236}">
              <a16:creationId xmlns:a16="http://schemas.microsoft.com/office/drawing/2014/main" id="{00000000-0008-0000-0100-00006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45" name="Drop Down 2" hidden="1">
          <a:extLst>
            <a:ext uri="{FF2B5EF4-FFF2-40B4-BE49-F238E27FC236}">
              <a16:creationId xmlns:a16="http://schemas.microsoft.com/office/drawing/2014/main" id="{00000000-0008-0000-0100-00006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46" name="Drop Down 1" hidden="1">
          <a:extLst>
            <a:ext uri="{FF2B5EF4-FFF2-40B4-BE49-F238E27FC236}">
              <a16:creationId xmlns:a16="http://schemas.microsoft.com/office/drawing/2014/main" id="{00000000-0008-0000-0100-00006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47" name="Drop Down -1022" hidden="1">
          <a:extLst>
            <a:ext uri="{FF2B5EF4-FFF2-40B4-BE49-F238E27FC236}">
              <a16:creationId xmlns:a16="http://schemas.microsoft.com/office/drawing/2014/main" id="{00000000-0008-0000-0100-00006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348" name="Drop Down 1" hidden="1">
          <a:extLst>
            <a:ext uri="{FF2B5EF4-FFF2-40B4-BE49-F238E27FC236}">
              <a16:creationId xmlns:a16="http://schemas.microsoft.com/office/drawing/2014/main" id="{00000000-0008-0000-0100-00006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349" name="Drop Down 1" hidden="1">
          <a:extLst>
            <a:ext uri="{FF2B5EF4-FFF2-40B4-BE49-F238E27FC236}">
              <a16:creationId xmlns:a16="http://schemas.microsoft.com/office/drawing/2014/main" id="{00000000-0008-0000-0100-00006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350" name="Drop Down 1" hidden="1">
          <a:extLst>
            <a:ext uri="{FF2B5EF4-FFF2-40B4-BE49-F238E27FC236}">
              <a16:creationId xmlns:a16="http://schemas.microsoft.com/office/drawing/2014/main" id="{00000000-0008-0000-0100-00006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351" name="Drop Down 1" hidden="1">
          <a:extLst>
            <a:ext uri="{FF2B5EF4-FFF2-40B4-BE49-F238E27FC236}">
              <a16:creationId xmlns:a16="http://schemas.microsoft.com/office/drawing/2014/main" id="{00000000-0008-0000-0100-00006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352" name="Drop Down 2" hidden="1">
          <a:extLst>
            <a:ext uri="{FF2B5EF4-FFF2-40B4-BE49-F238E27FC236}">
              <a16:creationId xmlns:a16="http://schemas.microsoft.com/office/drawing/2014/main" id="{00000000-0008-0000-0100-00007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353" name="Drop Down 1" hidden="1">
          <a:extLst>
            <a:ext uri="{FF2B5EF4-FFF2-40B4-BE49-F238E27FC236}">
              <a16:creationId xmlns:a16="http://schemas.microsoft.com/office/drawing/2014/main" id="{00000000-0008-0000-0100-00007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354" name="Drop Down -1022" hidden="1">
          <a:extLst>
            <a:ext uri="{FF2B5EF4-FFF2-40B4-BE49-F238E27FC236}">
              <a16:creationId xmlns:a16="http://schemas.microsoft.com/office/drawing/2014/main" id="{00000000-0008-0000-0100-00007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355" name="Drop Down 1" hidden="1">
          <a:extLst>
            <a:ext uri="{FF2B5EF4-FFF2-40B4-BE49-F238E27FC236}">
              <a16:creationId xmlns:a16="http://schemas.microsoft.com/office/drawing/2014/main" id="{00000000-0008-0000-0100-00007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356" name="Drop Down 1" hidden="1">
          <a:extLst>
            <a:ext uri="{FF2B5EF4-FFF2-40B4-BE49-F238E27FC236}">
              <a16:creationId xmlns:a16="http://schemas.microsoft.com/office/drawing/2014/main" id="{00000000-0008-0000-0100-00007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357" name="Drop Down 1" hidden="1">
          <a:extLst>
            <a:ext uri="{FF2B5EF4-FFF2-40B4-BE49-F238E27FC236}">
              <a16:creationId xmlns:a16="http://schemas.microsoft.com/office/drawing/2014/main" id="{00000000-0008-0000-0100-00007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358" name="Drop Down 1" hidden="1">
          <a:extLst>
            <a:ext uri="{FF2B5EF4-FFF2-40B4-BE49-F238E27FC236}">
              <a16:creationId xmlns:a16="http://schemas.microsoft.com/office/drawing/2014/main" id="{00000000-0008-0000-0100-00007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359" name="Drop Down 2" hidden="1">
          <a:extLst>
            <a:ext uri="{FF2B5EF4-FFF2-40B4-BE49-F238E27FC236}">
              <a16:creationId xmlns:a16="http://schemas.microsoft.com/office/drawing/2014/main" id="{00000000-0008-0000-0100-00007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360" name="Drop Down 1" hidden="1">
          <a:extLst>
            <a:ext uri="{FF2B5EF4-FFF2-40B4-BE49-F238E27FC236}">
              <a16:creationId xmlns:a16="http://schemas.microsoft.com/office/drawing/2014/main" id="{00000000-0008-0000-0100-00007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361" name="Drop Down -1022" hidden="1">
          <a:extLst>
            <a:ext uri="{FF2B5EF4-FFF2-40B4-BE49-F238E27FC236}">
              <a16:creationId xmlns:a16="http://schemas.microsoft.com/office/drawing/2014/main" id="{00000000-0008-0000-0100-00007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62" name="Drop Down 1" hidden="1">
          <a:extLst>
            <a:ext uri="{FF2B5EF4-FFF2-40B4-BE49-F238E27FC236}">
              <a16:creationId xmlns:a16="http://schemas.microsoft.com/office/drawing/2014/main" id="{00000000-0008-0000-0100-00007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63" name="Drop Down 1" hidden="1">
          <a:extLst>
            <a:ext uri="{FF2B5EF4-FFF2-40B4-BE49-F238E27FC236}">
              <a16:creationId xmlns:a16="http://schemas.microsoft.com/office/drawing/2014/main" id="{00000000-0008-0000-0100-00007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64" name="Drop Down 1" hidden="1">
          <a:extLst>
            <a:ext uri="{FF2B5EF4-FFF2-40B4-BE49-F238E27FC236}">
              <a16:creationId xmlns:a16="http://schemas.microsoft.com/office/drawing/2014/main" id="{00000000-0008-0000-0100-00007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65" name="Drop Down 1" hidden="1">
          <a:extLst>
            <a:ext uri="{FF2B5EF4-FFF2-40B4-BE49-F238E27FC236}">
              <a16:creationId xmlns:a16="http://schemas.microsoft.com/office/drawing/2014/main" id="{00000000-0008-0000-0100-00007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66" name="Drop Down 2" hidden="1">
          <a:extLst>
            <a:ext uri="{FF2B5EF4-FFF2-40B4-BE49-F238E27FC236}">
              <a16:creationId xmlns:a16="http://schemas.microsoft.com/office/drawing/2014/main" id="{00000000-0008-0000-0100-00007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67" name="Drop Down 1" hidden="1">
          <a:extLst>
            <a:ext uri="{FF2B5EF4-FFF2-40B4-BE49-F238E27FC236}">
              <a16:creationId xmlns:a16="http://schemas.microsoft.com/office/drawing/2014/main" id="{00000000-0008-0000-0100-00007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68" name="Drop Down -1022" hidden="1">
          <a:extLst>
            <a:ext uri="{FF2B5EF4-FFF2-40B4-BE49-F238E27FC236}">
              <a16:creationId xmlns:a16="http://schemas.microsoft.com/office/drawing/2014/main" id="{00000000-0008-0000-0100-00008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69" name="Drop Down 1" hidden="1">
          <a:extLst>
            <a:ext uri="{FF2B5EF4-FFF2-40B4-BE49-F238E27FC236}">
              <a16:creationId xmlns:a16="http://schemas.microsoft.com/office/drawing/2014/main" id="{00000000-0008-0000-0100-00008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70" name="Drop Down 1" hidden="1">
          <a:extLst>
            <a:ext uri="{FF2B5EF4-FFF2-40B4-BE49-F238E27FC236}">
              <a16:creationId xmlns:a16="http://schemas.microsoft.com/office/drawing/2014/main" id="{00000000-0008-0000-0100-00008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71" name="Drop Down 1" hidden="1">
          <a:extLst>
            <a:ext uri="{FF2B5EF4-FFF2-40B4-BE49-F238E27FC236}">
              <a16:creationId xmlns:a16="http://schemas.microsoft.com/office/drawing/2014/main" id="{00000000-0008-0000-0100-00008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72" name="Drop Down 1" hidden="1">
          <a:extLst>
            <a:ext uri="{FF2B5EF4-FFF2-40B4-BE49-F238E27FC236}">
              <a16:creationId xmlns:a16="http://schemas.microsoft.com/office/drawing/2014/main" id="{00000000-0008-0000-0100-00008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73" name="Drop Down 2" hidden="1">
          <a:extLst>
            <a:ext uri="{FF2B5EF4-FFF2-40B4-BE49-F238E27FC236}">
              <a16:creationId xmlns:a16="http://schemas.microsoft.com/office/drawing/2014/main" id="{00000000-0008-0000-0100-00008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74" name="Drop Down 1" hidden="1">
          <a:extLst>
            <a:ext uri="{FF2B5EF4-FFF2-40B4-BE49-F238E27FC236}">
              <a16:creationId xmlns:a16="http://schemas.microsoft.com/office/drawing/2014/main" id="{00000000-0008-0000-0100-00008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75" name="Drop Down -1022" hidden="1">
          <a:extLst>
            <a:ext uri="{FF2B5EF4-FFF2-40B4-BE49-F238E27FC236}">
              <a16:creationId xmlns:a16="http://schemas.microsoft.com/office/drawing/2014/main" id="{00000000-0008-0000-0100-00008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76" name="Drop Down 1" hidden="1">
          <a:extLst>
            <a:ext uri="{FF2B5EF4-FFF2-40B4-BE49-F238E27FC236}">
              <a16:creationId xmlns:a16="http://schemas.microsoft.com/office/drawing/2014/main" id="{00000000-0008-0000-0100-00008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77" name="Drop Down 1" hidden="1">
          <a:extLst>
            <a:ext uri="{FF2B5EF4-FFF2-40B4-BE49-F238E27FC236}">
              <a16:creationId xmlns:a16="http://schemas.microsoft.com/office/drawing/2014/main" id="{00000000-0008-0000-0100-00008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78" name="Drop Down 1" hidden="1">
          <a:extLst>
            <a:ext uri="{FF2B5EF4-FFF2-40B4-BE49-F238E27FC236}">
              <a16:creationId xmlns:a16="http://schemas.microsoft.com/office/drawing/2014/main" id="{00000000-0008-0000-0100-00008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79" name="Drop Down 1" hidden="1">
          <a:extLst>
            <a:ext uri="{FF2B5EF4-FFF2-40B4-BE49-F238E27FC236}">
              <a16:creationId xmlns:a16="http://schemas.microsoft.com/office/drawing/2014/main" id="{00000000-0008-0000-0100-00008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80" name="Drop Down 2" hidden="1">
          <a:extLst>
            <a:ext uri="{FF2B5EF4-FFF2-40B4-BE49-F238E27FC236}">
              <a16:creationId xmlns:a16="http://schemas.microsoft.com/office/drawing/2014/main" id="{00000000-0008-0000-0100-00008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81" name="Drop Down 1" hidden="1">
          <a:extLst>
            <a:ext uri="{FF2B5EF4-FFF2-40B4-BE49-F238E27FC236}">
              <a16:creationId xmlns:a16="http://schemas.microsoft.com/office/drawing/2014/main" id="{00000000-0008-0000-0100-00008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82" name="Drop Down -1022" hidden="1">
          <a:extLst>
            <a:ext uri="{FF2B5EF4-FFF2-40B4-BE49-F238E27FC236}">
              <a16:creationId xmlns:a16="http://schemas.microsoft.com/office/drawing/2014/main" id="{00000000-0008-0000-0100-00008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83" name="Drop Down 1" hidden="1">
          <a:extLst>
            <a:ext uri="{FF2B5EF4-FFF2-40B4-BE49-F238E27FC236}">
              <a16:creationId xmlns:a16="http://schemas.microsoft.com/office/drawing/2014/main" id="{00000000-0008-0000-0100-00008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84" name="Drop Down 1" hidden="1">
          <a:extLst>
            <a:ext uri="{FF2B5EF4-FFF2-40B4-BE49-F238E27FC236}">
              <a16:creationId xmlns:a16="http://schemas.microsoft.com/office/drawing/2014/main" id="{00000000-0008-0000-0100-00009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85" name="Drop Down 1" hidden="1">
          <a:extLst>
            <a:ext uri="{FF2B5EF4-FFF2-40B4-BE49-F238E27FC236}">
              <a16:creationId xmlns:a16="http://schemas.microsoft.com/office/drawing/2014/main" id="{00000000-0008-0000-0100-00009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86" name="Drop Down 1" hidden="1">
          <a:extLst>
            <a:ext uri="{FF2B5EF4-FFF2-40B4-BE49-F238E27FC236}">
              <a16:creationId xmlns:a16="http://schemas.microsoft.com/office/drawing/2014/main" id="{00000000-0008-0000-0100-00009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87" name="Drop Down 2" hidden="1">
          <a:extLst>
            <a:ext uri="{FF2B5EF4-FFF2-40B4-BE49-F238E27FC236}">
              <a16:creationId xmlns:a16="http://schemas.microsoft.com/office/drawing/2014/main" id="{00000000-0008-0000-0100-00009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88" name="Drop Down 1" hidden="1">
          <a:extLst>
            <a:ext uri="{FF2B5EF4-FFF2-40B4-BE49-F238E27FC236}">
              <a16:creationId xmlns:a16="http://schemas.microsoft.com/office/drawing/2014/main" id="{00000000-0008-0000-0100-00009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89" name="Drop Down -1022" hidden="1">
          <a:extLst>
            <a:ext uri="{FF2B5EF4-FFF2-40B4-BE49-F238E27FC236}">
              <a16:creationId xmlns:a16="http://schemas.microsoft.com/office/drawing/2014/main" id="{00000000-0008-0000-0100-00009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90" name="Drop Down 1" hidden="1">
          <a:extLst>
            <a:ext uri="{FF2B5EF4-FFF2-40B4-BE49-F238E27FC236}">
              <a16:creationId xmlns:a16="http://schemas.microsoft.com/office/drawing/2014/main" id="{00000000-0008-0000-0100-00009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91" name="Drop Down 1" hidden="1">
          <a:extLst>
            <a:ext uri="{FF2B5EF4-FFF2-40B4-BE49-F238E27FC236}">
              <a16:creationId xmlns:a16="http://schemas.microsoft.com/office/drawing/2014/main" id="{00000000-0008-0000-0100-00009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92" name="Drop Down 1" hidden="1">
          <a:extLst>
            <a:ext uri="{FF2B5EF4-FFF2-40B4-BE49-F238E27FC236}">
              <a16:creationId xmlns:a16="http://schemas.microsoft.com/office/drawing/2014/main" id="{00000000-0008-0000-0100-00009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93" name="Drop Down 1" hidden="1">
          <a:extLst>
            <a:ext uri="{FF2B5EF4-FFF2-40B4-BE49-F238E27FC236}">
              <a16:creationId xmlns:a16="http://schemas.microsoft.com/office/drawing/2014/main" id="{00000000-0008-0000-0100-00009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94" name="Drop Down 2" hidden="1">
          <a:extLst>
            <a:ext uri="{FF2B5EF4-FFF2-40B4-BE49-F238E27FC236}">
              <a16:creationId xmlns:a16="http://schemas.microsoft.com/office/drawing/2014/main" id="{00000000-0008-0000-0100-00009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95" name="Drop Down 1" hidden="1">
          <a:extLst>
            <a:ext uri="{FF2B5EF4-FFF2-40B4-BE49-F238E27FC236}">
              <a16:creationId xmlns:a16="http://schemas.microsoft.com/office/drawing/2014/main" id="{00000000-0008-0000-0100-00009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396" name="Drop Down -1022" hidden="1">
          <a:extLst>
            <a:ext uri="{FF2B5EF4-FFF2-40B4-BE49-F238E27FC236}">
              <a16:creationId xmlns:a16="http://schemas.microsoft.com/office/drawing/2014/main" id="{00000000-0008-0000-0100-00009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97" name="Drop Down 1" hidden="1">
          <a:extLst>
            <a:ext uri="{FF2B5EF4-FFF2-40B4-BE49-F238E27FC236}">
              <a16:creationId xmlns:a16="http://schemas.microsoft.com/office/drawing/2014/main" id="{00000000-0008-0000-0100-00009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98" name="Drop Down 1" hidden="1">
          <a:extLst>
            <a:ext uri="{FF2B5EF4-FFF2-40B4-BE49-F238E27FC236}">
              <a16:creationId xmlns:a16="http://schemas.microsoft.com/office/drawing/2014/main" id="{00000000-0008-0000-0100-00009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399" name="Drop Down 1" hidden="1">
          <a:extLst>
            <a:ext uri="{FF2B5EF4-FFF2-40B4-BE49-F238E27FC236}">
              <a16:creationId xmlns:a16="http://schemas.microsoft.com/office/drawing/2014/main" id="{00000000-0008-0000-0100-00009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00" name="Drop Down 1" hidden="1">
          <a:extLst>
            <a:ext uri="{FF2B5EF4-FFF2-40B4-BE49-F238E27FC236}">
              <a16:creationId xmlns:a16="http://schemas.microsoft.com/office/drawing/2014/main" id="{00000000-0008-0000-0100-0000A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01" name="Drop Down 2" hidden="1">
          <a:extLst>
            <a:ext uri="{FF2B5EF4-FFF2-40B4-BE49-F238E27FC236}">
              <a16:creationId xmlns:a16="http://schemas.microsoft.com/office/drawing/2014/main" id="{00000000-0008-0000-0100-0000A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02" name="Drop Down 1" hidden="1">
          <a:extLst>
            <a:ext uri="{FF2B5EF4-FFF2-40B4-BE49-F238E27FC236}">
              <a16:creationId xmlns:a16="http://schemas.microsoft.com/office/drawing/2014/main" id="{00000000-0008-0000-0100-0000A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03" name="Drop Down -1022" hidden="1">
          <a:extLst>
            <a:ext uri="{FF2B5EF4-FFF2-40B4-BE49-F238E27FC236}">
              <a16:creationId xmlns:a16="http://schemas.microsoft.com/office/drawing/2014/main" id="{00000000-0008-0000-0100-0000A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04" name="Drop Down 1" hidden="1">
          <a:extLst>
            <a:ext uri="{FF2B5EF4-FFF2-40B4-BE49-F238E27FC236}">
              <a16:creationId xmlns:a16="http://schemas.microsoft.com/office/drawing/2014/main" id="{00000000-0008-0000-0100-0000A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05" name="Drop Down 1" hidden="1">
          <a:extLst>
            <a:ext uri="{FF2B5EF4-FFF2-40B4-BE49-F238E27FC236}">
              <a16:creationId xmlns:a16="http://schemas.microsoft.com/office/drawing/2014/main" id="{00000000-0008-0000-0100-0000A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06" name="Drop Down 1" hidden="1">
          <a:extLst>
            <a:ext uri="{FF2B5EF4-FFF2-40B4-BE49-F238E27FC236}">
              <a16:creationId xmlns:a16="http://schemas.microsoft.com/office/drawing/2014/main" id="{00000000-0008-0000-0100-0000A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07" name="Drop Down 1" hidden="1">
          <a:extLst>
            <a:ext uri="{FF2B5EF4-FFF2-40B4-BE49-F238E27FC236}">
              <a16:creationId xmlns:a16="http://schemas.microsoft.com/office/drawing/2014/main" id="{00000000-0008-0000-0100-0000A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08" name="Drop Down 2" hidden="1">
          <a:extLst>
            <a:ext uri="{FF2B5EF4-FFF2-40B4-BE49-F238E27FC236}">
              <a16:creationId xmlns:a16="http://schemas.microsoft.com/office/drawing/2014/main" id="{00000000-0008-0000-0100-0000A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09" name="Drop Down 1" hidden="1">
          <a:extLst>
            <a:ext uri="{FF2B5EF4-FFF2-40B4-BE49-F238E27FC236}">
              <a16:creationId xmlns:a16="http://schemas.microsoft.com/office/drawing/2014/main" id="{00000000-0008-0000-0100-0000A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10" name="Drop Down -1022" hidden="1">
          <a:extLst>
            <a:ext uri="{FF2B5EF4-FFF2-40B4-BE49-F238E27FC236}">
              <a16:creationId xmlns:a16="http://schemas.microsoft.com/office/drawing/2014/main" id="{00000000-0008-0000-0100-0000A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11" name="Drop Down 1" hidden="1">
          <a:extLst>
            <a:ext uri="{FF2B5EF4-FFF2-40B4-BE49-F238E27FC236}">
              <a16:creationId xmlns:a16="http://schemas.microsoft.com/office/drawing/2014/main" id="{00000000-0008-0000-0100-0000A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12" name="Drop Down 1" hidden="1">
          <a:extLst>
            <a:ext uri="{FF2B5EF4-FFF2-40B4-BE49-F238E27FC236}">
              <a16:creationId xmlns:a16="http://schemas.microsoft.com/office/drawing/2014/main" id="{00000000-0008-0000-0100-0000A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13" name="Drop Down 1" hidden="1">
          <a:extLst>
            <a:ext uri="{FF2B5EF4-FFF2-40B4-BE49-F238E27FC236}">
              <a16:creationId xmlns:a16="http://schemas.microsoft.com/office/drawing/2014/main" id="{00000000-0008-0000-0100-0000A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14" name="Drop Down 1" hidden="1">
          <a:extLst>
            <a:ext uri="{FF2B5EF4-FFF2-40B4-BE49-F238E27FC236}">
              <a16:creationId xmlns:a16="http://schemas.microsoft.com/office/drawing/2014/main" id="{00000000-0008-0000-0100-0000A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15" name="Drop Down 2" hidden="1">
          <a:extLst>
            <a:ext uri="{FF2B5EF4-FFF2-40B4-BE49-F238E27FC236}">
              <a16:creationId xmlns:a16="http://schemas.microsoft.com/office/drawing/2014/main" id="{00000000-0008-0000-0100-0000A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16" name="Drop Down 1" hidden="1">
          <a:extLst>
            <a:ext uri="{FF2B5EF4-FFF2-40B4-BE49-F238E27FC236}">
              <a16:creationId xmlns:a16="http://schemas.microsoft.com/office/drawing/2014/main" id="{00000000-0008-0000-0100-0000B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17" name="Drop Down -1022" hidden="1">
          <a:extLst>
            <a:ext uri="{FF2B5EF4-FFF2-40B4-BE49-F238E27FC236}">
              <a16:creationId xmlns:a16="http://schemas.microsoft.com/office/drawing/2014/main" id="{00000000-0008-0000-0100-0000B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18" name="Drop Down 1" hidden="1">
          <a:extLst>
            <a:ext uri="{FF2B5EF4-FFF2-40B4-BE49-F238E27FC236}">
              <a16:creationId xmlns:a16="http://schemas.microsoft.com/office/drawing/2014/main" id="{00000000-0008-0000-0100-0000B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19" name="Drop Down 1" hidden="1">
          <a:extLst>
            <a:ext uri="{FF2B5EF4-FFF2-40B4-BE49-F238E27FC236}">
              <a16:creationId xmlns:a16="http://schemas.microsoft.com/office/drawing/2014/main" id="{00000000-0008-0000-0100-0000B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20" name="Drop Down 1" hidden="1">
          <a:extLst>
            <a:ext uri="{FF2B5EF4-FFF2-40B4-BE49-F238E27FC236}">
              <a16:creationId xmlns:a16="http://schemas.microsoft.com/office/drawing/2014/main" id="{00000000-0008-0000-0100-0000B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21" name="Drop Down 1" hidden="1">
          <a:extLst>
            <a:ext uri="{FF2B5EF4-FFF2-40B4-BE49-F238E27FC236}">
              <a16:creationId xmlns:a16="http://schemas.microsoft.com/office/drawing/2014/main" id="{00000000-0008-0000-0100-0000B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22" name="Drop Down 2" hidden="1">
          <a:extLst>
            <a:ext uri="{FF2B5EF4-FFF2-40B4-BE49-F238E27FC236}">
              <a16:creationId xmlns:a16="http://schemas.microsoft.com/office/drawing/2014/main" id="{00000000-0008-0000-0100-0000B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23" name="Drop Down 1" hidden="1">
          <a:extLst>
            <a:ext uri="{FF2B5EF4-FFF2-40B4-BE49-F238E27FC236}">
              <a16:creationId xmlns:a16="http://schemas.microsoft.com/office/drawing/2014/main" id="{00000000-0008-0000-0100-0000B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24" name="Drop Down -1022" hidden="1">
          <a:extLst>
            <a:ext uri="{FF2B5EF4-FFF2-40B4-BE49-F238E27FC236}">
              <a16:creationId xmlns:a16="http://schemas.microsoft.com/office/drawing/2014/main" id="{00000000-0008-0000-0100-0000B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25" name="Drop Down 1" hidden="1">
          <a:extLst>
            <a:ext uri="{FF2B5EF4-FFF2-40B4-BE49-F238E27FC236}">
              <a16:creationId xmlns:a16="http://schemas.microsoft.com/office/drawing/2014/main" id="{00000000-0008-0000-0100-0000B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26" name="Drop Down 1" hidden="1">
          <a:extLst>
            <a:ext uri="{FF2B5EF4-FFF2-40B4-BE49-F238E27FC236}">
              <a16:creationId xmlns:a16="http://schemas.microsoft.com/office/drawing/2014/main" id="{00000000-0008-0000-0100-0000B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27" name="Drop Down 1" hidden="1">
          <a:extLst>
            <a:ext uri="{FF2B5EF4-FFF2-40B4-BE49-F238E27FC236}">
              <a16:creationId xmlns:a16="http://schemas.microsoft.com/office/drawing/2014/main" id="{00000000-0008-0000-0100-0000B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28" name="Drop Down 1" hidden="1">
          <a:extLst>
            <a:ext uri="{FF2B5EF4-FFF2-40B4-BE49-F238E27FC236}">
              <a16:creationId xmlns:a16="http://schemas.microsoft.com/office/drawing/2014/main" id="{00000000-0008-0000-0100-0000B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29" name="Drop Down 2" hidden="1">
          <a:extLst>
            <a:ext uri="{FF2B5EF4-FFF2-40B4-BE49-F238E27FC236}">
              <a16:creationId xmlns:a16="http://schemas.microsoft.com/office/drawing/2014/main" id="{00000000-0008-0000-0100-0000B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30" name="Drop Down 1" hidden="1">
          <a:extLst>
            <a:ext uri="{FF2B5EF4-FFF2-40B4-BE49-F238E27FC236}">
              <a16:creationId xmlns:a16="http://schemas.microsoft.com/office/drawing/2014/main" id="{00000000-0008-0000-0100-0000B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31" name="Drop Down -1022" hidden="1">
          <a:extLst>
            <a:ext uri="{FF2B5EF4-FFF2-40B4-BE49-F238E27FC236}">
              <a16:creationId xmlns:a16="http://schemas.microsoft.com/office/drawing/2014/main" id="{00000000-0008-0000-0100-0000B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432" name="Drop Down 1" hidden="1">
          <a:extLst>
            <a:ext uri="{FF2B5EF4-FFF2-40B4-BE49-F238E27FC236}">
              <a16:creationId xmlns:a16="http://schemas.microsoft.com/office/drawing/2014/main" id="{00000000-0008-0000-0100-0000C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433" name="Drop Down 1" hidden="1">
          <a:extLst>
            <a:ext uri="{FF2B5EF4-FFF2-40B4-BE49-F238E27FC236}">
              <a16:creationId xmlns:a16="http://schemas.microsoft.com/office/drawing/2014/main" id="{00000000-0008-0000-0100-0000C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434" name="Drop Down 1" hidden="1">
          <a:extLst>
            <a:ext uri="{FF2B5EF4-FFF2-40B4-BE49-F238E27FC236}">
              <a16:creationId xmlns:a16="http://schemas.microsoft.com/office/drawing/2014/main" id="{00000000-0008-0000-0100-0000C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435" name="Drop Down 1" hidden="1">
          <a:extLst>
            <a:ext uri="{FF2B5EF4-FFF2-40B4-BE49-F238E27FC236}">
              <a16:creationId xmlns:a16="http://schemas.microsoft.com/office/drawing/2014/main" id="{00000000-0008-0000-0100-0000C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436" name="Drop Down 2" hidden="1">
          <a:extLst>
            <a:ext uri="{FF2B5EF4-FFF2-40B4-BE49-F238E27FC236}">
              <a16:creationId xmlns:a16="http://schemas.microsoft.com/office/drawing/2014/main" id="{00000000-0008-0000-0100-0000C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437" name="Drop Down 1" hidden="1">
          <a:extLst>
            <a:ext uri="{FF2B5EF4-FFF2-40B4-BE49-F238E27FC236}">
              <a16:creationId xmlns:a16="http://schemas.microsoft.com/office/drawing/2014/main" id="{00000000-0008-0000-0100-0000C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438" name="Drop Down -1022" hidden="1">
          <a:extLst>
            <a:ext uri="{FF2B5EF4-FFF2-40B4-BE49-F238E27FC236}">
              <a16:creationId xmlns:a16="http://schemas.microsoft.com/office/drawing/2014/main" id="{00000000-0008-0000-0100-0000C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439" name="Drop Down 1" hidden="1">
          <a:extLst>
            <a:ext uri="{FF2B5EF4-FFF2-40B4-BE49-F238E27FC236}">
              <a16:creationId xmlns:a16="http://schemas.microsoft.com/office/drawing/2014/main" id="{00000000-0008-0000-0100-0000C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440" name="Drop Down 1" hidden="1">
          <a:extLst>
            <a:ext uri="{FF2B5EF4-FFF2-40B4-BE49-F238E27FC236}">
              <a16:creationId xmlns:a16="http://schemas.microsoft.com/office/drawing/2014/main" id="{00000000-0008-0000-0100-0000C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441" name="Drop Down 1" hidden="1">
          <a:extLst>
            <a:ext uri="{FF2B5EF4-FFF2-40B4-BE49-F238E27FC236}">
              <a16:creationId xmlns:a16="http://schemas.microsoft.com/office/drawing/2014/main" id="{00000000-0008-0000-0100-0000C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442" name="Drop Down 1" hidden="1">
          <a:extLst>
            <a:ext uri="{FF2B5EF4-FFF2-40B4-BE49-F238E27FC236}">
              <a16:creationId xmlns:a16="http://schemas.microsoft.com/office/drawing/2014/main" id="{00000000-0008-0000-0100-0000C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443" name="Drop Down 2" hidden="1">
          <a:extLst>
            <a:ext uri="{FF2B5EF4-FFF2-40B4-BE49-F238E27FC236}">
              <a16:creationId xmlns:a16="http://schemas.microsoft.com/office/drawing/2014/main" id="{00000000-0008-0000-0100-0000C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444" name="Drop Down 1" hidden="1">
          <a:extLst>
            <a:ext uri="{FF2B5EF4-FFF2-40B4-BE49-F238E27FC236}">
              <a16:creationId xmlns:a16="http://schemas.microsoft.com/office/drawing/2014/main" id="{00000000-0008-0000-0100-0000C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445" name="Drop Down -1022" hidden="1">
          <a:extLst>
            <a:ext uri="{FF2B5EF4-FFF2-40B4-BE49-F238E27FC236}">
              <a16:creationId xmlns:a16="http://schemas.microsoft.com/office/drawing/2014/main" id="{00000000-0008-0000-0100-0000C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46" name="Drop Down 1" hidden="1">
          <a:extLst>
            <a:ext uri="{FF2B5EF4-FFF2-40B4-BE49-F238E27FC236}">
              <a16:creationId xmlns:a16="http://schemas.microsoft.com/office/drawing/2014/main" id="{00000000-0008-0000-0100-0000C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47" name="Drop Down 1" hidden="1">
          <a:extLst>
            <a:ext uri="{FF2B5EF4-FFF2-40B4-BE49-F238E27FC236}">
              <a16:creationId xmlns:a16="http://schemas.microsoft.com/office/drawing/2014/main" id="{00000000-0008-0000-0100-0000C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48" name="Drop Down 1" hidden="1">
          <a:extLst>
            <a:ext uri="{FF2B5EF4-FFF2-40B4-BE49-F238E27FC236}">
              <a16:creationId xmlns:a16="http://schemas.microsoft.com/office/drawing/2014/main" id="{00000000-0008-0000-0100-0000D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49" name="Drop Down 1" hidden="1">
          <a:extLst>
            <a:ext uri="{FF2B5EF4-FFF2-40B4-BE49-F238E27FC236}">
              <a16:creationId xmlns:a16="http://schemas.microsoft.com/office/drawing/2014/main" id="{00000000-0008-0000-0100-0000D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50" name="Drop Down 2" hidden="1">
          <a:extLst>
            <a:ext uri="{FF2B5EF4-FFF2-40B4-BE49-F238E27FC236}">
              <a16:creationId xmlns:a16="http://schemas.microsoft.com/office/drawing/2014/main" id="{00000000-0008-0000-0100-0000D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51" name="Drop Down 1" hidden="1">
          <a:extLst>
            <a:ext uri="{FF2B5EF4-FFF2-40B4-BE49-F238E27FC236}">
              <a16:creationId xmlns:a16="http://schemas.microsoft.com/office/drawing/2014/main" id="{00000000-0008-0000-0100-0000D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52" name="Drop Down -1022" hidden="1">
          <a:extLst>
            <a:ext uri="{FF2B5EF4-FFF2-40B4-BE49-F238E27FC236}">
              <a16:creationId xmlns:a16="http://schemas.microsoft.com/office/drawing/2014/main" id="{00000000-0008-0000-0100-0000D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53" name="Drop Down 1" hidden="1">
          <a:extLst>
            <a:ext uri="{FF2B5EF4-FFF2-40B4-BE49-F238E27FC236}">
              <a16:creationId xmlns:a16="http://schemas.microsoft.com/office/drawing/2014/main" id="{00000000-0008-0000-0100-0000D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54" name="Drop Down 1" hidden="1">
          <a:extLst>
            <a:ext uri="{FF2B5EF4-FFF2-40B4-BE49-F238E27FC236}">
              <a16:creationId xmlns:a16="http://schemas.microsoft.com/office/drawing/2014/main" id="{00000000-0008-0000-0100-0000D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55" name="Drop Down 1" hidden="1">
          <a:extLst>
            <a:ext uri="{FF2B5EF4-FFF2-40B4-BE49-F238E27FC236}">
              <a16:creationId xmlns:a16="http://schemas.microsoft.com/office/drawing/2014/main" id="{00000000-0008-0000-0100-0000D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56" name="Drop Down 1" hidden="1">
          <a:extLst>
            <a:ext uri="{FF2B5EF4-FFF2-40B4-BE49-F238E27FC236}">
              <a16:creationId xmlns:a16="http://schemas.microsoft.com/office/drawing/2014/main" id="{00000000-0008-0000-0100-0000D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57" name="Drop Down 2" hidden="1">
          <a:extLst>
            <a:ext uri="{FF2B5EF4-FFF2-40B4-BE49-F238E27FC236}">
              <a16:creationId xmlns:a16="http://schemas.microsoft.com/office/drawing/2014/main" id="{00000000-0008-0000-0100-0000D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58" name="Drop Down 1" hidden="1">
          <a:extLst>
            <a:ext uri="{FF2B5EF4-FFF2-40B4-BE49-F238E27FC236}">
              <a16:creationId xmlns:a16="http://schemas.microsoft.com/office/drawing/2014/main" id="{00000000-0008-0000-0100-0000D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59" name="Drop Down -1022" hidden="1">
          <a:extLst>
            <a:ext uri="{FF2B5EF4-FFF2-40B4-BE49-F238E27FC236}">
              <a16:creationId xmlns:a16="http://schemas.microsoft.com/office/drawing/2014/main" id="{00000000-0008-0000-0100-0000D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60" name="Drop Down 1" hidden="1">
          <a:extLst>
            <a:ext uri="{FF2B5EF4-FFF2-40B4-BE49-F238E27FC236}">
              <a16:creationId xmlns:a16="http://schemas.microsoft.com/office/drawing/2014/main" id="{00000000-0008-0000-0100-0000D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61" name="Drop Down 1" hidden="1">
          <a:extLst>
            <a:ext uri="{FF2B5EF4-FFF2-40B4-BE49-F238E27FC236}">
              <a16:creationId xmlns:a16="http://schemas.microsoft.com/office/drawing/2014/main" id="{00000000-0008-0000-0100-0000D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62" name="Drop Down 1" hidden="1">
          <a:extLst>
            <a:ext uri="{FF2B5EF4-FFF2-40B4-BE49-F238E27FC236}">
              <a16:creationId xmlns:a16="http://schemas.microsoft.com/office/drawing/2014/main" id="{00000000-0008-0000-0100-0000D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63" name="Drop Down 1" hidden="1">
          <a:extLst>
            <a:ext uri="{FF2B5EF4-FFF2-40B4-BE49-F238E27FC236}">
              <a16:creationId xmlns:a16="http://schemas.microsoft.com/office/drawing/2014/main" id="{00000000-0008-0000-0100-0000D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64" name="Drop Down 2" hidden="1">
          <a:extLst>
            <a:ext uri="{FF2B5EF4-FFF2-40B4-BE49-F238E27FC236}">
              <a16:creationId xmlns:a16="http://schemas.microsoft.com/office/drawing/2014/main" id="{00000000-0008-0000-0100-0000E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65" name="Drop Down 1" hidden="1">
          <a:extLst>
            <a:ext uri="{FF2B5EF4-FFF2-40B4-BE49-F238E27FC236}">
              <a16:creationId xmlns:a16="http://schemas.microsoft.com/office/drawing/2014/main" id="{00000000-0008-0000-0100-0000E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66" name="Drop Down -1022" hidden="1">
          <a:extLst>
            <a:ext uri="{FF2B5EF4-FFF2-40B4-BE49-F238E27FC236}">
              <a16:creationId xmlns:a16="http://schemas.microsoft.com/office/drawing/2014/main" id="{00000000-0008-0000-0100-0000E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67" name="Drop Down 1" hidden="1">
          <a:extLst>
            <a:ext uri="{FF2B5EF4-FFF2-40B4-BE49-F238E27FC236}">
              <a16:creationId xmlns:a16="http://schemas.microsoft.com/office/drawing/2014/main" id="{00000000-0008-0000-0100-0000E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68" name="Drop Down 1" hidden="1">
          <a:extLst>
            <a:ext uri="{FF2B5EF4-FFF2-40B4-BE49-F238E27FC236}">
              <a16:creationId xmlns:a16="http://schemas.microsoft.com/office/drawing/2014/main" id="{00000000-0008-0000-0100-0000E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69" name="Drop Down 1" hidden="1">
          <a:extLst>
            <a:ext uri="{FF2B5EF4-FFF2-40B4-BE49-F238E27FC236}">
              <a16:creationId xmlns:a16="http://schemas.microsoft.com/office/drawing/2014/main" id="{00000000-0008-0000-0100-0000E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70" name="Drop Down 1" hidden="1">
          <a:extLst>
            <a:ext uri="{FF2B5EF4-FFF2-40B4-BE49-F238E27FC236}">
              <a16:creationId xmlns:a16="http://schemas.microsoft.com/office/drawing/2014/main" id="{00000000-0008-0000-0100-0000E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71" name="Drop Down 2" hidden="1">
          <a:extLst>
            <a:ext uri="{FF2B5EF4-FFF2-40B4-BE49-F238E27FC236}">
              <a16:creationId xmlns:a16="http://schemas.microsoft.com/office/drawing/2014/main" id="{00000000-0008-0000-0100-0000E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72" name="Drop Down 1" hidden="1">
          <a:extLst>
            <a:ext uri="{FF2B5EF4-FFF2-40B4-BE49-F238E27FC236}">
              <a16:creationId xmlns:a16="http://schemas.microsoft.com/office/drawing/2014/main" id="{00000000-0008-0000-0100-0000E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73" name="Drop Down -1022" hidden="1">
          <a:extLst>
            <a:ext uri="{FF2B5EF4-FFF2-40B4-BE49-F238E27FC236}">
              <a16:creationId xmlns:a16="http://schemas.microsoft.com/office/drawing/2014/main" id="{00000000-0008-0000-0100-0000E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74" name="Drop Down 1" hidden="1">
          <a:extLst>
            <a:ext uri="{FF2B5EF4-FFF2-40B4-BE49-F238E27FC236}">
              <a16:creationId xmlns:a16="http://schemas.microsoft.com/office/drawing/2014/main" id="{00000000-0008-0000-0100-0000E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75" name="Drop Down 1" hidden="1">
          <a:extLst>
            <a:ext uri="{FF2B5EF4-FFF2-40B4-BE49-F238E27FC236}">
              <a16:creationId xmlns:a16="http://schemas.microsoft.com/office/drawing/2014/main" id="{00000000-0008-0000-0100-0000E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76" name="Drop Down 1" hidden="1">
          <a:extLst>
            <a:ext uri="{FF2B5EF4-FFF2-40B4-BE49-F238E27FC236}">
              <a16:creationId xmlns:a16="http://schemas.microsoft.com/office/drawing/2014/main" id="{00000000-0008-0000-0100-0000E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77" name="Drop Down 1" hidden="1">
          <a:extLst>
            <a:ext uri="{FF2B5EF4-FFF2-40B4-BE49-F238E27FC236}">
              <a16:creationId xmlns:a16="http://schemas.microsoft.com/office/drawing/2014/main" id="{00000000-0008-0000-0100-0000E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78" name="Drop Down 2" hidden="1">
          <a:extLst>
            <a:ext uri="{FF2B5EF4-FFF2-40B4-BE49-F238E27FC236}">
              <a16:creationId xmlns:a16="http://schemas.microsoft.com/office/drawing/2014/main" id="{00000000-0008-0000-0100-0000E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79" name="Drop Down 1" hidden="1">
          <a:extLst>
            <a:ext uri="{FF2B5EF4-FFF2-40B4-BE49-F238E27FC236}">
              <a16:creationId xmlns:a16="http://schemas.microsoft.com/office/drawing/2014/main" id="{00000000-0008-0000-0100-0000E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80" name="Drop Down -1022" hidden="1">
          <a:extLst>
            <a:ext uri="{FF2B5EF4-FFF2-40B4-BE49-F238E27FC236}">
              <a16:creationId xmlns:a16="http://schemas.microsoft.com/office/drawing/2014/main" id="{00000000-0008-0000-0100-0000F0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81" name="Drop Down 1" hidden="1">
          <a:extLst>
            <a:ext uri="{FF2B5EF4-FFF2-40B4-BE49-F238E27FC236}">
              <a16:creationId xmlns:a16="http://schemas.microsoft.com/office/drawing/2014/main" id="{00000000-0008-0000-0100-0000F1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82" name="Drop Down 1" hidden="1">
          <a:extLst>
            <a:ext uri="{FF2B5EF4-FFF2-40B4-BE49-F238E27FC236}">
              <a16:creationId xmlns:a16="http://schemas.microsoft.com/office/drawing/2014/main" id="{00000000-0008-0000-0100-0000F2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83" name="Drop Down 1" hidden="1">
          <a:extLst>
            <a:ext uri="{FF2B5EF4-FFF2-40B4-BE49-F238E27FC236}">
              <a16:creationId xmlns:a16="http://schemas.microsoft.com/office/drawing/2014/main" id="{00000000-0008-0000-0100-0000F3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84" name="Drop Down 1" hidden="1">
          <a:extLst>
            <a:ext uri="{FF2B5EF4-FFF2-40B4-BE49-F238E27FC236}">
              <a16:creationId xmlns:a16="http://schemas.microsoft.com/office/drawing/2014/main" id="{00000000-0008-0000-0100-0000F4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85" name="Drop Down 2" hidden="1">
          <a:extLst>
            <a:ext uri="{FF2B5EF4-FFF2-40B4-BE49-F238E27FC236}">
              <a16:creationId xmlns:a16="http://schemas.microsoft.com/office/drawing/2014/main" id="{00000000-0008-0000-0100-0000F5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86" name="Drop Down 1" hidden="1">
          <a:extLst>
            <a:ext uri="{FF2B5EF4-FFF2-40B4-BE49-F238E27FC236}">
              <a16:creationId xmlns:a16="http://schemas.microsoft.com/office/drawing/2014/main" id="{00000000-0008-0000-0100-0000F6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87" name="Drop Down -1022" hidden="1">
          <a:extLst>
            <a:ext uri="{FF2B5EF4-FFF2-40B4-BE49-F238E27FC236}">
              <a16:creationId xmlns:a16="http://schemas.microsoft.com/office/drawing/2014/main" id="{00000000-0008-0000-0100-0000F7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88" name="Drop Down 1" hidden="1">
          <a:extLst>
            <a:ext uri="{FF2B5EF4-FFF2-40B4-BE49-F238E27FC236}">
              <a16:creationId xmlns:a16="http://schemas.microsoft.com/office/drawing/2014/main" id="{00000000-0008-0000-0100-0000F8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89" name="Drop Down 1" hidden="1">
          <a:extLst>
            <a:ext uri="{FF2B5EF4-FFF2-40B4-BE49-F238E27FC236}">
              <a16:creationId xmlns:a16="http://schemas.microsoft.com/office/drawing/2014/main" id="{00000000-0008-0000-0100-0000F9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90" name="Drop Down 1" hidden="1">
          <a:extLst>
            <a:ext uri="{FF2B5EF4-FFF2-40B4-BE49-F238E27FC236}">
              <a16:creationId xmlns:a16="http://schemas.microsoft.com/office/drawing/2014/main" id="{00000000-0008-0000-0100-0000FA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91" name="Drop Down 1" hidden="1">
          <a:extLst>
            <a:ext uri="{FF2B5EF4-FFF2-40B4-BE49-F238E27FC236}">
              <a16:creationId xmlns:a16="http://schemas.microsoft.com/office/drawing/2014/main" id="{00000000-0008-0000-0100-0000FB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92" name="Drop Down 2" hidden="1">
          <a:extLst>
            <a:ext uri="{FF2B5EF4-FFF2-40B4-BE49-F238E27FC236}">
              <a16:creationId xmlns:a16="http://schemas.microsoft.com/office/drawing/2014/main" id="{00000000-0008-0000-0100-0000FC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93" name="Drop Down 1" hidden="1">
          <a:extLst>
            <a:ext uri="{FF2B5EF4-FFF2-40B4-BE49-F238E27FC236}">
              <a16:creationId xmlns:a16="http://schemas.microsoft.com/office/drawing/2014/main" id="{00000000-0008-0000-0100-0000FD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494" name="Drop Down -1022" hidden="1">
          <a:extLst>
            <a:ext uri="{FF2B5EF4-FFF2-40B4-BE49-F238E27FC236}">
              <a16:creationId xmlns:a16="http://schemas.microsoft.com/office/drawing/2014/main" id="{00000000-0008-0000-0100-0000FE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95" name="Drop Down 1" hidden="1">
          <a:extLst>
            <a:ext uri="{FF2B5EF4-FFF2-40B4-BE49-F238E27FC236}">
              <a16:creationId xmlns:a16="http://schemas.microsoft.com/office/drawing/2014/main" id="{00000000-0008-0000-0100-0000FF28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96" name="Drop Down 1" hidden="1">
          <a:extLst>
            <a:ext uri="{FF2B5EF4-FFF2-40B4-BE49-F238E27FC236}">
              <a16:creationId xmlns:a16="http://schemas.microsoft.com/office/drawing/2014/main" id="{00000000-0008-0000-0100-00000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97" name="Drop Down 1" hidden="1">
          <a:extLst>
            <a:ext uri="{FF2B5EF4-FFF2-40B4-BE49-F238E27FC236}">
              <a16:creationId xmlns:a16="http://schemas.microsoft.com/office/drawing/2014/main" id="{00000000-0008-0000-0100-00000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98" name="Drop Down 1" hidden="1">
          <a:extLst>
            <a:ext uri="{FF2B5EF4-FFF2-40B4-BE49-F238E27FC236}">
              <a16:creationId xmlns:a16="http://schemas.microsoft.com/office/drawing/2014/main" id="{00000000-0008-0000-0100-00000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499" name="Drop Down 2" hidden="1">
          <a:extLst>
            <a:ext uri="{FF2B5EF4-FFF2-40B4-BE49-F238E27FC236}">
              <a16:creationId xmlns:a16="http://schemas.microsoft.com/office/drawing/2014/main" id="{00000000-0008-0000-0100-00000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00" name="Drop Down 1" hidden="1">
          <a:extLst>
            <a:ext uri="{FF2B5EF4-FFF2-40B4-BE49-F238E27FC236}">
              <a16:creationId xmlns:a16="http://schemas.microsoft.com/office/drawing/2014/main" id="{00000000-0008-0000-0100-00000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01" name="Drop Down -1022" hidden="1">
          <a:extLst>
            <a:ext uri="{FF2B5EF4-FFF2-40B4-BE49-F238E27FC236}">
              <a16:creationId xmlns:a16="http://schemas.microsoft.com/office/drawing/2014/main" id="{00000000-0008-0000-0100-00000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02" name="Drop Down 1" hidden="1">
          <a:extLst>
            <a:ext uri="{FF2B5EF4-FFF2-40B4-BE49-F238E27FC236}">
              <a16:creationId xmlns:a16="http://schemas.microsoft.com/office/drawing/2014/main" id="{00000000-0008-0000-0100-00000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03" name="Drop Down 1" hidden="1">
          <a:extLst>
            <a:ext uri="{FF2B5EF4-FFF2-40B4-BE49-F238E27FC236}">
              <a16:creationId xmlns:a16="http://schemas.microsoft.com/office/drawing/2014/main" id="{00000000-0008-0000-0100-00000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04" name="Drop Down 1" hidden="1">
          <a:extLst>
            <a:ext uri="{FF2B5EF4-FFF2-40B4-BE49-F238E27FC236}">
              <a16:creationId xmlns:a16="http://schemas.microsoft.com/office/drawing/2014/main" id="{00000000-0008-0000-0100-00000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05" name="Drop Down 1" hidden="1">
          <a:extLst>
            <a:ext uri="{FF2B5EF4-FFF2-40B4-BE49-F238E27FC236}">
              <a16:creationId xmlns:a16="http://schemas.microsoft.com/office/drawing/2014/main" id="{00000000-0008-0000-0100-00000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06" name="Drop Down 2" hidden="1">
          <a:extLst>
            <a:ext uri="{FF2B5EF4-FFF2-40B4-BE49-F238E27FC236}">
              <a16:creationId xmlns:a16="http://schemas.microsoft.com/office/drawing/2014/main" id="{00000000-0008-0000-0100-00000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07" name="Drop Down 1" hidden="1">
          <a:extLst>
            <a:ext uri="{FF2B5EF4-FFF2-40B4-BE49-F238E27FC236}">
              <a16:creationId xmlns:a16="http://schemas.microsoft.com/office/drawing/2014/main" id="{00000000-0008-0000-0100-00000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08" name="Drop Down -1022" hidden="1">
          <a:extLst>
            <a:ext uri="{FF2B5EF4-FFF2-40B4-BE49-F238E27FC236}">
              <a16:creationId xmlns:a16="http://schemas.microsoft.com/office/drawing/2014/main" id="{00000000-0008-0000-0100-00000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09" name="Drop Down 1" hidden="1">
          <a:extLst>
            <a:ext uri="{FF2B5EF4-FFF2-40B4-BE49-F238E27FC236}">
              <a16:creationId xmlns:a16="http://schemas.microsoft.com/office/drawing/2014/main" id="{00000000-0008-0000-0100-00000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10" name="Drop Down 1" hidden="1">
          <a:extLst>
            <a:ext uri="{FF2B5EF4-FFF2-40B4-BE49-F238E27FC236}">
              <a16:creationId xmlns:a16="http://schemas.microsoft.com/office/drawing/2014/main" id="{00000000-0008-0000-0100-00000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11" name="Drop Down 1" hidden="1">
          <a:extLst>
            <a:ext uri="{FF2B5EF4-FFF2-40B4-BE49-F238E27FC236}">
              <a16:creationId xmlns:a16="http://schemas.microsoft.com/office/drawing/2014/main" id="{00000000-0008-0000-0100-00000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12" name="Drop Down 1" hidden="1">
          <a:extLst>
            <a:ext uri="{FF2B5EF4-FFF2-40B4-BE49-F238E27FC236}">
              <a16:creationId xmlns:a16="http://schemas.microsoft.com/office/drawing/2014/main" id="{00000000-0008-0000-0100-00001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13" name="Drop Down 2" hidden="1">
          <a:extLst>
            <a:ext uri="{FF2B5EF4-FFF2-40B4-BE49-F238E27FC236}">
              <a16:creationId xmlns:a16="http://schemas.microsoft.com/office/drawing/2014/main" id="{00000000-0008-0000-0100-00001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14" name="Drop Down 1" hidden="1">
          <a:extLst>
            <a:ext uri="{FF2B5EF4-FFF2-40B4-BE49-F238E27FC236}">
              <a16:creationId xmlns:a16="http://schemas.microsoft.com/office/drawing/2014/main" id="{00000000-0008-0000-0100-00001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15" name="Drop Down -1022" hidden="1">
          <a:extLst>
            <a:ext uri="{FF2B5EF4-FFF2-40B4-BE49-F238E27FC236}">
              <a16:creationId xmlns:a16="http://schemas.microsoft.com/office/drawing/2014/main" id="{00000000-0008-0000-0100-00001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5580"/>
    <xdr:sp macro="" textlink="">
      <xdr:nvSpPr>
        <xdr:cNvPr id="10516" name="Drop Down 1" hidden="1">
          <a:extLst>
            <a:ext uri="{FF2B5EF4-FFF2-40B4-BE49-F238E27FC236}">
              <a16:creationId xmlns:a16="http://schemas.microsoft.com/office/drawing/2014/main" id="{00000000-0008-0000-0100-00001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5580"/>
    <xdr:sp macro="" textlink="">
      <xdr:nvSpPr>
        <xdr:cNvPr id="10517" name="Drop Down 1" hidden="1">
          <a:extLst>
            <a:ext uri="{FF2B5EF4-FFF2-40B4-BE49-F238E27FC236}">
              <a16:creationId xmlns:a16="http://schemas.microsoft.com/office/drawing/2014/main" id="{00000000-0008-0000-0100-00001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5580"/>
    <xdr:sp macro="" textlink="">
      <xdr:nvSpPr>
        <xdr:cNvPr id="10518" name="Drop Down 1" hidden="1">
          <a:extLst>
            <a:ext uri="{FF2B5EF4-FFF2-40B4-BE49-F238E27FC236}">
              <a16:creationId xmlns:a16="http://schemas.microsoft.com/office/drawing/2014/main" id="{00000000-0008-0000-0100-00001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5580"/>
    <xdr:sp macro="" textlink="">
      <xdr:nvSpPr>
        <xdr:cNvPr id="10519" name="Drop Down 1" hidden="1">
          <a:extLst>
            <a:ext uri="{FF2B5EF4-FFF2-40B4-BE49-F238E27FC236}">
              <a16:creationId xmlns:a16="http://schemas.microsoft.com/office/drawing/2014/main" id="{00000000-0008-0000-0100-00001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5580"/>
    <xdr:sp macro="" textlink="">
      <xdr:nvSpPr>
        <xdr:cNvPr id="10520" name="Drop Down 2" hidden="1">
          <a:extLst>
            <a:ext uri="{FF2B5EF4-FFF2-40B4-BE49-F238E27FC236}">
              <a16:creationId xmlns:a16="http://schemas.microsoft.com/office/drawing/2014/main" id="{00000000-0008-0000-0100-00001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5580"/>
    <xdr:sp macro="" textlink="">
      <xdr:nvSpPr>
        <xdr:cNvPr id="10521" name="Drop Down 1" hidden="1">
          <a:extLst>
            <a:ext uri="{FF2B5EF4-FFF2-40B4-BE49-F238E27FC236}">
              <a16:creationId xmlns:a16="http://schemas.microsoft.com/office/drawing/2014/main" id="{00000000-0008-0000-0100-00001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5580"/>
    <xdr:sp macro="" textlink="">
      <xdr:nvSpPr>
        <xdr:cNvPr id="10522" name="Drop Down -1022" hidden="1">
          <a:extLst>
            <a:ext uri="{FF2B5EF4-FFF2-40B4-BE49-F238E27FC236}">
              <a16:creationId xmlns:a16="http://schemas.microsoft.com/office/drawing/2014/main" id="{00000000-0008-0000-0100-00001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5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3821"/>
    <xdr:sp macro="" textlink="">
      <xdr:nvSpPr>
        <xdr:cNvPr id="10523" name="Drop Down 1" hidden="1">
          <a:extLst>
            <a:ext uri="{FF2B5EF4-FFF2-40B4-BE49-F238E27FC236}">
              <a16:creationId xmlns:a16="http://schemas.microsoft.com/office/drawing/2014/main" id="{00000000-0008-0000-0100-00001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3821"/>
    <xdr:sp macro="" textlink="">
      <xdr:nvSpPr>
        <xdr:cNvPr id="10524" name="Drop Down 1" hidden="1">
          <a:extLst>
            <a:ext uri="{FF2B5EF4-FFF2-40B4-BE49-F238E27FC236}">
              <a16:creationId xmlns:a16="http://schemas.microsoft.com/office/drawing/2014/main" id="{00000000-0008-0000-0100-00001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3821"/>
    <xdr:sp macro="" textlink="">
      <xdr:nvSpPr>
        <xdr:cNvPr id="10525" name="Drop Down 1" hidden="1">
          <a:extLst>
            <a:ext uri="{FF2B5EF4-FFF2-40B4-BE49-F238E27FC236}">
              <a16:creationId xmlns:a16="http://schemas.microsoft.com/office/drawing/2014/main" id="{00000000-0008-0000-0100-00001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3821"/>
    <xdr:sp macro="" textlink="">
      <xdr:nvSpPr>
        <xdr:cNvPr id="10526" name="Drop Down 1" hidden="1">
          <a:extLst>
            <a:ext uri="{FF2B5EF4-FFF2-40B4-BE49-F238E27FC236}">
              <a16:creationId xmlns:a16="http://schemas.microsoft.com/office/drawing/2014/main" id="{00000000-0008-0000-0100-00001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3821"/>
    <xdr:sp macro="" textlink="">
      <xdr:nvSpPr>
        <xdr:cNvPr id="10527" name="Drop Down 2" hidden="1">
          <a:extLst>
            <a:ext uri="{FF2B5EF4-FFF2-40B4-BE49-F238E27FC236}">
              <a16:creationId xmlns:a16="http://schemas.microsoft.com/office/drawing/2014/main" id="{00000000-0008-0000-0100-00001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3821"/>
    <xdr:sp macro="" textlink="">
      <xdr:nvSpPr>
        <xdr:cNvPr id="10528" name="Drop Down 1" hidden="1">
          <a:extLst>
            <a:ext uri="{FF2B5EF4-FFF2-40B4-BE49-F238E27FC236}">
              <a16:creationId xmlns:a16="http://schemas.microsoft.com/office/drawing/2014/main" id="{00000000-0008-0000-0100-00002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9002" cy="213821"/>
    <xdr:sp macro="" textlink="">
      <xdr:nvSpPr>
        <xdr:cNvPr id="10529" name="Drop Down -1022" hidden="1">
          <a:extLst>
            <a:ext uri="{FF2B5EF4-FFF2-40B4-BE49-F238E27FC236}">
              <a16:creationId xmlns:a16="http://schemas.microsoft.com/office/drawing/2014/main" id="{00000000-0008-0000-0100-00002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9002" cy="21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30" name="Drop Down 1" hidden="1">
          <a:extLst>
            <a:ext uri="{FF2B5EF4-FFF2-40B4-BE49-F238E27FC236}">
              <a16:creationId xmlns:a16="http://schemas.microsoft.com/office/drawing/2014/main" id="{00000000-0008-0000-0100-00002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31" name="Drop Down 1" hidden="1">
          <a:extLst>
            <a:ext uri="{FF2B5EF4-FFF2-40B4-BE49-F238E27FC236}">
              <a16:creationId xmlns:a16="http://schemas.microsoft.com/office/drawing/2014/main" id="{00000000-0008-0000-0100-00002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32" name="Drop Down 1" hidden="1">
          <a:extLst>
            <a:ext uri="{FF2B5EF4-FFF2-40B4-BE49-F238E27FC236}">
              <a16:creationId xmlns:a16="http://schemas.microsoft.com/office/drawing/2014/main" id="{00000000-0008-0000-0100-00002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33" name="Drop Down 1" hidden="1">
          <a:extLst>
            <a:ext uri="{FF2B5EF4-FFF2-40B4-BE49-F238E27FC236}">
              <a16:creationId xmlns:a16="http://schemas.microsoft.com/office/drawing/2014/main" id="{00000000-0008-0000-0100-00002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34" name="Drop Down 2" hidden="1">
          <a:extLst>
            <a:ext uri="{FF2B5EF4-FFF2-40B4-BE49-F238E27FC236}">
              <a16:creationId xmlns:a16="http://schemas.microsoft.com/office/drawing/2014/main" id="{00000000-0008-0000-0100-00002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35" name="Drop Down 1" hidden="1">
          <a:extLst>
            <a:ext uri="{FF2B5EF4-FFF2-40B4-BE49-F238E27FC236}">
              <a16:creationId xmlns:a16="http://schemas.microsoft.com/office/drawing/2014/main" id="{00000000-0008-0000-0100-00002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36" name="Drop Down -1022" hidden="1">
          <a:extLst>
            <a:ext uri="{FF2B5EF4-FFF2-40B4-BE49-F238E27FC236}">
              <a16:creationId xmlns:a16="http://schemas.microsoft.com/office/drawing/2014/main" id="{00000000-0008-0000-0100-00002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37" name="Drop Down 1" hidden="1">
          <a:extLst>
            <a:ext uri="{FF2B5EF4-FFF2-40B4-BE49-F238E27FC236}">
              <a16:creationId xmlns:a16="http://schemas.microsoft.com/office/drawing/2014/main" id="{00000000-0008-0000-0100-00002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38" name="Drop Down 1" hidden="1">
          <a:extLst>
            <a:ext uri="{FF2B5EF4-FFF2-40B4-BE49-F238E27FC236}">
              <a16:creationId xmlns:a16="http://schemas.microsoft.com/office/drawing/2014/main" id="{00000000-0008-0000-0100-00002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39" name="Drop Down 1" hidden="1">
          <a:extLst>
            <a:ext uri="{FF2B5EF4-FFF2-40B4-BE49-F238E27FC236}">
              <a16:creationId xmlns:a16="http://schemas.microsoft.com/office/drawing/2014/main" id="{00000000-0008-0000-0100-00002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40" name="Drop Down 1" hidden="1">
          <a:extLst>
            <a:ext uri="{FF2B5EF4-FFF2-40B4-BE49-F238E27FC236}">
              <a16:creationId xmlns:a16="http://schemas.microsoft.com/office/drawing/2014/main" id="{00000000-0008-0000-0100-00002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41" name="Drop Down 2" hidden="1">
          <a:extLst>
            <a:ext uri="{FF2B5EF4-FFF2-40B4-BE49-F238E27FC236}">
              <a16:creationId xmlns:a16="http://schemas.microsoft.com/office/drawing/2014/main" id="{00000000-0008-0000-0100-00002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42" name="Drop Down 1" hidden="1">
          <a:extLst>
            <a:ext uri="{FF2B5EF4-FFF2-40B4-BE49-F238E27FC236}">
              <a16:creationId xmlns:a16="http://schemas.microsoft.com/office/drawing/2014/main" id="{00000000-0008-0000-0100-00002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43" name="Drop Down -1022" hidden="1">
          <a:extLst>
            <a:ext uri="{FF2B5EF4-FFF2-40B4-BE49-F238E27FC236}">
              <a16:creationId xmlns:a16="http://schemas.microsoft.com/office/drawing/2014/main" id="{00000000-0008-0000-0100-00002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44" name="Drop Down 1" hidden="1">
          <a:extLst>
            <a:ext uri="{FF2B5EF4-FFF2-40B4-BE49-F238E27FC236}">
              <a16:creationId xmlns:a16="http://schemas.microsoft.com/office/drawing/2014/main" id="{00000000-0008-0000-0100-00003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45" name="Drop Down 1" hidden="1">
          <a:extLst>
            <a:ext uri="{FF2B5EF4-FFF2-40B4-BE49-F238E27FC236}">
              <a16:creationId xmlns:a16="http://schemas.microsoft.com/office/drawing/2014/main" id="{00000000-0008-0000-0100-00003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46" name="Drop Down 1" hidden="1">
          <a:extLst>
            <a:ext uri="{FF2B5EF4-FFF2-40B4-BE49-F238E27FC236}">
              <a16:creationId xmlns:a16="http://schemas.microsoft.com/office/drawing/2014/main" id="{00000000-0008-0000-0100-00003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47" name="Drop Down 1" hidden="1">
          <a:extLst>
            <a:ext uri="{FF2B5EF4-FFF2-40B4-BE49-F238E27FC236}">
              <a16:creationId xmlns:a16="http://schemas.microsoft.com/office/drawing/2014/main" id="{00000000-0008-0000-0100-00003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48" name="Drop Down 2" hidden="1">
          <a:extLst>
            <a:ext uri="{FF2B5EF4-FFF2-40B4-BE49-F238E27FC236}">
              <a16:creationId xmlns:a16="http://schemas.microsoft.com/office/drawing/2014/main" id="{00000000-0008-0000-0100-00003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49" name="Drop Down 1" hidden="1">
          <a:extLst>
            <a:ext uri="{FF2B5EF4-FFF2-40B4-BE49-F238E27FC236}">
              <a16:creationId xmlns:a16="http://schemas.microsoft.com/office/drawing/2014/main" id="{00000000-0008-0000-0100-00003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50" name="Drop Down -1022" hidden="1">
          <a:extLst>
            <a:ext uri="{FF2B5EF4-FFF2-40B4-BE49-F238E27FC236}">
              <a16:creationId xmlns:a16="http://schemas.microsoft.com/office/drawing/2014/main" id="{00000000-0008-0000-0100-00003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51" name="Drop Down 1" hidden="1">
          <a:extLst>
            <a:ext uri="{FF2B5EF4-FFF2-40B4-BE49-F238E27FC236}">
              <a16:creationId xmlns:a16="http://schemas.microsoft.com/office/drawing/2014/main" id="{00000000-0008-0000-0100-00003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52" name="Drop Down 1" hidden="1">
          <a:extLst>
            <a:ext uri="{FF2B5EF4-FFF2-40B4-BE49-F238E27FC236}">
              <a16:creationId xmlns:a16="http://schemas.microsoft.com/office/drawing/2014/main" id="{00000000-0008-0000-0100-00003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53" name="Drop Down 1" hidden="1">
          <a:extLst>
            <a:ext uri="{FF2B5EF4-FFF2-40B4-BE49-F238E27FC236}">
              <a16:creationId xmlns:a16="http://schemas.microsoft.com/office/drawing/2014/main" id="{00000000-0008-0000-0100-00003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54" name="Drop Down 1" hidden="1">
          <a:extLst>
            <a:ext uri="{FF2B5EF4-FFF2-40B4-BE49-F238E27FC236}">
              <a16:creationId xmlns:a16="http://schemas.microsoft.com/office/drawing/2014/main" id="{00000000-0008-0000-0100-00003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55" name="Drop Down 2" hidden="1">
          <a:extLst>
            <a:ext uri="{FF2B5EF4-FFF2-40B4-BE49-F238E27FC236}">
              <a16:creationId xmlns:a16="http://schemas.microsoft.com/office/drawing/2014/main" id="{00000000-0008-0000-0100-00003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56" name="Drop Down 1" hidden="1">
          <a:extLst>
            <a:ext uri="{FF2B5EF4-FFF2-40B4-BE49-F238E27FC236}">
              <a16:creationId xmlns:a16="http://schemas.microsoft.com/office/drawing/2014/main" id="{00000000-0008-0000-0100-00003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57" name="Drop Down -1022" hidden="1">
          <a:extLst>
            <a:ext uri="{FF2B5EF4-FFF2-40B4-BE49-F238E27FC236}">
              <a16:creationId xmlns:a16="http://schemas.microsoft.com/office/drawing/2014/main" id="{00000000-0008-0000-0100-00003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58" name="Drop Down 1" hidden="1">
          <a:extLst>
            <a:ext uri="{FF2B5EF4-FFF2-40B4-BE49-F238E27FC236}">
              <a16:creationId xmlns:a16="http://schemas.microsoft.com/office/drawing/2014/main" id="{00000000-0008-0000-0100-00003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59" name="Drop Down 1" hidden="1">
          <a:extLst>
            <a:ext uri="{FF2B5EF4-FFF2-40B4-BE49-F238E27FC236}">
              <a16:creationId xmlns:a16="http://schemas.microsoft.com/office/drawing/2014/main" id="{00000000-0008-0000-0100-00003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60" name="Drop Down 1" hidden="1">
          <a:extLst>
            <a:ext uri="{FF2B5EF4-FFF2-40B4-BE49-F238E27FC236}">
              <a16:creationId xmlns:a16="http://schemas.microsoft.com/office/drawing/2014/main" id="{00000000-0008-0000-0100-00004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61" name="Drop Down 1" hidden="1">
          <a:extLst>
            <a:ext uri="{FF2B5EF4-FFF2-40B4-BE49-F238E27FC236}">
              <a16:creationId xmlns:a16="http://schemas.microsoft.com/office/drawing/2014/main" id="{00000000-0008-0000-0100-00004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62" name="Drop Down 2" hidden="1">
          <a:extLst>
            <a:ext uri="{FF2B5EF4-FFF2-40B4-BE49-F238E27FC236}">
              <a16:creationId xmlns:a16="http://schemas.microsoft.com/office/drawing/2014/main" id="{00000000-0008-0000-0100-00004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63" name="Drop Down 1" hidden="1">
          <a:extLst>
            <a:ext uri="{FF2B5EF4-FFF2-40B4-BE49-F238E27FC236}">
              <a16:creationId xmlns:a16="http://schemas.microsoft.com/office/drawing/2014/main" id="{00000000-0008-0000-0100-00004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64" name="Drop Down -1022" hidden="1">
          <a:extLst>
            <a:ext uri="{FF2B5EF4-FFF2-40B4-BE49-F238E27FC236}">
              <a16:creationId xmlns:a16="http://schemas.microsoft.com/office/drawing/2014/main" id="{00000000-0008-0000-0100-00004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65" name="Drop Down 1" hidden="1">
          <a:extLst>
            <a:ext uri="{FF2B5EF4-FFF2-40B4-BE49-F238E27FC236}">
              <a16:creationId xmlns:a16="http://schemas.microsoft.com/office/drawing/2014/main" id="{00000000-0008-0000-0100-00004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66" name="Drop Down 1" hidden="1">
          <a:extLst>
            <a:ext uri="{FF2B5EF4-FFF2-40B4-BE49-F238E27FC236}">
              <a16:creationId xmlns:a16="http://schemas.microsoft.com/office/drawing/2014/main" id="{00000000-0008-0000-0100-00004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67" name="Drop Down 1" hidden="1">
          <a:extLst>
            <a:ext uri="{FF2B5EF4-FFF2-40B4-BE49-F238E27FC236}">
              <a16:creationId xmlns:a16="http://schemas.microsoft.com/office/drawing/2014/main" id="{00000000-0008-0000-0100-00004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68" name="Drop Down 1" hidden="1">
          <a:extLst>
            <a:ext uri="{FF2B5EF4-FFF2-40B4-BE49-F238E27FC236}">
              <a16:creationId xmlns:a16="http://schemas.microsoft.com/office/drawing/2014/main" id="{00000000-0008-0000-0100-00004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69" name="Drop Down 2" hidden="1">
          <a:extLst>
            <a:ext uri="{FF2B5EF4-FFF2-40B4-BE49-F238E27FC236}">
              <a16:creationId xmlns:a16="http://schemas.microsoft.com/office/drawing/2014/main" id="{00000000-0008-0000-0100-00004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70" name="Drop Down 1" hidden="1">
          <a:extLst>
            <a:ext uri="{FF2B5EF4-FFF2-40B4-BE49-F238E27FC236}">
              <a16:creationId xmlns:a16="http://schemas.microsoft.com/office/drawing/2014/main" id="{00000000-0008-0000-0100-00004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71" name="Drop Down -1022" hidden="1">
          <a:extLst>
            <a:ext uri="{FF2B5EF4-FFF2-40B4-BE49-F238E27FC236}">
              <a16:creationId xmlns:a16="http://schemas.microsoft.com/office/drawing/2014/main" id="{00000000-0008-0000-0100-00004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72" name="Drop Down 1" hidden="1">
          <a:extLst>
            <a:ext uri="{FF2B5EF4-FFF2-40B4-BE49-F238E27FC236}">
              <a16:creationId xmlns:a16="http://schemas.microsoft.com/office/drawing/2014/main" id="{00000000-0008-0000-0100-00004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73" name="Drop Down 1" hidden="1">
          <a:extLst>
            <a:ext uri="{FF2B5EF4-FFF2-40B4-BE49-F238E27FC236}">
              <a16:creationId xmlns:a16="http://schemas.microsoft.com/office/drawing/2014/main" id="{00000000-0008-0000-0100-00004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74" name="Drop Down 1" hidden="1">
          <a:extLst>
            <a:ext uri="{FF2B5EF4-FFF2-40B4-BE49-F238E27FC236}">
              <a16:creationId xmlns:a16="http://schemas.microsoft.com/office/drawing/2014/main" id="{00000000-0008-0000-0100-00004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75" name="Drop Down 1" hidden="1">
          <a:extLst>
            <a:ext uri="{FF2B5EF4-FFF2-40B4-BE49-F238E27FC236}">
              <a16:creationId xmlns:a16="http://schemas.microsoft.com/office/drawing/2014/main" id="{00000000-0008-0000-0100-00004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76" name="Drop Down 2" hidden="1">
          <a:extLst>
            <a:ext uri="{FF2B5EF4-FFF2-40B4-BE49-F238E27FC236}">
              <a16:creationId xmlns:a16="http://schemas.microsoft.com/office/drawing/2014/main" id="{00000000-0008-0000-0100-00005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77" name="Drop Down 1" hidden="1">
          <a:extLst>
            <a:ext uri="{FF2B5EF4-FFF2-40B4-BE49-F238E27FC236}">
              <a16:creationId xmlns:a16="http://schemas.microsoft.com/office/drawing/2014/main" id="{00000000-0008-0000-0100-00005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78" name="Drop Down -1022" hidden="1">
          <a:extLst>
            <a:ext uri="{FF2B5EF4-FFF2-40B4-BE49-F238E27FC236}">
              <a16:creationId xmlns:a16="http://schemas.microsoft.com/office/drawing/2014/main" id="{00000000-0008-0000-0100-00005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79" name="Drop Down 1" hidden="1">
          <a:extLst>
            <a:ext uri="{FF2B5EF4-FFF2-40B4-BE49-F238E27FC236}">
              <a16:creationId xmlns:a16="http://schemas.microsoft.com/office/drawing/2014/main" id="{00000000-0008-0000-0100-00005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80" name="Drop Down 1" hidden="1">
          <a:extLst>
            <a:ext uri="{FF2B5EF4-FFF2-40B4-BE49-F238E27FC236}">
              <a16:creationId xmlns:a16="http://schemas.microsoft.com/office/drawing/2014/main" id="{00000000-0008-0000-0100-00005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81" name="Drop Down 1" hidden="1">
          <a:extLst>
            <a:ext uri="{FF2B5EF4-FFF2-40B4-BE49-F238E27FC236}">
              <a16:creationId xmlns:a16="http://schemas.microsoft.com/office/drawing/2014/main" id="{00000000-0008-0000-0100-00005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82" name="Drop Down 1" hidden="1">
          <a:extLst>
            <a:ext uri="{FF2B5EF4-FFF2-40B4-BE49-F238E27FC236}">
              <a16:creationId xmlns:a16="http://schemas.microsoft.com/office/drawing/2014/main" id="{00000000-0008-0000-0100-00005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83" name="Drop Down 2" hidden="1">
          <a:extLst>
            <a:ext uri="{FF2B5EF4-FFF2-40B4-BE49-F238E27FC236}">
              <a16:creationId xmlns:a16="http://schemas.microsoft.com/office/drawing/2014/main" id="{00000000-0008-0000-0100-00005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84" name="Drop Down 1" hidden="1">
          <a:extLst>
            <a:ext uri="{FF2B5EF4-FFF2-40B4-BE49-F238E27FC236}">
              <a16:creationId xmlns:a16="http://schemas.microsoft.com/office/drawing/2014/main" id="{00000000-0008-0000-0100-00005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85" name="Drop Down -1022" hidden="1">
          <a:extLst>
            <a:ext uri="{FF2B5EF4-FFF2-40B4-BE49-F238E27FC236}">
              <a16:creationId xmlns:a16="http://schemas.microsoft.com/office/drawing/2014/main" id="{00000000-0008-0000-0100-00005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86" name="Drop Down 1" hidden="1">
          <a:extLst>
            <a:ext uri="{FF2B5EF4-FFF2-40B4-BE49-F238E27FC236}">
              <a16:creationId xmlns:a16="http://schemas.microsoft.com/office/drawing/2014/main" id="{00000000-0008-0000-0100-00005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87" name="Drop Down 1" hidden="1">
          <a:extLst>
            <a:ext uri="{FF2B5EF4-FFF2-40B4-BE49-F238E27FC236}">
              <a16:creationId xmlns:a16="http://schemas.microsoft.com/office/drawing/2014/main" id="{00000000-0008-0000-0100-00005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88" name="Drop Down 1" hidden="1">
          <a:extLst>
            <a:ext uri="{FF2B5EF4-FFF2-40B4-BE49-F238E27FC236}">
              <a16:creationId xmlns:a16="http://schemas.microsoft.com/office/drawing/2014/main" id="{00000000-0008-0000-0100-00005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89" name="Drop Down 1" hidden="1">
          <a:extLst>
            <a:ext uri="{FF2B5EF4-FFF2-40B4-BE49-F238E27FC236}">
              <a16:creationId xmlns:a16="http://schemas.microsoft.com/office/drawing/2014/main" id="{00000000-0008-0000-0100-00005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90" name="Drop Down 2" hidden="1">
          <a:extLst>
            <a:ext uri="{FF2B5EF4-FFF2-40B4-BE49-F238E27FC236}">
              <a16:creationId xmlns:a16="http://schemas.microsoft.com/office/drawing/2014/main" id="{00000000-0008-0000-0100-00005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91" name="Drop Down 1" hidden="1">
          <a:extLst>
            <a:ext uri="{FF2B5EF4-FFF2-40B4-BE49-F238E27FC236}">
              <a16:creationId xmlns:a16="http://schemas.microsoft.com/office/drawing/2014/main" id="{00000000-0008-0000-0100-00005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592" name="Drop Down -1022" hidden="1">
          <a:extLst>
            <a:ext uri="{FF2B5EF4-FFF2-40B4-BE49-F238E27FC236}">
              <a16:creationId xmlns:a16="http://schemas.microsoft.com/office/drawing/2014/main" id="{00000000-0008-0000-0100-00006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93" name="Drop Down 1" hidden="1">
          <a:extLst>
            <a:ext uri="{FF2B5EF4-FFF2-40B4-BE49-F238E27FC236}">
              <a16:creationId xmlns:a16="http://schemas.microsoft.com/office/drawing/2014/main" id="{00000000-0008-0000-0100-00006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94" name="Drop Down 1" hidden="1">
          <a:extLst>
            <a:ext uri="{FF2B5EF4-FFF2-40B4-BE49-F238E27FC236}">
              <a16:creationId xmlns:a16="http://schemas.microsoft.com/office/drawing/2014/main" id="{00000000-0008-0000-0100-00006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95" name="Drop Down 1" hidden="1">
          <a:extLst>
            <a:ext uri="{FF2B5EF4-FFF2-40B4-BE49-F238E27FC236}">
              <a16:creationId xmlns:a16="http://schemas.microsoft.com/office/drawing/2014/main" id="{00000000-0008-0000-0100-00006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96" name="Drop Down 1" hidden="1">
          <a:extLst>
            <a:ext uri="{FF2B5EF4-FFF2-40B4-BE49-F238E27FC236}">
              <a16:creationId xmlns:a16="http://schemas.microsoft.com/office/drawing/2014/main" id="{00000000-0008-0000-0100-00006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97" name="Drop Down 2" hidden="1">
          <a:extLst>
            <a:ext uri="{FF2B5EF4-FFF2-40B4-BE49-F238E27FC236}">
              <a16:creationId xmlns:a16="http://schemas.microsoft.com/office/drawing/2014/main" id="{00000000-0008-0000-0100-00006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98" name="Drop Down 1" hidden="1">
          <a:extLst>
            <a:ext uri="{FF2B5EF4-FFF2-40B4-BE49-F238E27FC236}">
              <a16:creationId xmlns:a16="http://schemas.microsoft.com/office/drawing/2014/main" id="{00000000-0008-0000-0100-00006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599" name="Drop Down -1022" hidden="1">
          <a:extLst>
            <a:ext uri="{FF2B5EF4-FFF2-40B4-BE49-F238E27FC236}">
              <a16:creationId xmlns:a16="http://schemas.microsoft.com/office/drawing/2014/main" id="{00000000-0008-0000-0100-00006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00" name="Drop Down 1" hidden="1">
          <a:extLst>
            <a:ext uri="{FF2B5EF4-FFF2-40B4-BE49-F238E27FC236}">
              <a16:creationId xmlns:a16="http://schemas.microsoft.com/office/drawing/2014/main" id="{00000000-0008-0000-0100-00006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01" name="Drop Down 1" hidden="1">
          <a:extLst>
            <a:ext uri="{FF2B5EF4-FFF2-40B4-BE49-F238E27FC236}">
              <a16:creationId xmlns:a16="http://schemas.microsoft.com/office/drawing/2014/main" id="{00000000-0008-0000-0100-00006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02" name="Drop Down 1" hidden="1">
          <a:extLst>
            <a:ext uri="{FF2B5EF4-FFF2-40B4-BE49-F238E27FC236}">
              <a16:creationId xmlns:a16="http://schemas.microsoft.com/office/drawing/2014/main" id="{00000000-0008-0000-0100-00006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03" name="Drop Down 1" hidden="1">
          <a:extLst>
            <a:ext uri="{FF2B5EF4-FFF2-40B4-BE49-F238E27FC236}">
              <a16:creationId xmlns:a16="http://schemas.microsoft.com/office/drawing/2014/main" id="{00000000-0008-0000-0100-00006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04" name="Drop Down 2" hidden="1">
          <a:extLst>
            <a:ext uri="{FF2B5EF4-FFF2-40B4-BE49-F238E27FC236}">
              <a16:creationId xmlns:a16="http://schemas.microsoft.com/office/drawing/2014/main" id="{00000000-0008-0000-0100-00006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05" name="Drop Down 1" hidden="1">
          <a:extLst>
            <a:ext uri="{FF2B5EF4-FFF2-40B4-BE49-F238E27FC236}">
              <a16:creationId xmlns:a16="http://schemas.microsoft.com/office/drawing/2014/main" id="{00000000-0008-0000-0100-00006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06" name="Drop Down -1022" hidden="1">
          <a:extLst>
            <a:ext uri="{FF2B5EF4-FFF2-40B4-BE49-F238E27FC236}">
              <a16:creationId xmlns:a16="http://schemas.microsoft.com/office/drawing/2014/main" id="{00000000-0008-0000-0100-00006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07" name="Drop Down 1" hidden="1">
          <a:extLst>
            <a:ext uri="{FF2B5EF4-FFF2-40B4-BE49-F238E27FC236}">
              <a16:creationId xmlns:a16="http://schemas.microsoft.com/office/drawing/2014/main" id="{00000000-0008-0000-0100-00006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08" name="Drop Down 1" hidden="1">
          <a:extLst>
            <a:ext uri="{FF2B5EF4-FFF2-40B4-BE49-F238E27FC236}">
              <a16:creationId xmlns:a16="http://schemas.microsoft.com/office/drawing/2014/main" id="{00000000-0008-0000-0100-00007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09" name="Drop Down 1" hidden="1">
          <a:extLst>
            <a:ext uri="{FF2B5EF4-FFF2-40B4-BE49-F238E27FC236}">
              <a16:creationId xmlns:a16="http://schemas.microsoft.com/office/drawing/2014/main" id="{00000000-0008-0000-0100-00007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10" name="Drop Down 1" hidden="1">
          <a:extLst>
            <a:ext uri="{FF2B5EF4-FFF2-40B4-BE49-F238E27FC236}">
              <a16:creationId xmlns:a16="http://schemas.microsoft.com/office/drawing/2014/main" id="{00000000-0008-0000-0100-00007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11" name="Drop Down 2" hidden="1">
          <a:extLst>
            <a:ext uri="{FF2B5EF4-FFF2-40B4-BE49-F238E27FC236}">
              <a16:creationId xmlns:a16="http://schemas.microsoft.com/office/drawing/2014/main" id="{00000000-0008-0000-0100-00007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12" name="Drop Down 1" hidden="1">
          <a:extLst>
            <a:ext uri="{FF2B5EF4-FFF2-40B4-BE49-F238E27FC236}">
              <a16:creationId xmlns:a16="http://schemas.microsoft.com/office/drawing/2014/main" id="{00000000-0008-0000-0100-00007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13" name="Drop Down -1022" hidden="1">
          <a:extLst>
            <a:ext uri="{FF2B5EF4-FFF2-40B4-BE49-F238E27FC236}">
              <a16:creationId xmlns:a16="http://schemas.microsoft.com/office/drawing/2014/main" id="{00000000-0008-0000-0100-00007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14" name="Drop Down 1" hidden="1">
          <a:extLst>
            <a:ext uri="{FF2B5EF4-FFF2-40B4-BE49-F238E27FC236}">
              <a16:creationId xmlns:a16="http://schemas.microsoft.com/office/drawing/2014/main" id="{00000000-0008-0000-0100-00007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15" name="Drop Down 1" hidden="1">
          <a:extLst>
            <a:ext uri="{FF2B5EF4-FFF2-40B4-BE49-F238E27FC236}">
              <a16:creationId xmlns:a16="http://schemas.microsoft.com/office/drawing/2014/main" id="{00000000-0008-0000-0100-00007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16" name="Drop Down 1" hidden="1">
          <a:extLst>
            <a:ext uri="{FF2B5EF4-FFF2-40B4-BE49-F238E27FC236}">
              <a16:creationId xmlns:a16="http://schemas.microsoft.com/office/drawing/2014/main" id="{00000000-0008-0000-0100-00007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17" name="Drop Down 1" hidden="1">
          <a:extLst>
            <a:ext uri="{FF2B5EF4-FFF2-40B4-BE49-F238E27FC236}">
              <a16:creationId xmlns:a16="http://schemas.microsoft.com/office/drawing/2014/main" id="{00000000-0008-0000-0100-00007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18" name="Drop Down 2" hidden="1">
          <a:extLst>
            <a:ext uri="{FF2B5EF4-FFF2-40B4-BE49-F238E27FC236}">
              <a16:creationId xmlns:a16="http://schemas.microsoft.com/office/drawing/2014/main" id="{00000000-0008-0000-0100-00007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19" name="Drop Down 1" hidden="1">
          <a:extLst>
            <a:ext uri="{FF2B5EF4-FFF2-40B4-BE49-F238E27FC236}">
              <a16:creationId xmlns:a16="http://schemas.microsoft.com/office/drawing/2014/main" id="{00000000-0008-0000-0100-00007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20" name="Drop Down -1022" hidden="1">
          <a:extLst>
            <a:ext uri="{FF2B5EF4-FFF2-40B4-BE49-F238E27FC236}">
              <a16:creationId xmlns:a16="http://schemas.microsoft.com/office/drawing/2014/main" id="{00000000-0008-0000-0100-00007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21" name="Drop Down 1" hidden="1">
          <a:extLst>
            <a:ext uri="{FF2B5EF4-FFF2-40B4-BE49-F238E27FC236}">
              <a16:creationId xmlns:a16="http://schemas.microsoft.com/office/drawing/2014/main" id="{00000000-0008-0000-0100-00007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22" name="Drop Down 1" hidden="1">
          <a:extLst>
            <a:ext uri="{FF2B5EF4-FFF2-40B4-BE49-F238E27FC236}">
              <a16:creationId xmlns:a16="http://schemas.microsoft.com/office/drawing/2014/main" id="{00000000-0008-0000-0100-00007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23" name="Drop Down 1" hidden="1">
          <a:extLst>
            <a:ext uri="{FF2B5EF4-FFF2-40B4-BE49-F238E27FC236}">
              <a16:creationId xmlns:a16="http://schemas.microsoft.com/office/drawing/2014/main" id="{00000000-0008-0000-0100-00007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24" name="Drop Down 1" hidden="1">
          <a:extLst>
            <a:ext uri="{FF2B5EF4-FFF2-40B4-BE49-F238E27FC236}">
              <a16:creationId xmlns:a16="http://schemas.microsoft.com/office/drawing/2014/main" id="{00000000-0008-0000-0100-00008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25" name="Drop Down 2" hidden="1">
          <a:extLst>
            <a:ext uri="{FF2B5EF4-FFF2-40B4-BE49-F238E27FC236}">
              <a16:creationId xmlns:a16="http://schemas.microsoft.com/office/drawing/2014/main" id="{00000000-0008-0000-0100-00008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26" name="Drop Down 1" hidden="1">
          <a:extLst>
            <a:ext uri="{FF2B5EF4-FFF2-40B4-BE49-F238E27FC236}">
              <a16:creationId xmlns:a16="http://schemas.microsoft.com/office/drawing/2014/main" id="{00000000-0008-0000-0100-00008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27" name="Drop Down -1022" hidden="1">
          <a:extLst>
            <a:ext uri="{FF2B5EF4-FFF2-40B4-BE49-F238E27FC236}">
              <a16:creationId xmlns:a16="http://schemas.microsoft.com/office/drawing/2014/main" id="{00000000-0008-0000-0100-00008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28" name="Drop Down 1" hidden="1">
          <a:extLst>
            <a:ext uri="{FF2B5EF4-FFF2-40B4-BE49-F238E27FC236}">
              <a16:creationId xmlns:a16="http://schemas.microsoft.com/office/drawing/2014/main" id="{00000000-0008-0000-0100-00008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29" name="Drop Down 1" hidden="1">
          <a:extLst>
            <a:ext uri="{FF2B5EF4-FFF2-40B4-BE49-F238E27FC236}">
              <a16:creationId xmlns:a16="http://schemas.microsoft.com/office/drawing/2014/main" id="{00000000-0008-0000-0100-00008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30" name="Drop Down 1" hidden="1">
          <a:extLst>
            <a:ext uri="{FF2B5EF4-FFF2-40B4-BE49-F238E27FC236}">
              <a16:creationId xmlns:a16="http://schemas.microsoft.com/office/drawing/2014/main" id="{00000000-0008-0000-0100-00008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31" name="Drop Down 1" hidden="1">
          <a:extLst>
            <a:ext uri="{FF2B5EF4-FFF2-40B4-BE49-F238E27FC236}">
              <a16:creationId xmlns:a16="http://schemas.microsoft.com/office/drawing/2014/main" id="{00000000-0008-0000-0100-00008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32" name="Drop Down 2" hidden="1">
          <a:extLst>
            <a:ext uri="{FF2B5EF4-FFF2-40B4-BE49-F238E27FC236}">
              <a16:creationId xmlns:a16="http://schemas.microsoft.com/office/drawing/2014/main" id="{00000000-0008-0000-0100-00008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33" name="Drop Down 1" hidden="1">
          <a:extLst>
            <a:ext uri="{FF2B5EF4-FFF2-40B4-BE49-F238E27FC236}">
              <a16:creationId xmlns:a16="http://schemas.microsoft.com/office/drawing/2014/main" id="{00000000-0008-0000-0100-00008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34" name="Drop Down -1022" hidden="1">
          <a:extLst>
            <a:ext uri="{FF2B5EF4-FFF2-40B4-BE49-F238E27FC236}">
              <a16:creationId xmlns:a16="http://schemas.microsoft.com/office/drawing/2014/main" id="{00000000-0008-0000-0100-00008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35" name="Drop Down 1" hidden="1">
          <a:extLst>
            <a:ext uri="{FF2B5EF4-FFF2-40B4-BE49-F238E27FC236}">
              <a16:creationId xmlns:a16="http://schemas.microsoft.com/office/drawing/2014/main" id="{00000000-0008-0000-0100-00008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36" name="Drop Down 1" hidden="1">
          <a:extLst>
            <a:ext uri="{FF2B5EF4-FFF2-40B4-BE49-F238E27FC236}">
              <a16:creationId xmlns:a16="http://schemas.microsoft.com/office/drawing/2014/main" id="{00000000-0008-0000-0100-00008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37" name="Drop Down 1" hidden="1">
          <a:extLst>
            <a:ext uri="{FF2B5EF4-FFF2-40B4-BE49-F238E27FC236}">
              <a16:creationId xmlns:a16="http://schemas.microsoft.com/office/drawing/2014/main" id="{00000000-0008-0000-0100-00008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38" name="Drop Down 1" hidden="1">
          <a:extLst>
            <a:ext uri="{FF2B5EF4-FFF2-40B4-BE49-F238E27FC236}">
              <a16:creationId xmlns:a16="http://schemas.microsoft.com/office/drawing/2014/main" id="{00000000-0008-0000-0100-00008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39" name="Drop Down 2" hidden="1">
          <a:extLst>
            <a:ext uri="{FF2B5EF4-FFF2-40B4-BE49-F238E27FC236}">
              <a16:creationId xmlns:a16="http://schemas.microsoft.com/office/drawing/2014/main" id="{00000000-0008-0000-0100-00008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40" name="Drop Down 1" hidden="1">
          <a:extLst>
            <a:ext uri="{FF2B5EF4-FFF2-40B4-BE49-F238E27FC236}">
              <a16:creationId xmlns:a16="http://schemas.microsoft.com/office/drawing/2014/main" id="{00000000-0008-0000-0100-00009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41" name="Drop Down -1022" hidden="1">
          <a:extLst>
            <a:ext uri="{FF2B5EF4-FFF2-40B4-BE49-F238E27FC236}">
              <a16:creationId xmlns:a16="http://schemas.microsoft.com/office/drawing/2014/main" id="{00000000-0008-0000-0100-00009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42" name="Drop Down 1" hidden="1">
          <a:extLst>
            <a:ext uri="{FF2B5EF4-FFF2-40B4-BE49-F238E27FC236}">
              <a16:creationId xmlns:a16="http://schemas.microsoft.com/office/drawing/2014/main" id="{00000000-0008-0000-0100-00009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43" name="Drop Down 1" hidden="1">
          <a:extLst>
            <a:ext uri="{FF2B5EF4-FFF2-40B4-BE49-F238E27FC236}">
              <a16:creationId xmlns:a16="http://schemas.microsoft.com/office/drawing/2014/main" id="{00000000-0008-0000-0100-00009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44" name="Drop Down 1" hidden="1">
          <a:extLst>
            <a:ext uri="{FF2B5EF4-FFF2-40B4-BE49-F238E27FC236}">
              <a16:creationId xmlns:a16="http://schemas.microsoft.com/office/drawing/2014/main" id="{00000000-0008-0000-0100-00009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45" name="Drop Down 1" hidden="1">
          <a:extLst>
            <a:ext uri="{FF2B5EF4-FFF2-40B4-BE49-F238E27FC236}">
              <a16:creationId xmlns:a16="http://schemas.microsoft.com/office/drawing/2014/main" id="{00000000-0008-0000-0100-00009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46" name="Drop Down 2" hidden="1">
          <a:extLst>
            <a:ext uri="{FF2B5EF4-FFF2-40B4-BE49-F238E27FC236}">
              <a16:creationId xmlns:a16="http://schemas.microsoft.com/office/drawing/2014/main" id="{00000000-0008-0000-0100-00009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47" name="Drop Down 1" hidden="1">
          <a:extLst>
            <a:ext uri="{FF2B5EF4-FFF2-40B4-BE49-F238E27FC236}">
              <a16:creationId xmlns:a16="http://schemas.microsoft.com/office/drawing/2014/main" id="{00000000-0008-0000-0100-00009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48" name="Drop Down -1022" hidden="1">
          <a:extLst>
            <a:ext uri="{FF2B5EF4-FFF2-40B4-BE49-F238E27FC236}">
              <a16:creationId xmlns:a16="http://schemas.microsoft.com/office/drawing/2014/main" id="{00000000-0008-0000-0100-00009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49" name="Drop Down 1" hidden="1">
          <a:extLst>
            <a:ext uri="{FF2B5EF4-FFF2-40B4-BE49-F238E27FC236}">
              <a16:creationId xmlns:a16="http://schemas.microsoft.com/office/drawing/2014/main" id="{00000000-0008-0000-0100-00009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50" name="Drop Down 1" hidden="1">
          <a:extLst>
            <a:ext uri="{FF2B5EF4-FFF2-40B4-BE49-F238E27FC236}">
              <a16:creationId xmlns:a16="http://schemas.microsoft.com/office/drawing/2014/main" id="{00000000-0008-0000-0100-00009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51" name="Drop Down 1" hidden="1">
          <a:extLst>
            <a:ext uri="{FF2B5EF4-FFF2-40B4-BE49-F238E27FC236}">
              <a16:creationId xmlns:a16="http://schemas.microsoft.com/office/drawing/2014/main" id="{00000000-0008-0000-0100-00009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52" name="Drop Down 1" hidden="1">
          <a:extLst>
            <a:ext uri="{FF2B5EF4-FFF2-40B4-BE49-F238E27FC236}">
              <a16:creationId xmlns:a16="http://schemas.microsoft.com/office/drawing/2014/main" id="{00000000-0008-0000-0100-00009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53" name="Drop Down 2" hidden="1">
          <a:extLst>
            <a:ext uri="{FF2B5EF4-FFF2-40B4-BE49-F238E27FC236}">
              <a16:creationId xmlns:a16="http://schemas.microsoft.com/office/drawing/2014/main" id="{00000000-0008-0000-0100-00009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54" name="Drop Down 1" hidden="1">
          <a:extLst>
            <a:ext uri="{FF2B5EF4-FFF2-40B4-BE49-F238E27FC236}">
              <a16:creationId xmlns:a16="http://schemas.microsoft.com/office/drawing/2014/main" id="{00000000-0008-0000-0100-00009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55" name="Drop Down -1022" hidden="1">
          <a:extLst>
            <a:ext uri="{FF2B5EF4-FFF2-40B4-BE49-F238E27FC236}">
              <a16:creationId xmlns:a16="http://schemas.microsoft.com/office/drawing/2014/main" id="{00000000-0008-0000-0100-00009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56" name="Drop Down 1" hidden="1">
          <a:extLst>
            <a:ext uri="{FF2B5EF4-FFF2-40B4-BE49-F238E27FC236}">
              <a16:creationId xmlns:a16="http://schemas.microsoft.com/office/drawing/2014/main" id="{00000000-0008-0000-0100-0000A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57" name="Drop Down 1" hidden="1">
          <a:extLst>
            <a:ext uri="{FF2B5EF4-FFF2-40B4-BE49-F238E27FC236}">
              <a16:creationId xmlns:a16="http://schemas.microsoft.com/office/drawing/2014/main" id="{00000000-0008-0000-0100-0000A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58" name="Drop Down 1" hidden="1">
          <a:extLst>
            <a:ext uri="{FF2B5EF4-FFF2-40B4-BE49-F238E27FC236}">
              <a16:creationId xmlns:a16="http://schemas.microsoft.com/office/drawing/2014/main" id="{00000000-0008-0000-0100-0000A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59" name="Drop Down 1" hidden="1">
          <a:extLst>
            <a:ext uri="{FF2B5EF4-FFF2-40B4-BE49-F238E27FC236}">
              <a16:creationId xmlns:a16="http://schemas.microsoft.com/office/drawing/2014/main" id="{00000000-0008-0000-0100-0000A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60" name="Drop Down 2" hidden="1">
          <a:extLst>
            <a:ext uri="{FF2B5EF4-FFF2-40B4-BE49-F238E27FC236}">
              <a16:creationId xmlns:a16="http://schemas.microsoft.com/office/drawing/2014/main" id="{00000000-0008-0000-0100-0000A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61" name="Drop Down 1" hidden="1">
          <a:extLst>
            <a:ext uri="{FF2B5EF4-FFF2-40B4-BE49-F238E27FC236}">
              <a16:creationId xmlns:a16="http://schemas.microsoft.com/office/drawing/2014/main" id="{00000000-0008-0000-0100-0000A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62" name="Drop Down -1022" hidden="1">
          <a:extLst>
            <a:ext uri="{FF2B5EF4-FFF2-40B4-BE49-F238E27FC236}">
              <a16:creationId xmlns:a16="http://schemas.microsoft.com/office/drawing/2014/main" id="{00000000-0008-0000-0100-0000A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63" name="Drop Down 1" hidden="1">
          <a:extLst>
            <a:ext uri="{FF2B5EF4-FFF2-40B4-BE49-F238E27FC236}">
              <a16:creationId xmlns:a16="http://schemas.microsoft.com/office/drawing/2014/main" id="{00000000-0008-0000-0100-0000A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64" name="Drop Down 1" hidden="1">
          <a:extLst>
            <a:ext uri="{FF2B5EF4-FFF2-40B4-BE49-F238E27FC236}">
              <a16:creationId xmlns:a16="http://schemas.microsoft.com/office/drawing/2014/main" id="{00000000-0008-0000-0100-0000A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65" name="Drop Down 1" hidden="1">
          <a:extLst>
            <a:ext uri="{FF2B5EF4-FFF2-40B4-BE49-F238E27FC236}">
              <a16:creationId xmlns:a16="http://schemas.microsoft.com/office/drawing/2014/main" id="{00000000-0008-0000-0100-0000A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66" name="Drop Down 1" hidden="1">
          <a:extLst>
            <a:ext uri="{FF2B5EF4-FFF2-40B4-BE49-F238E27FC236}">
              <a16:creationId xmlns:a16="http://schemas.microsoft.com/office/drawing/2014/main" id="{00000000-0008-0000-0100-0000A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67" name="Drop Down 2" hidden="1">
          <a:extLst>
            <a:ext uri="{FF2B5EF4-FFF2-40B4-BE49-F238E27FC236}">
              <a16:creationId xmlns:a16="http://schemas.microsoft.com/office/drawing/2014/main" id="{00000000-0008-0000-0100-0000A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68" name="Drop Down 1" hidden="1">
          <a:extLst>
            <a:ext uri="{FF2B5EF4-FFF2-40B4-BE49-F238E27FC236}">
              <a16:creationId xmlns:a16="http://schemas.microsoft.com/office/drawing/2014/main" id="{00000000-0008-0000-0100-0000A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69" name="Drop Down -1022" hidden="1">
          <a:extLst>
            <a:ext uri="{FF2B5EF4-FFF2-40B4-BE49-F238E27FC236}">
              <a16:creationId xmlns:a16="http://schemas.microsoft.com/office/drawing/2014/main" id="{00000000-0008-0000-0100-0000A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70" name="Drop Down 1" hidden="1">
          <a:extLst>
            <a:ext uri="{FF2B5EF4-FFF2-40B4-BE49-F238E27FC236}">
              <a16:creationId xmlns:a16="http://schemas.microsoft.com/office/drawing/2014/main" id="{00000000-0008-0000-0100-0000A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71" name="Drop Down 1" hidden="1">
          <a:extLst>
            <a:ext uri="{FF2B5EF4-FFF2-40B4-BE49-F238E27FC236}">
              <a16:creationId xmlns:a16="http://schemas.microsoft.com/office/drawing/2014/main" id="{00000000-0008-0000-0100-0000A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72" name="Drop Down 1" hidden="1">
          <a:extLst>
            <a:ext uri="{FF2B5EF4-FFF2-40B4-BE49-F238E27FC236}">
              <a16:creationId xmlns:a16="http://schemas.microsoft.com/office/drawing/2014/main" id="{00000000-0008-0000-0100-0000B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73" name="Drop Down 1" hidden="1">
          <a:extLst>
            <a:ext uri="{FF2B5EF4-FFF2-40B4-BE49-F238E27FC236}">
              <a16:creationId xmlns:a16="http://schemas.microsoft.com/office/drawing/2014/main" id="{00000000-0008-0000-0100-0000B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74" name="Drop Down 2" hidden="1">
          <a:extLst>
            <a:ext uri="{FF2B5EF4-FFF2-40B4-BE49-F238E27FC236}">
              <a16:creationId xmlns:a16="http://schemas.microsoft.com/office/drawing/2014/main" id="{00000000-0008-0000-0100-0000B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75" name="Drop Down 1" hidden="1">
          <a:extLst>
            <a:ext uri="{FF2B5EF4-FFF2-40B4-BE49-F238E27FC236}">
              <a16:creationId xmlns:a16="http://schemas.microsoft.com/office/drawing/2014/main" id="{00000000-0008-0000-0100-0000B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76" name="Drop Down -1022" hidden="1">
          <a:extLst>
            <a:ext uri="{FF2B5EF4-FFF2-40B4-BE49-F238E27FC236}">
              <a16:creationId xmlns:a16="http://schemas.microsoft.com/office/drawing/2014/main" id="{00000000-0008-0000-0100-0000B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77" name="Drop Down 1" hidden="1">
          <a:extLst>
            <a:ext uri="{FF2B5EF4-FFF2-40B4-BE49-F238E27FC236}">
              <a16:creationId xmlns:a16="http://schemas.microsoft.com/office/drawing/2014/main" id="{00000000-0008-0000-0100-0000B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78" name="Drop Down 1" hidden="1">
          <a:extLst>
            <a:ext uri="{FF2B5EF4-FFF2-40B4-BE49-F238E27FC236}">
              <a16:creationId xmlns:a16="http://schemas.microsoft.com/office/drawing/2014/main" id="{00000000-0008-0000-0100-0000B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79" name="Drop Down 1" hidden="1">
          <a:extLst>
            <a:ext uri="{FF2B5EF4-FFF2-40B4-BE49-F238E27FC236}">
              <a16:creationId xmlns:a16="http://schemas.microsoft.com/office/drawing/2014/main" id="{00000000-0008-0000-0100-0000B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80" name="Drop Down 1" hidden="1">
          <a:extLst>
            <a:ext uri="{FF2B5EF4-FFF2-40B4-BE49-F238E27FC236}">
              <a16:creationId xmlns:a16="http://schemas.microsoft.com/office/drawing/2014/main" id="{00000000-0008-0000-0100-0000B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81" name="Drop Down 2" hidden="1">
          <a:extLst>
            <a:ext uri="{FF2B5EF4-FFF2-40B4-BE49-F238E27FC236}">
              <a16:creationId xmlns:a16="http://schemas.microsoft.com/office/drawing/2014/main" id="{00000000-0008-0000-0100-0000B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82" name="Drop Down 1" hidden="1">
          <a:extLst>
            <a:ext uri="{FF2B5EF4-FFF2-40B4-BE49-F238E27FC236}">
              <a16:creationId xmlns:a16="http://schemas.microsoft.com/office/drawing/2014/main" id="{00000000-0008-0000-0100-0000B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683" name="Drop Down -1022" hidden="1">
          <a:extLst>
            <a:ext uri="{FF2B5EF4-FFF2-40B4-BE49-F238E27FC236}">
              <a16:creationId xmlns:a16="http://schemas.microsoft.com/office/drawing/2014/main" id="{00000000-0008-0000-0100-0000B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84" name="Drop Down 1" hidden="1">
          <a:extLst>
            <a:ext uri="{FF2B5EF4-FFF2-40B4-BE49-F238E27FC236}">
              <a16:creationId xmlns:a16="http://schemas.microsoft.com/office/drawing/2014/main" id="{00000000-0008-0000-0100-0000B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85" name="Drop Down 1" hidden="1">
          <a:extLst>
            <a:ext uri="{FF2B5EF4-FFF2-40B4-BE49-F238E27FC236}">
              <a16:creationId xmlns:a16="http://schemas.microsoft.com/office/drawing/2014/main" id="{00000000-0008-0000-0100-0000B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86" name="Drop Down 1" hidden="1">
          <a:extLst>
            <a:ext uri="{FF2B5EF4-FFF2-40B4-BE49-F238E27FC236}">
              <a16:creationId xmlns:a16="http://schemas.microsoft.com/office/drawing/2014/main" id="{00000000-0008-0000-0100-0000B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87" name="Drop Down 1" hidden="1">
          <a:extLst>
            <a:ext uri="{FF2B5EF4-FFF2-40B4-BE49-F238E27FC236}">
              <a16:creationId xmlns:a16="http://schemas.microsoft.com/office/drawing/2014/main" id="{00000000-0008-0000-0100-0000B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88" name="Drop Down 2" hidden="1">
          <a:extLst>
            <a:ext uri="{FF2B5EF4-FFF2-40B4-BE49-F238E27FC236}">
              <a16:creationId xmlns:a16="http://schemas.microsoft.com/office/drawing/2014/main" id="{00000000-0008-0000-0100-0000C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89" name="Drop Down 1" hidden="1">
          <a:extLst>
            <a:ext uri="{FF2B5EF4-FFF2-40B4-BE49-F238E27FC236}">
              <a16:creationId xmlns:a16="http://schemas.microsoft.com/office/drawing/2014/main" id="{00000000-0008-0000-0100-0000C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690" name="Drop Down -1022" hidden="1">
          <a:extLst>
            <a:ext uri="{FF2B5EF4-FFF2-40B4-BE49-F238E27FC236}">
              <a16:creationId xmlns:a16="http://schemas.microsoft.com/office/drawing/2014/main" id="{00000000-0008-0000-0100-0000C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91" name="Drop Down 1" hidden="1">
          <a:extLst>
            <a:ext uri="{FF2B5EF4-FFF2-40B4-BE49-F238E27FC236}">
              <a16:creationId xmlns:a16="http://schemas.microsoft.com/office/drawing/2014/main" id="{00000000-0008-0000-0100-0000C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92" name="Drop Down 1" hidden="1">
          <a:extLst>
            <a:ext uri="{FF2B5EF4-FFF2-40B4-BE49-F238E27FC236}">
              <a16:creationId xmlns:a16="http://schemas.microsoft.com/office/drawing/2014/main" id="{00000000-0008-0000-0100-0000C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93" name="Drop Down 1" hidden="1">
          <a:extLst>
            <a:ext uri="{FF2B5EF4-FFF2-40B4-BE49-F238E27FC236}">
              <a16:creationId xmlns:a16="http://schemas.microsoft.com/office/drawing/2014/main" id="{00000000-0008-0000-0100-0000C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94" name="Drop Down 1" hidden="1">
          <a:extLst>
            <a:ext uri="{FF2B5EF4-FFF2-40B4-BE49-F238E27FC236}">
              <a16:creationId xmlns:a16="http://schemas.microsoft.com/office/drawing/2014/main" id="{00000000-0008-0000-0100-0000C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95" name="Drop Down 2" hidden="1">
          <a:extLst>
            <a:ext uri="{FF2B5EF4-FFF2-40B4-BE49-F238E27FC236}">
              <a16:creationId xmlns:a16="http://schemas.microsoft.com/office/drawing/2014/main" id="{00000000-0008-0000-0100-0000C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96" name="Drop Down 1" hidden="1">
          <a:extLst>
            <a:ext uri="{FF2B5EF4-FFF2-40B4-BE49-F238E27FC236}">
              <a16:creationId xmlns:a16="http://schemas.microsoft.com/office/drawing/2014/main" id="{00000000-0008-0000-0100-0000C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697" name="Drop Down -1022" hidden="1">
          <a:extLst>
            <a:ext uri="{FF2B5EF4-FFF2-40B4-BE49-F238E27FC236}">
              <a16:creationId xmlns:a16="http://schemas.microsoft.com/office/drawing/2014/main" id="{00000000-0008-0000-0100-0000C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98" name="Drop Down 1" hidden="1">
          <a:extLst>
            <a:ext uri="{FF2B5EF4-FFF2-40B4-BE49-F238E27FC236}">
              <a16:creationId xmlns:a16="http://schemas.microsoft.com/office/drawing/2014/main" id="{00000000-0008-0000-0100-0000C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699" name="Drop Down 1" hidden="1">
          <a:extLst>
            <a:ext uri="{FF2B5EF4-FFF2-40B4-BE49-F238E27FC236}">
              <a16:creationId xmlns:a16="http://schemas.microsoft.com/office/drawing/2014/main" id="{00000000-0008-0000-0100-0000C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00" name="Drop Down 1" hidden="1">
          <a:extLst>
            <a:ext uri="{FF2B5EF4-FFF2-40B4-BE49-F238E27FC236}">
              <a16:creationId xmlns:a16="http://schemas.microsoft.com/office/drawing/2014/main" id="{00000000-0008-0000-0100-0000C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01" name="Drop Down 1" hidden="1">
          <a:extLst>
            <a:ext uri="{FF2B5EF4-FFF2-40B4-BE49-F238E27FC236}">
              <a16:creationId xmlns:a16="http://schemas.microsoft.com/office/drawing/2014/main" id="{00000000-0008-0000-0100-0000C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02" name="Drop Down 2" hidden="1">
          <a:extLst>
            <a:ext uri="{FF2B5EF4-FFF2-40B4-BE49-F238E27FC236}">
              <a16:creationId xmlns:a16="http://schemas.microsoft.com/office/drawing/2014/main" id="{00000000-0008-0000-0100-0000C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03" name="Drop Down 1" hidden="1">
          <a:extLst>
            <a:ext uri="{FF2B5EF4-FFF2-40B4-BE49-F238E27FC236}">
              <a16:creationId xmlns:a16="http://schemas.microsoft.com/office/drawing/2014/main" id="{00000000-0008-0000-0100-0000C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04" name="Drop Down -1022" hidden="1">
          <a:extLst>
            <a:ext uri="{FF2B5EF4-FFF2-40B4-BE49-F238E27FC236}">
              <a16:creationId xmlns:a16="http://schemas.microsoft.com/office/drawing/2014/main" id="{00000000-0008-0000-0100-0000D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05" name="Drop Down 1" hidden="1">
          <a:extLst>
            <a:ext uri="{FF2B5EF4-FFF2-40B4-BE49-F238E27FC236}">
              <a16:creationId xmlns:a16="http://schemas.microsoft.com/office/drawing/2014/main" id="{00000000-0008-0000-0100-0000D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06" name="Drop Down 1" hidden="1">
          <a:extLst>
            <a:ext uri="{FF2B5EF4-FFF2-40B4-BE49-F238E27FC236}">
              <a16:creationId xmlns:a16="http://schemas.microsoft.com/office/drawing/2014/main" id="{00000000-0008-0000-0100-0000D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07" name="Drop Down 1" hidden="1">
          <a:extLst>
            <a:ext uri="{FF2B5EF4-FFF2-40B4-BE49-F238E27FC236}">
              <a16:creationId xmlns:a16="http://schemas.microsoft.com/office/drawing/2014/main" id="{00000000-0008-0000-0100-0000D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08" name="Drop Down 1" hidden="1">
          <a:extLst>
            <a:ext uri="{FF2B5EF4-FFF2-40B4-BE49-F238E27FC236}">
              <a16:creationId xmlns:a16="http://schemas.microsoft.com/office/drawing/2014/main" id="{00000000-0008-0000-0100-0000D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09" name="Drop Down 2" hidden="1">
          <a:extLst>
            <a:ext uri="{FF2B5EF4-FFF2-40B4-BE49-F238E27FC236}">
              <a16:creationId xmlns:a16="http://schemas.microsoft.com/office/drawing/2014/main" id="{00000000-0008-0000-0100-0000D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10" name="Drop Down 1" hidden="1">
          <a:extLst>
            <a:ext uri="{FF2B5EF4-FFF2-40B4-BE49-F238E27FC236}">
              <a16:creationId xmlns:a16="http://schemas.microsoft.com/office/drawing/2014/main" id="{00000000-0008-0000-0100-0000D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11" name="Drop Down -1022" hidden="1">
          <a:extLst>
            <a:ext uri="{FF2B5EF4-FFF2-40B4-BE49-F238E27FC236}">
              <a16:creationId xmlns:a16="http://schemas.microsoft.com/office/drawing/2014/main" id="{00000000-0008-0000-0100-0000D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12" name="Drop Down 1" hidden="1">
          <a:extLst>
            <a:ext uri="{FF2B5EF4-FFF2-40B4-BE49-F238E27FC236}">
              <a16:creationId xmlns:a16="http://schemas.microsoft.com/office/drawing/2014/main" id="{00000000-0008-0000-0100-0000D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13" name="Drop Down 1" hidden="1">
          <a:extLst>
            <a:ext uri="{FF2B5EF4-FFF2-40B4-BE49-F238E27FC236}">
              <a16:creationId xmlns:a16="http://schemas.microsoft.com/office/drawing/2014/main" id="{00000000-0008-0000-0100-0000D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14" name="Drop Down 1" hidden="1">
          <a:extLst>
            <a:ext uri="{FF2B5EF4-FFF2-40B4-BE49-F238E27FC236}">
              <a16:creationId xmlns:a16="http://schemas.microsoft.com/office/drawing/2014/main" id="{00000000-0008-0000-0100-0000D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15" name="Drop Down 1" hidden="1">
          <a:extLst>
            <a:ext uri="{FF2B5EF4-FFF2-40B4-BE49-F238E27FC236}">
              <a16:creationId xmlns:a16="http://schemas.microsoft.com/office/drawing/2014/main" id="{00000000-0008-0000-0100-0000D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16" name="Drop Down 2" hidden="1">
          <a:extLst>
            <a:ext uri="{FF2B5EF4-FFF2-40B4-BE49-F238E27FC236}">
              <a16:creationId xmlns:a16="http://schemas.microsoft.com/office/drawing/2014/main" id="{00000000-0008-0000-0100-0000D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17" name="Drop Down 1" hidden="1">
          <a:extLst>
            <a:ext uri="{FF2B5EF4-FFF2-40B4-BE49-F238E27FC236}">
              <a16:creationId xmlns:a16="http://schemas.microsoft.com/office/drawing/2014/main" id="{00000000-0008-0000-0100-0000D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18" name="Drop Down -1022" hidden="1">
          <a:extLst>
            <a:ext uri="{FF2B5EF4-FFF2-40B4-BE49-F238E27FC236}">
              <a16:creationId xmlns:a16="http://schemas.microsoft.com/office/drawing/2014/main" id="{00000000-0008-0000-0100-0000D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19" name="Drop Down 1" hidden="1">
          <a:extLst>
            <a:ext uri="{FF2B5EF4-FFF2-40B4-BE49-F238E27FC236}">
              <a16:creationId xmlns:a16="http://schemas.microsoft.com/office/drawing/2014/main" id="{00000000-0008-0000-0100-0000D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20" name="Drop Down 1" hidden="1">
          <a:extLst>
            <a:ext uri="{FF2B5EF4-FFF2-40B4-BE49-F238E27FC236}">
              <a16:creationId xmlns:a16="http://schemas.microsoft.com/office/drawing/2014/main" id="{00000000-0008-0000-0100-0000E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21" name="Drop Down 1" hidden="1">
          <a:extLst>
            <a:ext uri="{FF2B5EF4-FFF2-40B4-BE49-F238E27FC236}">
              <a16:creationId xmlns:a16="http://schemas.microsoft.com/office/drawing/2014/main" id="{00000000-0008-0000-0100-0000E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22" name="Drop Down 1" hidden="1">
          <a:extLst>
            <a:ext uri="{FF2B5EF4-FFF2-40B4-BE49-F238E27FC236}">
              <a16:creationId xmlns:a16="http://schemas.microsoft.com/office/drawing/2014/main" id="{00000000-0008-0000-0100-0000E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23" name="Drop Down 2" hidden="1">
          <a:extLst>
            <a:ext uri="{FF2B5EF4-FFF2-40B4-BE49-F238E27FC236}">
              <a16:creationId xmlns:a16="http://schemas.microsoft.com/office/drawing/2014/main" id="{00000000-0008-0000-0100-0000E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24" name="Drop Down 1" hidden="1">
          <a:extLst>
            <a:ext uri="{FF2B5EF4-FFF2-40B4-BE49-F238E27FC236}">
              <a16:creationId xmlns:a16="http://schemas.microsoft.com/office/drawing/2014/main" id="{00000000-0008-0000-0100-0000E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25" name="Drop Down -1022" hidden="1">
          <a:extLst>
            <a:ext uri="{FF2B5EF4-FFF2-40B4-BE49-F238E27FC236}">
              <a16:creationId xmlns:a16="http://schemas.microsoft.com/office/drawing/2014/main" id="{00000000-0008-0000-0100-0000E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26" name="Drop Down 1" hidden="1">
          <a:extLst>
            <a:ext uri="{FF2B5EF4-FFF2-40B4-BE49-F238E27FC236}">
              <a16:creationId xmlns:a16="http://schemas.microsoft.com/office/drawing/2014/main" id="{00000000-0008-0000-0100-0000E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27" name="Drop Down 1" hidden="1">
          <a:extLst>
            <a:ext uri="{FF2B5EF4-FFF2-40B4-BE49-F238E27FC236}">
              <a16:creationId xmlns:a16="http://schemas.microsoft.com/office/drawing/2014/main" id="{00000000-0008-0000-0100-0000E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28" name="Drop Down 1" hidden="1">
          <a:extLst>
            <a:ext uri="{FF2B5EF4-FFF2-40B4-BE49-F238E27FC236}">
              <a16:creationId xmlns:a16="http://schemas.microsoft.com/office/drawing/2014/main" id="{00000000-0008-0000-0100-0000E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29" name="Drop Down 1" hidden="1">
          <a:extLst>
            <a:ext uri="{FF2B5EF4-FFF2-40B4-BE49-F238E27FC236}">
              <a16:creationId xmlns:a16="http://schemas.microsoft.com/office/drawing/2014/main" id="{00000000-0008-0000-0100-0000E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30" name="Drop Down 2" hidden="1">
          <a:extLst>
            <a:ext uri="{FF2B5EF4-FFF2-40B4-BE49-F238E27FC236}">
              <a16:creationId xmlns:a16="http://schemas.microsoft.com/office/drawing/2014/main" id="{00000000-0008-0000-0100-0000E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31" name="Drop Down 1" hidden="1">
          <a:extLst>
            <a:ext uri="{FF2B5EF4-FFF2-40B4-BE49-F238E27FC236}">
              <a16:creationId xmlns:a16="http://schemas.microsoft.com/office/drawing/2014/main" id="{00000000-0008-0000-0100-0000E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32" name="Drop Down -1022" hidden="1">
          <a:extLst>
            <a:ext uri="{FF2B5EF4-FFF2-40B4-BE49-F238E27FC236}">
              <a16:creationId xmlns:a16="http://schemas.microsoft.com/office/drawing/2014/main" id="{00000000-0008-0000-0100-0000E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33" name="Drop Down 1" hidden="1">
          <a:extLst>
            <a:ext uri="{FF2B5EF4-FFF2-40B4-BE49-F238E27FC236}">
              <a16:creationId xmlns:a16="http://schemas.microsoft.com/office/drawing/2014/main" id="{00000000-0008-0000-0100-0000E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34" name="Drop Down 1" hidden="1">
          <a:extLst>
            <a:ext uri="{FF2B5EF4-FFF2-40B4-BE49-F238E27FC236}">
              <a16:creationId xmlns:a16="http://schemas.microsoft.com/office/drawing/2014/main" id="{00000000-0008-0000-0100-0000E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35" name="Drop Down 1" hidden="1">
          <a:extLst>
            <a:ext uri="{FF2B5EF4-FFF2-40B4-BE49-F238E27FC236}">
              <a16:creationId xmlns:a16="http://schemas.microsoft.com/office/drawing/2014/main" id="{00000000-0008-0000-0100-0000E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36" name="Drop Down 1" hidden="1">
          <a:extLst>
            <a:ext uri="{FF2B5EF4-FFF2-40B4-BE49-F238E27FC236}">
              <a16:creationId xmlns:a16="http://schemas.microsoft.com/office/drawing/2014/main" id="{00000000-0008-0000-0100-0000F0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37" name="Drop Down 2" hidden="1">
          <a:extLst>
            <a:ext uri="{FF2B5EF4-FFF2-40B4-BE49-F238E27FC236}">
              <a16:creationId xmlns:a16="http://schemas.microsoft.com/office/drawing/2014/main" id="{00000000-0008-0000-0100-0000F1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38" name="Drop Down 1" hidden="1">
          <a:extLst>
            <a:ext uri="{FF2B5EF4-FFF2-40B4-BE49-F238E27FC236}">
              <a16:creationId xmlns:a16="http://schemas.microsoft.com/office/drawing/2014/main" id="{00000000-0008-0000-0100-0000F2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39" name="Drop Down -1022" hidden="1">
          <a:extLst>
            <a:ext uri="{FF2B5EF4-FFF2-40B4-BE49-F238E27FC236}">
              <a16:creationId xmlns:a16="http://schemas.microsoft.com/office/drawing/2014/main" id="{00000000-0008-0000-0100-0000F3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40" name="Drop Down 1" hidden="1">
          <a:extLst>
            <a:ext uri="{FF2B5EF4-FFF2-40B4-BE49-F238E27FC236}">
              <a16:creationId xmlns:a16="http://schemas.microsoft.com/office/drawing/2014/main" id="{00000000-0008-0000-0100-0000F4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41" name="Drop Down 1" hidden="1">
          <a:extLst>
            <a:ext uri="{FF2B5EF4-FFF2-40B4-BE49-F238E27FC236}">
              <a16:creationId xmlns:a16="http://schemas.microsoft.com/office/drawing/2014/main" id="{00000000-0008-0000-0100-0000F5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42" name="Drop Down 1" hidden="1">
          <a:extLst>
            <a:ext uri="{FF2B5EF4-FFF2-40B4-BE49-F238E27FC236}">
              <a16:creationId xmlns:a16="http://schemas.microsoft.com/office/drawing/2014/main" id="{00000000-0008-0000-0100-0000F6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43" name="Drop Down 1" hidden="1">
          <a:extLst>
            <a:ext uri="{FF2B5EF4-FFF2-40B4-BE49-F238E27FC236}">
              <a16:creationId xmlns:a16="http://schemas.microsoft.com/office/drawing/2014/main" id="{00000000-0008-0000-0100-0000F7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44" name="Drop Down 2" hidden="1">
          <a:extLst>
            <a:ext uri="{FF2B5EF4-FFF2-40B4-BE49-F238E27FC236}">
              <a16:creationId xmlns:a16="http://schemas.microsoft.com/office/drawing/2014/main" id="{00000000-0008-0000-0100-0000F8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45" name="Drop Down 1" hidden="1">
          <a:extLst>
            <a:ext uri="{FF2B5EF4-FFF2-40B4-BE49-F238E27FC236}">
              <a16:creationId xmlns:a16="http://schemas.microsoft.com/office/drawing/2014/main" id="{00000000-0008-0000-0100-0000F9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46" name="Drop Down -1022" hidden="1">
          <a:extLst>
            <a:ext uri="{FF2B5EF4-FFF2-40B4-BE49-F238E27FC236}">
              <a16:creationId xmlns:a16="http://schemas.microsoft.com/office/drawing/2014/main" id="{00000000-0008-0000-0100-0000FA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47" name="Drop Down 1" hidden="1">
          <a:extLst>
            <a:ext uri="{FF2B5EF4-FFF2-40B4-BE49-F238E27FC236}">
              <a16:creationId xmlns:a16="http://schemas.microsoft.com/office/drawing/2014/main" id="{00000000-0008-0000-0100-0000FB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48" name="Drop Down 1" hidden="1">
          <a:extLst>
            <a:ext uri="{FF2B5EF4-FFF2-40B4-BE49-F238E27FC236}">
              <a16:creationId xmlns:a16="http://schemas.microsoft.com/office/drawing/2014/main" id="{00000000-0008-0000-0100-0000FC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49" name="Drop Down 1" hidden="1">
          <a:extLst>
            <a:ext uri="{FF2B5EF4-FFF2-40B4-BE49-F238E27FC236}">
              <a16:creationId xmlns:a16="http://schemas.microsoft.com/office/drawing/2014/main" id="{00000000-0008-0000-0100-0000FD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50" name="Drop Down 1" hidden="1">
          <a:extLst>
            <a:ext uri="{FF2B5EF4-FFF2-40B4-BE49-F238E27FC236}">
              <a16:creationId xmlns:a16="http://schemas.microsoft.com/office/drawing/2014/main" id="{00000000-0008-0000-0100-0000FE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51" name="Drop Down 2" hidden="1">
          <a:extLst>
            <a:ext uri="{FF2B5EF4-FFF2-40B4-BE49-F238E27FC236}">
              <a16:creationId xmlns:a16="http://schemas.microsoft.com/office/drawing/2014/main" id="{00000000-0008-0000-0100-0000FF29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52" name="Drop Down 1" hidden="1">
          <a:extLst>
            <a:ext uri="{FF2B5EF4-FFF2-40B4-BE49-F238E27FC236}">
              <a16:creationId xmlns:a16="http://schemas.microsoft.com/office/drawing/2014/main" id="{00000000-0008-0000-0100-000000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53" name="Drop Down -1022" hidden="1">
          <a:extLst>
            <a:ext uri="{FF2B5EF4-FFF2-40B4-BE49-F238E27FC236}">
              <a16:creationId xmlns:a16="http://schemas.microsoft.com/office/drawing/2014/main" id="{00000000-0008-0000-0100-000001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54" name="Drop Down 1" hidden="1">
          <a:extLst>
            <a:ext uri="{FF2B5EF4-FFF2-40B4-BE49-F238E27FC236}">
              <a16:creationId xmlns:a16="http://schemas.microsoft.com/office/drawing/2014/main" id="{00000000-0008-0000-0100-000002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55" name="Drop Down 1" hidden="1">
          <a:extLst>
            <a:ext uri="{FF2B5EF4-FFF2-40B4-BE49-F238E27FC236}">
              <a16:creationId xmlns:a16="http://schemas.microsoft.com/office/drawing/2014/main" id="{00000000-0008-0000-0100-000003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56" name="Drop Down 1" hidden="1">
          <a:extLst>
            <a:ext uri="{FF2B5EF4-FFF2-40B4-BE49-F238E27FC236}">
              <a16:creationId xmlns:a16="http://schemas.microsoft.com/office/drawing/2014/main" id="{00000000-0008-0000-0100-000004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57" name="Drop Down 1" hidden="1">
          <a:extLst>
            <a:ext uri="{FF2B5EF4-FFF2-40B4-BE49-F238E27FC236}">
              <a16:creationId xmlns:a16="http://schemas.microsoft.com/office/drawing/2014/main" id="{00000000-0008-0000-0100-000005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58" name="Drop Down 2" hidden="1">
          <a:extLst>
            <a:ext uri="{FF2B5EF4-FFF2-40B4-BE49-F238E27FC236}">
              <a16:creationId xmlns:a16="http://schemas.microsoft.com/office/drawing/2014/main" id="{00000000-0008-0000-0100-000006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59" name="Drop Down 1" hidden="1">
          <a:extLst>
            <a:ext uri="{FF2B5EF4-FFF2-40B4-BE49-F238E27FC236}">
              <a16:creationId xmlns:a16="http://schemas.microsoft.com/office/drawing/2014/main" id="{00000000-0008-0000-0100-000007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60" name="Drop Down -1022" hidden="1">
          <a:extLst>
            <a:ext uri="{FF2B5EF4-FFF2-40B4-BE49-F238E27FC236}">
              <a16:creationId xmlns:a16="http://schemas.microsoft.com/office/drawing/2014/main" id="{00000000-0008-0000-0100-000008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61" name="Drop Down 1" hidden="1">
          <a:extLst>
            <a:ext uri="{FF2B5EF4-FFF2-40B4-BE49-F238E27FC236}">
              <a16:creationId xmlns:a16="http://schemas.microsoft.com/office/drawing/2014/main" id="{00000000-0008-0000-0100-000009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62" name="Drop Down 1" hidden="1">
          <a:extLst>
            <a:ext uri="{FF2B5EF4-FFF2-40B4-BE49-F238E27FC236}">
              <a16:creationId xmlns:a16="http://schemas.microsoft.com/office/drawing/2014/main" id="{00000000-0008-0000-0100-00000A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63" name="Drop Down 1" hidden="1">
          <a:extLst>
            <a:ext uri="{FF2B5EF4-FFF2-40B4-BE49-F238E27FC236}">
              <a16:creationId xmlns:a16="http://schemas.microsoft.com/office/drawing/2014/main" id="{00000000-0008-0000-0100-00000B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64" name="Drop Down 1" hidden="1">
          <a:extLst>
            <a:ext uri="{FF2B5EF4-FFF2-40B4-BE49-F238E27FC236}">
              <a16:creationId xmlns:a16="http://schemas.microsoft.com/office/drawing/2014/main" id="{00000000-0008-0000-0100-00000C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65" name="Drop Down 2" hidden="1">
          <a:extLst>
            <a:ext uri="{FF2B5EF4-FFF2-40B4-BE49-F238E27FC236}">
              <a16:creationId xmlns:a16="http://schemas.microsoft.com/office/drawing/2014/main" id="{00000000-0008-0000-0100-00000D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66" name="Drop Down 1" hidden="1">
          <a:extLst>
            <a:ext uri="{FF2B5EF4-FFF2-40B4-BE49-F238E27FC236}">
              <a16:creationId xmlns:a16="http://schemas.microsoft.com/office/drawing/2014/main" id="{00000000-0008-0000-0100-00000E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67" name="Drop Down -1022" hidden="1">
          <a:extLst>
            <a:ext uri="{FF2B5EF4-FFF2-40B4-BE49-F238E27FC236}">
              <a16:creationId xmlns:a16="http://schemas.microsoft.com/office/drawing/2014/main" id="{00000000-0008-0000-0100-00000F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768" name="Drop Down 1" hidden="1">
          <a:extLst>
            <a:ext uri="{FF2B5EF4-FFF2-40B4-BE49-F238E27FC236}">
              <a16:creationId xmlns:a16="http://schemas.microsoft.com/office/drawing/2014/main" id="{00000000-0008-0000-0100-000010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769" name="Drop Down 1" hidden="1">
          <a:extLst>
            <a:ext uri="{FF2B5EF4-FFF2-40B4-BE49-F238E27FC236}">
              <a16:creationId xmlns:a16="http://schemas.microsoft.com/office/drawing/2014/main" id="{00000000-0008-0000-0100-000011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770" name="Drop Down 1" hidden="1">
          <a:extLst>
            <a:ext uri="{FF2B5EF4-FFF2-40B4-BE49-F238E27FC236}">
              <a16:creationId xmlns:a16="http://schemas.microsoft.com/office/drawing/2014/main" id="{00000000-0008-0000-0100-000012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771" name="Drop Down 1" hidden="1">
          <a:extLst>
            <a:ext uri="{FF2B5EF4-FFF2-40B4-BE49-F238E27FC236}">
              <a16:creationId xmlns:a16="http://schemas.microsoft.com/office/drawing/2014/main" id="{00000000-0008-0000-0100-000013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772" name="Drop Down 2" hidden="1">
          <a:extLst>
            <a:ext uri="{FF2B5EF4-FFF2-40B4-BE49-F238E27FC236}">
              <a16:creationId xmlns:a16="http://schemas.microsoft.com/office/drawing/2014/main" id="{00000000-0008-0000-0100-000014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773" name="Drop Down 1" hidden="1">
          <a:extLst>
            <a:ext uri="{FF2B5EF4-FFF2-40B4-BE49-F238E27FC236}">
              <a16:creationId xmlns:a16="http://schemas.microsoft.com/office/drawing/2014/main" id="{00000000-0008-0000-0100-000015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9004"/>
    <xdr:sp macro="" textlink="">
      <xdr:nvSpPr>
        <xdr:cNvPr id="10774" name="Drop Down -1022" hidden="1">
          <a:extLst>
            <a:ext uri="{FF2B5EF4-FFF2-40B4-BE49-F238E27FC236}">
              <a16:creationId xmlns:a16="http://schemas.microsoft.com/office/drawing/2014/main" id="{00000000-0008-0000-0100-000016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9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775" name="Drop Down 1" hidden="1">
          <a:extLst>
            <a:ext uri="{FF2B5EF4-FFF2-40B4-BE49-F238E27FC236}">
              <a16:creationId xmlns:a16="http://schemas.microsoft.com/office/drawing/2014/main" id="{00000000-0008-0000-0100-000017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776" name="Drop Down 1" hidden="1">
          <a:extLst>
            <a:ext uri="{FF2B5EF4-FFF2-40B4-BE49-F238E27FC236}">
              <a16:creationId xmlns:a16="http://schemas.microsoft.com/office/drawing/2014/main" id="{00000000-0008-0000-0100-000018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777" name="Drop Down 1" hidden="1">
          <a:extLst>
            <a:ext uri="{FF2B5EF4-FFF2-40B4-BE49-F238E27FC236}">
              <a16:creationId xmlns:a16="http://schemas.microsoft.com/office/drawing/2014/main" id="{00000000-0008-0000-0100-000019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778" name="Drop Down 1" hidden="1">
          <a:extLst>
            <a:ext uri="{FF2B5EF4-FFF2-40B4-BE49-F238E27FC236}">
              <a16:creationId xmlns:a16="http://schemas.microsoft.com/office/drawing/2014/main" id="{00000000-0008-0000-0100-00001A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779" name="Drop Down 2" hidden="1">
          <a:extLst>
            <a:ext uri="{FF2B5EF4-FFF2-40B4-BE49-F238E27FC236}">
              <a16:creationId xmlns:a16="http://schemas.microsoft.com/office/drawing/2014/main" id="{00000000-0008-0000-0100-00001B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780" name="Drop Down 1" hidden="1">
          <a:extLst>
            <a:ext uri="{FF2B5EF4-FFF2-40B4-BE49-F238E27FC236}">
              <a16:creationId xmlns:a16="http://schemas.microsoft.com/office/drawing/2014/main" id="{00000000-0008-0000-0100-00001C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4240" cy="207245"/>
    <xdr:sp macro="" textlink="">
      <xdr:nvSpPr>
        <xdr:cNvPr id="10781" name="Drop Down -1022" hidden="1">
          <a:extLst>
            <a:ext uri="{FF2B5EF4-FFF2-40B4-BE49-F238E27FC236}">
              <a16:creationId xmlns:a16="http://schemas.microsoft.com/office/drawing/2014/main" id="{00000000-0008-0000-0100-00001D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4240" cy="20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82" name="Drop Down 1" hidden="1">
          <a:extLst>
            <a:ext uri="{FF2B5EF4-FFF2-40B4-BE49-F238E27FC236}">
              <a16:creationId xmlns:a16="http://schemas.microsoft.com/office/drawing/2014/main" id="{00000000-0008-0000-0100-00001E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83" name="Drop Down 1" hidden="1">
          <a:extLst>
            <a:ext uri="{FF2B5EF4-FFF2-40B4-BE49-F238E27FC236}">
              <a16:creationId xmlns:a16="http://schemas.microsoft.com/office/drawing/2014/main" id="{00000000-0008-0000-0100-00001F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84" name="Drop Down 1" hidden="1">
          <a:extLst>
            <a:ext uri="{FF2B5EF4-FFF2-40B4-BE49-F238E27FC236}">
              <a16:creationId xmlns:a16="http://schemas.microsoft.com/office/drawing/2014/main" id="{00000000-0008-0000-0100-000020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85" name="Drop Down 1" hidden="1">
          <a:extLst>
            <a:ext uri="{FF2B5EF4-FFF2-40B4-BE49-F238E27FC236}">
              <a16:creationId xmlns:a16="http://schemas.microsoft.com/office/drawing/2014/main" id="{00000000-0008-0000-0100-000021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86" name="Drop Down 2" hidden="1">
          <a:extLst>
            <a:ext uri="{FF2B5EF4-FFF2-40B4-BE49-F238E27FC236}">
              <a16:creationId xmlns:a16="http://schemas.microsoft.com/office/drawing/2014/main" id="{00000000-0008-0000-0100-000022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87" name="Drop Down 1" hidden="1">
          <a:extLst>
            <a:ext uri="{FF2B5EF4-FFF2-40B4-BE49-F238E27FC236}">
              <a16:creationId xmlns:a16="http://schemas.microsoft.com/office/drawing/2014/main" id="{00000000-0008-0000-0100-000023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88" name="Drop Down -1022" hidden="1">
          <a:extLst>
            <a:ext uri="{FF2B5EF4-FFF2-40B4-BE49-F238E27FC236}">
              <a16:creationId xmlns:a16="http://schemas.microsoft.com/office/drawing/2014/main" id="{00000000-0008-0000-0100-000024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89" name="Drop Down 1" hidden="1">
          <a:extLst>
            <a:ext uri="{FF2B5EF4-FFF2-40B4-BE49-F238E27FC236}">
              <a16:creationId xmlns:a16="http://schemas.microsoft.com/office/drawing/2014/main" id="{00000000-0008-0000-0100-000025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90" name="Drop Down 1" hidden="1">
          <a:extLst>
            <a:ext uri="{FF2B5EF4-FFF2-40B4-BE49-F238E27FC236}">
              <a16:creationId xmlns:a16="http://schemas.microsoft.com/office/drawing/2014/main" id="{00000000-0008-0000-0100-000026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91" name="Drop Down 1" hidden="1">
          <a:extLst>
            <a:ext uri="{FF2B5EF4-FFF2-40B4-BE49-F238E27FC236}">
              <a16:creationId xmlns:a16="http://schemas.microsoft.com/office/drawing/2014/main" id="{00000000-0008-0000-0100-000027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92" name="Drop Down 1" hidden="1">
          <a:extLst>
            <a:ext uri="{FF2B5EF4-FFF2-40B4-BE49-F238E27FC236}">
              <a16:creationId xmlns:a16="http://schemas.microsoft.com/office/drawing/2014/main" id="{00000000-0008-0000-0100-000028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93" name="Drop Down 2" hidden="1">
          <a:extLst>
            <a:ext uri="{FF2B5EF4-FFF2-40B4-BE49-F238E27FC236}">
              <a16:creationId xmlns:a16="http://schemas.microsoft.com/office/drawing/2014/main" id="{00000000-0008-0000-0100-000029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94" name="Drop Down 1" hidden="1">
          <a:extLst>
            <a:ext uri="{FF2B5EF4-FFF2-40B4-BE49-F238E27FC236}">
              <a16:creationId xmlns:a16="http://schemas.microsoft.com/office/drawing/2014/main" id="{00000000-0008-0000-0100-00002A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795" name="Drop Down -1022" hidden="1">
          <a:extLst>
            <a:ext uri="{FF2B5EF4-FFF2-40B4-BE49-F238E27FC236}">
              <a16:creationId xmlns:a16="http://schemas.microsoft.com/office/drawing/2014/main" id="{00000000-0008-0000-0100-00002B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96" name="Drop Down 1" hidden="1">
          <a:extLst>
            <a:ext uri="{FF2B5EF4-FFF2-40B4-BE49-F238E27FC236}">
              <a16:creationId xmlns:a16="http://schemas.microsoft.com/office/drawing/2014/main" id="{00000000-0008-0000-0100-00002C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97" name="Drop Down 1" hidden="1">
          <a:extLst>
            <a:ext uri="{FF2B5EF4-FFF2-40B4-BE49-F238E27FC236}">
              <a16:creationId xmlns:a16="http://schemas.microsoft.com/office/drawing/2014/main" id="{00000000-0008-0000-0100-00002D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98" name="Drop Down 1" hidden="1">
          <a:extLst>
            <a:ext uri="{FF2B5EF4-FFF2-40B4-BE49-F238E27FC236}">
              <a16:creationId xmlns:a16="http://schemas.microsoft.com/office/drawing/2014/main" id="{00000000-0008-0000-0100-00002E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799" name="Drop Down 1" hidden="1">
          <a:extLst>
            <a:ext uri="{FF2B5EF4-FFF2-40B4-BE49-F238E27FC236}">
              <a16:creationId xmlns:a16="http://schemas.microsoft.com/office/drawing/2014/main" id="{00000000-0008-0000-0100-00002F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00" name="Drop Down 2" hidden="1">
          <a:extLst>
            <a:ext uri="{FF2B5EF4-FFF2-40B4-BE49-F238E27FC236}">
              <a16:creationId xmlns:a16="http://schemas.microsoft.com/office/drawing/2014/main" id="{00000000-0008-0000-0100-000030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01" name="Drop Down 1" hidden="1">
          <a:extLst>
            <a:ext uri="{FF2B5EF4-FFF2-40B4-BE49-F238E27FC236}">
              <a16:creationId xmlns:a16="http://schemas.microsoft.com/office/drawing/2014/main" id="{00000000-0008-0000-0100-000031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02" name="Drop Down -1022" hidden="1">
          <a:extLst>
            <a:ext uri="{FF2B5EF4-FFF2-40B4-BE49-F238E27FC236}">
              <a16:creationId xmlns:a16="http://schemas.microsoft.com/office/drawing/2014/main" id="{00000000-0008-0000-0100-000032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03" name="Drop Down 1" hidden="1">
          <a:extLst>
            <a:ext uri="{FF2B5EF4-FFF2-40B4-BE49-F238E27FC236}">
              <a16:creationId xmlns:a16="http://schemas.microsoft.com/office/drawing/2014/main" id="{00000000-0008-0000-0100-000033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04" name="Drop Down 1" hidden="1">
          <a:extLst>
            <a:ext uri="{FF2B5EF4-FFF2-40B4-BE49-F238E27FC236}">
              <a16:creationId xmlns:a16="http://schemas.microsoft.com/office/drawing/2014/main" id="{00000000-0008-0000-0100-000034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05" name="Drop Down 1" hidden="1">
          <a:extLst>
            <a:ext uri="{FF2B5EF4-FFF2-40B4-BE49-F238E27FC236}">
              <a16:creationId xmlns:a16="http://schemas.microsoft.com/office/drawing/2014/main" id="{00000000-0008-0000-0100-000035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06" name="Drop Down 1" hidden="1">
          <a:extLst>
            <a:ext uri="{FF2B5EF4-FFF2-40B4-BE49-F238E27FC236}">
              <a16:creationId xmlns:a16="http://schemas.microsoft.com/office/drawing/2014/main" id="{00000000-0008-0000-0100-000036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07" name="Drop Down 2" hidden="1">
          <a:extLst>
            <a:ext uri="{FF2B5EF4-FFF2-40B4-BE49-F238E27FC236}">
              <a16:creationId xmlns:a16="http://schemas.microsoft.com/office/drawing/2014/main" id="{00000000-0008-0000-0100-000037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08" name="Drop Down 1" hidden="1">
          <a:extLst>
            <a:ext uri="{FF2B5EF4-FFF2-40B4-BE49-F238E27FC236}">
              <a16:creationId xmlns:a16="http://schemas.microsoft.com/office/drawing/2014/main" id="{00000000-0008-0000-0100-000038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09" name="Drop Down -1022" hidden="1">
          <a:extLst>
            <a:ext uri="{FF2B5EF4-FFF2-40B4-BE49-F238E27FC236}">
              <a16:creationId xmlns:a16="http://schemas.microsoft.com/office/drawing/2014/main" id="{00000000-0008-0000-0100-000039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10" name="Drop Down 1" hidden="1">
          <a:extLst>
            <a:ext uri="{FF2B5EF4-FFF2-40B4-BE49-F238E27FC236}">
              <a16:creationId xmlns:a16="http://schemas.microsoft.com/office/drawing/2014/main" id="{00000000-0008-0000-0100-00003A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11" name="Drop Down 1" hidden="1">
          <a:extLst>
            <a:ext uri="{FF2B5EF4-FFF2-40B4-BE49-F238E27FC236}">
              <a16:creationId xmlns:a16="http://schemas.microsoft.com/office/drawing/2014/main" id="{00000000-0008-0000-0100-00003B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12" name="Drop Down 1" hidden="1">
          <a:extLst>
            <a:ext uri="{FF2B5EF4-FFF2-40B4-BE49-F238E27FC236}">
              <a16:creationId xmlns:a16="http://schemas.microsoft.com/office/drawing/2014/main" id="{00000000-0008-0000-0100-00003C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13" name="Drop Down 1" hidden="1">
          <a:extLst>
            <a:ext uri="{FF2B5EF4-FFF2-40B4-BE49-F238E27FC236}">
              <a16:creationId xmlns:a16="http://schemas.microsoft.com/office/drawing/2014/main" id="{00000000-0008-0000-0100-00003D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14" name="Drop Down 2" hidden="1">
          <a:extLst>
            <a:ext uri="{FF2B5EF4-FFF2-40B4-BE49-F238E27FC236}">
              <a16:creationId xmlns:a16="http://schemas.microsoft.com/office/drawing/2014/main" id="{00000000-0008-0000-0100-00003E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15" name="Drop Down 1" hidden="1">
          <a:extLst>
            <a:ext uri="{FF2B5EF4-FFF2-40B4-BE49-F238E27FC236}">
              <a16:creationId xmlns:a16="http://schemas.microsoft.com/office/drawing/2014/main" id="{00000000-0008-0000-0100-00003F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16" name="Drop Down -1022" hidden="1">
          <a:extLst>
            <a:ext uri="{FF2B5EF4-FFF2-40B4-BE49-F238E27FC236}">
              <a16:creationId xmlns:a16="http://schemas.microsoft.com/office/drawing/2014/main" id="{00000000-0008-0000-0100-000040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17" name="Drop Down 1" hidden="1">
          <a:extLst>
            <a:ext uri="{FF2B5EF4-FFF2-40B4-BE49-F238E27FC236}">
              <a16:creationId xmlns:a16="http://schemas.microsoft.com/office/drawing/2014/main" id="{00000000-0008-0000-0100-000041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18" name="Drop Down 1" hidden="1">
          <a:extLst>
            <a:ext uri="{FF2B5EF4-FFF2-40B4-BE49-F238E27FC236}">
              <a16:creationId xmlns:a16="http://schemas.microsoft.com/office/drawing/2014/main" id="{00000000-0008-0000-0100-000042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19" name="Drop Down 1" hidden="1">
          <a:extLst>
            <a:ext uri="{FF2B5EF4-FFF2-40B4-BE49-F238E27FC236}">
              <a16:creationId xmlns:a16="http://schemas.microsoft.com/office/drawing/2014/main" id="{00000000-0008-0000-0100-000043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20" name="Drop Down 1" hidden="1">
          <a:extLst>
            <a:ext uri="{FF2B5EF4-FFF2-40B4-BE49-F238E27FC236}">
              <a16:creationId xmlns:a16="http://schemas.microsoft.com/office/drawing/2014/main" id="{00000000-0008-0000-0100-000044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21" name="Drop Down 2" hidden="1">
          <a:extLst>
            <a:ext uri="{FF2B5EF4-FFF2-40B4-BE49-F238E27FC236}">
              <a16:creationId xmlns:a16="http://schemas.microsoft.com/office/drawing/2014/main" id="{00000000-0008-0000-0100-000045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22" name="Drop Down 1" hidden="1">
          <a:extLst>
            <a:ext uri="{FF2B5EF4-FFF2-40B4-BE49-F238E27FC236}">
              <a16:creationId xmlns:a16="http://schemas.microsoft.com/office/drawing/2014/main" id="{00000000-0008-0000-0100-000046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23" name="Drop Down -1022" hidden="1">
          <a:extLst>
            <a:ext uri="{FF2B5EF4-FFF2-40B4-BE49-F238E27FC236}">
              <a16:creationId xmlns:a16="http://schemas.microsoft.com/office/drawing/2014/main" id="{00000000-0008-0000-0100-000047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24" name="Drop Down 1" hidden="1">
          <a:extLst>
            <a:ext uri="{FF2B5EF4-FFF2-40B4-BE49-F238E27FC236}">
              <a16:creationId xmlns:a16="http://schemas.microsoft.com/office/drawing/2014/main" id="{00000000-0008-0000-0100-000048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25" name="Drop Down 1" hidden="1">
          <a:extLst>
            <a:ext uri="{FF2B5EF4-FFF2-40B4-BE49-F238E27FC236}">
              <a16:creationId xmlns:a16="http://schemas.microsoft.com/office/drawing/2014/main" id="{00000000-0008-0000-0100-000049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26" name="Drop Down 1" hidden="1">
          <a:extLst>
            <a:ext uri="{FF2B5EF4-FFF2-40B4-BE49-F238E27FC236}">
              <a16:creationId xmlns:a16="http://schemas.microsoft.com/office/drawing/2014/main" id="{00000000-0008-0000-0100-00004A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27" name="Drop Down 1" hidden="1">
          <a:extLst>
            <a:ext uri="{FF2B5EF4-FFF2-40B4-BE49-F238E27FC236}">
              <a16:creationId xmlns:a16="http://schemas.microsoft.com/office/drawing/2014/main" id="{00000000-0008-0000-0100-00004B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28" name="Drop Down 2" hidden="1">
          <a:extLst>
            <a:ext uri="{FF2B5EF4-FFF2-40B4-BE49-F238E27FC236}">
              <a16:creationId xmlns:a16="http://schemas.microsoft.com/office/drawing/2014/main" id="{00000000-0008-0000-0100-00004C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29" name="Drop Down 1" hidden="1">
          <a:extLst>
            <a:ext uri="{FF2B5EF4-FFF2-40B4-BE49-F238E27FC236}">
              <a16:creationId xmlns:a16="http://schemas.microsoft.com/office/drawing/2014/main" id="{00000000-0008-0000-0100-00004D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30" name="Drop Down -1022" hidden="1">
          <a:extLst>
            <a:ext uri="{FF2B5EF4-FFF2-40B4-BE49-F238E27FC236}">
              <a16:creationId xmlns:a16="http://schemas.microsoft.com/office/drawing/2014/main" id="{00000000-0008-0000-0100-00004E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31" name="Drop Down 1" hidden="1">
          <a:extLst>
            <a:ext uri="{FF2B5EF4-FFF2-40B4-BE49-F238E27FC236}">
              <a16:creationId xmlns:a16="http://schemas.microsoft.com/office/drawing/2014/main" id="{00000000-0008-0000-0100-00004F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32" name="Drop Down 1" hidden="1">
          <a:extLst>
            <a:ext uri="{FF2B5EF4-FFF2-40B4-BE49-F238E27FC236}">
              <a16:creationId xmlns:a16="http://schemas.microsoft.com/office/drawing/2014/main" id="{00000000-0008-0000-0100-000050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33" name="Drop Down 1" hidden="1">
          <a:extLst>
            <a:ext uri="{FF2B5EF4-FFF2-40B4-BE49-F238E27FC236}">
              <a16:creationId xmlns:a16="http://schemas.microsoft.com/office/drawing/2014/main" id="{00000000-0008-0000-0100-000051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34" name="Drop Down 1" hidden="1">
          <a:extLst>
            <a:ext uri="{FF2B5EF4-FFF2-40B4-BE49-F238E27FC236}">
              <a16:creationId xmlns:a16="http://schemas.microsoft.com/office/drawing/2014/main" id="{00000000-0008-0000-0100-000052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35" name="Drop Down 2" hidden="1">
          <a:extLst>
            <a:ext uri="{FF2B5EF4-FFF2-40B4-BE49-F238E27FC236}">
              <a16:creationId xmlns:a16="http://schemas.microsoft.com/office/drawing/2014/main" id="{00000000-0008-0000-0100-000053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36" name="Drop Down 1" hidden="1">
          <a:extLst>
            <a:ext uri="{FF2B5EF4-FFF2-40B4-BE49-F238E27FC236}">
              <a16:creationId xmlns:a16="http://schemas.microsoft.com/office/drawing/2014/main" id="{00000000-0008-0000-0100-000054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37" name="Drop Down -1022" hidden="1">
          <a:extLst>
            <a:ext uri="{FF2B5EF4-FFF2-40B4-BE49-F238E27FC236}">
              <a16:creationId xmlns:a16="http://schemas.microsoft.com/office/drawing/2014/main" id="{00000000-0008-0000-0100-000055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38" name="Drop Down 1" hidden="1">
          <a:extLst>
            <a:ext uri="{FF2B5EF4-FFF2-40B4-BE49-F238E27FC236}">
              <a16:creationId xmlns:a16="http://schemas.microsoft.com/office/drawing/2014/main" id="{00000000-0008-0000-0100-000056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39" name="Drop Down 1" hidden="1">
          <a:extLst>
            <a:ext uri="{FF2B5EF4-FFF2-40B4-BE49-F238E27FC236}">
              <a16:creationId xmlns:a16="http://schemas.microsoft.com/office/drawing/2014/main" id="{00000000-0008-0000-0100-000057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40" name="Drop Down 1" hidden="1">
          <a:extLst>
            <a:ext uri="{FF2B5EF4-FFF2-40B4-BE49-F238E27FC236}">
              <a16:creationId xmlns:a16="http://schemas.microsoft.com/office/drawing/2014/main" id="{00000000-0008-0000-0100-000058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41" name="Drop Down 1" hidden="1">
          <a:extLst>
            <a:ext uri="{FF2B5EF4-FFF2-40B4-BE49-F238E27FC236}">
              <a16:creationId xmlns:a16="http://schemas.microsoft.com/office/drawing/2014/main" id="{00000000-0008-0000-0100-000059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42" name="Drop Down 2" hidden="1">
          <a:extLst>
            <a:ext uri="{FF2B5EF4-FFF2-40B4-BE49-F238E27FC236}">
              <a16:creationId xmlns:a16="http://schemas.microsoft.com/office/drawing/2014/main" id="{00000000-0008-0000-0100-00005A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43" name="Drop Down 1" hidden="1">
          <a:extLst>
            <a:ext uri="{FF2B5EF4-FFF2-40B4-BE49-F238E27FC236}">
              <a16:creationId xmlns:a16="http://schemas.microsoft.com/office/drawing/2014/main" id="{00000000-0008-0000-0100-00005B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7644"/>
    <xdr:sp macro="" textlink="">
      <xdr:nvSpPr>
        <xdr:cNvPr id="10844" name="Drop Down -1022" hidden="1">
          <a:extLst>
            <a:ext uri="{FF2B5EF4-FFF2-40B4-BE49-F238E27FC236}">
              <a16:creationId xmlns:a16="http://schemas.microsoft.com/office/drawing/2014/main" id="{00000000-0008-0000-0100-00005C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7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45" name="Drop Down 1" hidden="1">
          <a:extLst>
            <a:ext uri="{FF2B5EF4-FFF2-40B4-BE49-F238E27FC236}">
              <a16:creationId xmlns:a16="http://schemas.microsoft.com/office/drawing/2014/main" id="{00000000-0008-0000-0100-00005D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46" name="Drop Down 1" hidden="1">
          <a:extLst>
            <a:ext uri="{FF2B5EF4-FFF2-40B4-BE49-F238E27FC236}">
              <a16:creationId xmlns:a16="http://schemas.microsoft.com/office/drawing/2014/main" id="{00000000-0008-0000-0100-00005E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47" name="Drop Down 1" hidden="1">
          <a:extLst>
            <a:ext uri="{FF2B5EF4-FFF2-40B4-BE49-F238E27FC236}">
              <a16:creationId xmlns:a16="http://schemas.microsoft.com/office/drawing/2014/main" id="{00000000-0008-0000-0100-00005F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48" name="Drop Down 1" hidden="1">
          <a:extLst>
            <a:ext uri="{FF2B5EF4-FFF2-40B4-BE49-F238E27FC236}">
              <a16:creationId xmlns:a16="http://schemas.microsoft.com/office/drawing/2014/main" id="{00000000-0008-0000-0100-000060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49" name="Drop Down 2" hidden="1">
          <a:extLst>
            <a:ext uri="{FF2B5EF4-FFF2-40B4-BE49-F238E27FC236}">
              <a16:creationId xmlns:a16="http://schemas.microsoft.com/office/drawing/2014/main" id="{00000000-0008-0000-0100-000061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50" name="Drop Down 1" hidden="1">
          <a:extLst>
            <a:ext uri="{FF2B5EF4-FFF2-40B4-BE49-F238E27FC236}">
              <a16:creationId xmlns:a16="http://schemas.microsoft.com/office/drawing/2014/main" id="{00000000-0008-0000-0100-000062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901065" cy="205885"/>
    <xdr:sp macro="" textlink="">
      <xdr:nvSpPr>
        <xdr:cNvPr id="10851" name="Drop Down -1022" hidden="1">
          <a:extLst>
            <a:ext uri="{FF2B5EF4-FFF2-40B4-BE49-F238E27FC236}">
              <a16:creationId xmlns:a16="http://schemas.microsoft.com/office/drawing/2014/main" id="{00000000-0008-0000-0100-0000632A0000}"/>
            </a:ext>
          </a:extLst>
        </xdr:cNvPr>
        <xdr:cNvSpPr>
          <a:spLocks noChangeArrowheads="1"/>
        </xdr:cNvSpPr>
      </xdr:nvSpPr>
      <xdr:spPr bwMode="auto">
        <a:xfrm>
          <a:off x="3774281" y="18835688"/>
          <a:ext cx="901065" cy="205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599846</xdr:colOff>
          <xdr:row>65</xdr:row>
          <xdr:rowOff>117043</xdr:rowOff>
        </xdr:from>
        <xdr:to>
          <xdr:col>16</xdr:col>
          <xdr:colOff>7315</xdr:colOff>
          <xdr:row>66</xdr:row>
          <xdr:rowOff>138989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6</xdr:col>
          <xdr:colOff>0</xdr:colOff>
          <xdr:row>11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285293</xdr:colOff>
          <xdr:row>1</xdr:row>
          <xdr:rowOff>182880</xdr:rowOff>
        </xdr:from>
        <xdr:to>
          <xdr:col>15</xdr:col>
          <xdr:colOff>753466</xdr:colOff>
          <xdr:row>2</xdr:row>
          <xdr:rowOff>153619</xdr:rowOff>
        </xdr:to>
        <xdr:sp macro="" textlink="">
          <xdr:nvSpPr>
            <xdr:cNvPr id="7337" name="Drop Down 169" hidden="1">
              <a:extLst>
                <a:ext uri="{63B3BB69-23CF-44E3-9099-C40C66FF867C}">
                  <a14:compatExt spid="_x0000_s7337"/>
                </a:ext>
                <a:ext uri="{FF2B5EF4-FFF2-40B4-BE49-F238E27FC236}">
                  <a16:creationId xmlns:a16="http://schemas.microsoft.com/office/drawing/2014/main" id="{00000000-0008-0000-0500-0000A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3235-57FC-4B6C-9B56-8DA8582952FA}">
  <sheetPr codeName="Sheet1">
    <pageSetUpPr fitToPage="1"/>
  </sheetPr>
  <dimension ref="C7:D21"/>
  <sheetViews>
    <sheetView showGridLines="0" tabSelected="1" zoomScaleNormal="100" workbookViewId="0">
      <selection activeCell="D12" sqref="D12"/>
    </sheetView>
  </sheetViews>
  <sheetFormatPr defaultRowHeight="12.7"/>
  <cols>
    <col min="3" max="3" width="18.88671875" customWidth="1"/>
  </cols>
  <sheetData>
    <row r="7" spans="3:4" ht="22.5">
      <c r="C7" s="70" t="s">
        <v>239</v>
      </c>
    </row>
    <row r="8" spans="3:4">
      <c r="C8" t="s">
        <v>238</v>
      </c>
    </row>
    <row r="11" spans="3:4">
      <c r="C11" t="s">
        <v>53</v>
      </c>
      <c r="D11" t="s">
        <v>244</v>
      </c>
    </row>
    <row r="12" spans="3:4">
      <c r="C12" t="s">
        <v>54</v>
      </c>
      <c r="D12" t="s">
        <v>55</v>
      </c>
    </row>
    <row r="13" spans="3:4">
      <c r="C13" t="s">
        <v>167</v>
      </c>
      <c r="D13" t="s">
        <v>168</v>
      </c>
    </row>
    <row r="21" spans="3:3">
      <c r="C21" s="71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10"/>
  <sheetViews>
    <sheetView showGridLines="0" zoomScaleNormal="100" zoomScaleSheetLayoutView="90" workbookViewId="0"/>
  </sheetViews>
  <sheetFormatPr defaultColWidth="9.44140625" defaultRowHeight="12.7"/>
  <cols>
    <col min="1" max="1" width="2.5546875" style="1" customWidth="1"/>
    <col min="2" max="2" width="1.88671875" style="1" customWidth="1"/>
    <col min="3" max="3" width="2.44140625" style="1" customWidth="1"/>
    <col min="4" max="4" width="32.5546875" style="1" customWidth="1"/>
    <col min="5" max="5" width="12.5546875" style="1" customWidth="1"/>
    <col min="6" max="6" width="1.88671875" style="1" customWidth="1"/>
    <col min="7" max="9" width="12.5546875" style="1" customWidth="1"/>
    <col min="10" max="16384" width="9.44140625" style="1"/>
  </cols>
  <sheetData>
    <row r="1" spans="1:9">
      <c r="G1" s="2"/>
      <c r="H1" s="2"/>
      <c r="I1" s="2"/>
    </row>
    <row r="2" spans="1:9" ht="22.5">
      <c r="A2" s="3"/>
      <c r="B2" s="4" t="s">
        <v>239</v>
      </c>
      <c r="C2" s="4"/>
      <c r="D2" s="4"/>
      <c r="E2" s="4"/>
      <c r="F2" s="4"/>
      <c r="G2" s="4"/>
      <c r="H2" s="4"/>
      <c r="I2" s="4"/>
    </row>
    <row r="3" spans="1:9" ht="19.45" customHeight="1">
      <c r="A3" s="5"/>
      <c r="B3" s="6" t="s">
        <v>0</v>
      </c>
      <c r="C3" s="6"/>
      <c r="D3" s="6"/>
      <c r="E3" s="6"/>
      <c r="F3" s="6"/>
      <c r="G3" s="6"/>
      <c r="H3" s="6"/>
      <c r="I3" s="6"/>
    </row>
    <row r="4" spans="1:9" ht="6.05" customHeight="1" thickBot="1">
      <c r="A4" s="5"/>
      <c r="B4" s="7"/>
      <c r="C4" s="7"/>
      <c r="D4" s="7"/>
      <c r="E4" s="7"/>
      <c r="F4" s="7"/>
      <c r="G4" s="7"/>
      <c r="H4" s="7"/>
      <c r="I4" s="7"/>
    </row>
    <row r="5" spans="1:9">
      <c r="B5" s="8" t="s">
        <v>52</v>
      </c>
    </row>
    <row r="6" spans="1:9">
      <c r="F6" s="9"/>
    </row>
    <row r="7" spans="1:9">
      <c r="F7" s="10"/>
      <c r="G7" s="11">
        <v>2022</v>
      </c>
      <c r="H7" s="11">
        <v>2023</v>
      </c>
      <c r="I7" s="11">
        <v>2024</v>
      </c>
    </row>
    <row r="8" spans="1:9" ht="13.4" customHeight="1">
      <c r="B8" s="12"/>
      <c r="C8" s="12"/>
      <c r="D8" s="12"/>
      <c r="E8" s="12"/>
      <c r="F8" s="10"/>
      <c r="G8" s="10"/>
      <c r="H8" s="10"/>
      <c r="I8" s="10"/>
    </row>
    <row r="9" spans="1:9" ht="13.4" customHeight="1">
      <c r="B9" s="13"/>
      <c r="C9" s="13" t="s">
        <v>49</v>
      </c>
      <c r="D9" s="12"/>
      <c r="E9" s="12"/>
      <c r="F9" s="10"/>
      <c r="G9" s="15">
        <v>1553.87</v>
      </c>
      <c r="H9" s="15">
        <v>1776.88</v>
      </c>
      <c r="I9" s="15">
        <v>1975.48</v>
      </c>
    </row>
    <row r="10" spans="1:9" ht="13.4" customHeight="1">
      <c r="B10" s="12"/>
      <c r="C10" s="12"/>
      <c r="D10" s="12"/>
      <c r="E10" s="12"/>
      <c r="F10" s="10"/>
      <c r="G10" s="14"/>
      <c r="H10" s="14"/>
      <c r="I10" s="14"/>
    </row>
    <row r="11" spans="1:9">
      <c r="B11" s="12"/>
      <c r="C11" s="12" t="s">
        <v>1</v>
      </c>
      <c r="D11" s="12"/>
      <c r="E11" s="12"/>
      <c r="F11" s="10"/>
      <c r="G11" s="15">
        <v>980.84</v>
      </c>
      <c r="H11" s="15">
        <v>1078.03</v>
      </c>
      <c r="I11" s="15">
        <v>1201.29</v>
      </c>
    </row>
    <row r="12" spans="1:9">
      <c r="A12" s="18"/>
      <c r="B12" s="12"/>
      <c r="C12" s="19" t="s">
        <v>2</v>
      </c>
      <c r="D12" s="12"/>
      <c r="E12" s="12"/>
      <c r="F12" s="10"/>
      <c r="G12" s="16">
        <v>265.79000000000002</v>
      </c>
      <c r="H12" s="16">
        <v>290.54000000000002</v>
      </c>
      <c r="I12" s="16">
        <v>305.35000000000002</v>
      </c>
    </row>
    <row r="13" spans="1:9">
      <c r="B13" s="12"/>
      <c r="C13" s="20" t="s">
        <v>3</v>
      </c>
      <c r="D13" s="12"/>
      <c r="E13" s="12"/>
      <c r="F13" s="10"/>
      <c r="G13" s="21">
        <v>1246.6300000000001</v>
      </c>
      <c r="H13" s="21">
        <v>1368.57</v>
      </c>
      <c r="I13" s="21">
        <v>1506.6399999999999</v>
      </c>
    </row>
    <row r="14" spans="1:9">
      <c r="B14" s="12"/>
      <c r="C14" s="20"/>
      <c r="D14" s="12"/>
      <c r="E14" s="12"/>
      <c r="F14" s="10"/>
      <c r="G14" s="14"/>
      <c r="H14" s="14"/>
      <c r="I14" s="14"/>
    </row>
    <row r="15" spans="1:9">
      <c r="B15" s="12"/>
      <c r="C15" s="22" t="s">
        <v>51</v>
      </c>
      <c r="D15" s="12"/>
      <c r="E15" s="12"/>
      <c r="F15" s="10"/>
      <c r="G15" s="16">
        <v>0</v>
      </c>
      <c r="H15" s="16">
        <v>0</v>
      </c>
      <c r="I15" s="16">
        <v>0</v>
      </c>
    </row>
    <row r="16" spans="1:9">
      <c r="B16" s="17"/>
      <c r="C16" s="17" t="s">
        <v>4</v>
      </c>
      <c r="G16" s="23">
        <v>307.23999999999978</v>
      </c>
      <c r="H16" s="23">
        <v>408.31000000000017</v>
      </c>
      <c r="I16" s="23">
        <v>468.84000000000015</v>
      </c>
    </row>
    <row r="17" spans="2:9">
      <c r="G17" s="24"/>
      <c r="H17" s="24"/>
      <c r="I17" s="24"/>
    </row>
    <row r="18" spans="2:9">
      <c r="C18" s="1" t="s">
        <v>5</v>
      </c>
      <c r="G18" s="25">
        <v>25.539000000000001</v>
      </c>
      <c r="H18" s="25">
        <v>32.057000000000002</v>
      </c>
      <c r="I18" s="25">
        <v>38.499000000000002</v>
      </c>
    </row>
    <row r="19" spans="2:9">
      <c r="C19" s="20" t="s">
        <v>6</v>
      </c>
      <c r="G19" s="23">
        <v>281.70099999999979</v>
      </c>
      <c r="H19" s="23">
        <v>376.25300000000016</v>
      </c>
      <c r="I19" s="23">
        <v>430.34100000000012</v>
      </c>
    </row>
    <row r="20" spans="2:9" ht="6.05" customHeight="1">
      <c r="C20" s="20"/>
      <c r="G20" s="24"/>
      <c r="H20" s="24"/>
      <c r="I20" s="24"/>
    </row>
    <row r="21" spans="2:9">
      <c r="C21" s="26" t="s">
        <v>7</v>
      </c>
      <c r="D21" s="24"/>
      <c r="E21" s="24"/>
      <c r="F21" s="24"/>
      <c r="G21" s="25">
        <v>13.304</v>
      </c>
      <c r="H21" s="25">
        <v>14.263</v>
      </c>
      <c r="I21" s="25">
        <v>22.055</v>
      </c>
    </row>
    <row r="22" spans="2:9">
      <c r="C22" s="27" t="s">
        <v>8</v>
      </c>
      <c r="G22" s="23">
        <v>268.39699999999982</v>
      </c>
      <c r="H22" s="23">
        <v>361.99000000000018</v>
      </c>
      <c r="I22" s="23">
        <v>408.28600000000012</v>
      </c>
    </row>
    <row r="23" spans="2:9" ht="6.05" customHeight="1">
      <c r="C23" s="20"/>
      <c r="G23" s="24"/>
      <c r="H23" s="24"/>
      <c r="I23" s="24"/>
    </row>
    <row r="24" spans="2:9">
      <c r="C24" s="24" t="s">
        <v>9</v>
      </c>
      <c r="D24" s="24"/>
      <c r="E24" s="24"/>
      <c r="G24" s="28">
        <v>62.432000000000002</v>
      </c>
      <c r="H24" s="28">
        <v>92.477000000000004</v>
      </c>
      <c r="I24" s="28">
        <v>100.45699999999999</v>
      </c>
    </row>
    <row r="25" spans="2:9">
      <c r="C25" s="1" t="s">
        <v>10</v>
      </c>
      <c r="G25" s="25">
        <v>9.0310000000000006</v>
      </c>
      <c r="H25" s="25">
        <v>2.7450000000000001</v>
      </c>
      <c r="I25" s="25">
        <v>10.737</v>
      </c>
    </row>
    <row r="26" spans="2:9">
      <c r="C26" s="17" t="s">
        <v>11</v>
      </c>
      <c r="G26" s="23">
        <v>71.463000000000008</v>
      </c>
      <c r="H26" s="23">
        <v>95.222000000000008</v>
      </c>
      <c r="I26" s="23">
        <v>111.19399999999999</v>
      </c>
    </row>
    <row r="27" spans="2:9" ht="9.1" customHeight="1">
      <c r="G27" s="24"/>
      <c r="H27" s="24"/>
      <c r="I27" s="24"/>
    </row>
    <row r="28" spans="2:9" ht="14.15" customHeight="1" thickBot="1">
      <c r="B28" s="12"/>
      <c r="C28" s="29" t="s">
        <v>12</v>
      </c>
      <c r="D28" s="13"/>
      <c r="E28" s="13"/>
      <c r="F28" s="12"/>
      <c r="G28" s="154">
        <v>196.9339999999998</v>
      </c>
      <c r="H28" s="154">
        <v>266.76800000000014</v>
      </c>
      <c r="I28" s="154">
        <v>297.0920000000001</v>
      </c>
    </row>
    <row r="29" spans="2:9" ht="13.25" thickTop="1">
      <c r="B29" s="12"/>
      <c r="C29" s="29"/>
      <c r="D29" s="13"/>
      <c r="E29" s="13"/>
      <c r="F29" s="12"/>
      <c r="G29" s="30"/>
      <c r="H29" s="30"/>
      <c r="I29" s="30"/>
    </row>
    <row r="30" spans="2:9" ht="22.5">
      <c r="B30" s="4" t="str">
        <f>B2</f>
        <v>Veritas Dwellings</v>
      </c>
      <c r="C30" s="32"/>
      <c r="D30" s="32"/>
      <c r="E30" s="32"/>
      <c r="F30" s="32"/>
      <c r="G30" s="32"/>
      <c r="H30" s="32"/>
      <c r="I30" s="32"/>
    </row>
    <row r="31" spans="2:9" ht="17.3">
      <c r="B31" s="6" t="s">
        <v>14</v>
      </c>
      <c r="C31" s="33"/>
      <c r="D31" s="33"/>
      <c r="E31" s="33"/>
      <c r="F31" s="33"/>
      <c r="G31" s="33"/>
      <c r="H31" s="33"/>
      <c r="I31" s="33"/>
    </row>
    <row r="32" spans="2:9" ht="6.05" customHeight="1" thickBot="1">
      <c r="B32" s="7"/>
      <c r="C32" s="34"/>
      <c r="D32" s="34"/>
      <c r="E32" s="34"/>
      <c r="F32" s="34"/>
      <c r="G32" s="34"/>
      <c r="H32" s="34"/>
      <c r="I32" s="34"/>
    </row>
    <row r="33" spans="1:9">
      <c r="B33" s="8" t="s">
        <v>52</v>
      </c>
    </row>
    <row r="35" spans="1:9">
      <c r="B35" s="35"/>
      <c r="F35" s="36"/>
      <c r="G35" s="11">
        <v>2015</v>
      </c>
      <c r="H35" s="11">
        <v>2016</v>
      </c>
      <c r="I35" s="11">
        <v>2017</v>
      </c>
    </row>
    <row r="36" spans="1:9">
      <c r="B36" s="17" t="s">
        <v>15</v>
      </c>
    </row>
    <row r="37" spans="1:9">
      <c r="C37" s="1" t="s">
        <v>12</v>
      </c>
      <c r="F37" s="37"/>
      <c r="G37" s="38">
        <v>196.9339999999998</v>
      </c>
      <c r="H37" s="38">
        <v>266.76800000000014</v>
      </c>
      <c r="I37" s="38">
        <v>297.0920000000001</v>
      </c>
    </row>
    <row r="38" spans="1:9">
      <c r="C38" s="1" t="s">
        <v>5</v>
      </c>
      <c r="F38" s="37"/>
      <c r="G38" s="38">
        <v>25.539000000000001</v>
      </c>
      <c r="H38" s="38">
        <v>32.057000000000002</v>
      </c>
      <c r="I38" s="38">
        <v>38.499000000000002</v>
      </c>
    </row>
    <row r="39" spans="1:9">
      <c r="C39" s="1" t="s">
        <v>10</v>
      </c>
      <c r="F39" s="37"/>
      <c r="G39" s="38">
        <v>9.0310000000000006</v>
      </c>
      <c r="H39" s="38">
        <v>2.7450000000000001</v>
      </c>
      <c r="I39" s="38">
        <v>10.737</v>
      </c>
    </row>
    <row r="40" spans="1:9">
      <c r="C40" s="1" t="s">
        <v>16</v>
      </c>
      <c r="F40" s="39"/>
      <c r="G40" s="38">
        <v>-5.8470000000000004</v>
      </c>
      <c r="H40" s="38">
        <v>-19.241</v>
      </c>
      <c r="I40" s="38">
        <v>-2.3969999999999998</v>
      </c>
    </row>
    <row r="41" spans="1:9">
      <c r="C41" s="1" t="s">
        <v>30</v>
      </c>
      <c r="F41" s="39"/>
      <c r="G41" s="40">
        <v>11.584</v>
      </c>
      <c r="H41" s="40">
        <v>27.166</v>
      </c>
      <c r="I41" s="16">
        <v>-7.1509999999999998</v>
      </c>
    </row>
    <row r="42" spans="1:9">
      <c r="C42" s="20" t="s">
        <v>17</v>
      </c>
      <c r="F42" s="41"/>
      <c r="G42" s="42">
        <v>237.24099999999979</v>
      </c>
      <c r="H42" s="42">
        <v>309.49500000000018</v>
      </c>
      <c r="I42" s="42">
        <v>336.78000000000014</v>
      </c>
    </row>
    <row r="43" spans="1:9">
      <c r="B43" s="22"/>
      <c r="G43" s="24"/>
    </row>
    <row r="44" spans="1:9">
      <c r="B44" s="17" t="s">
        <v>18</v>
      </c>
      <c r="C44" s="24"/>
      <c r="D44" s="24"/>
      <c r="E44" s="24"/>
      <c r="G44" s="24"/>
    </row>
    <row r="45" spans="1:9">
      <c r="C45" s="1" t="s">
        <v>19</v>
      </c>
      <c r="G45" s="43">
        <v>-56.625999999999998</v>
      </c>
      <c r="H45" s="43">
        <v>-62.953000000000003</v>
      </c>
      <c r="I45" s="43">
        <v>-110.809</v>
      </c>
    </row>
    <row r="46" spans="1:9" s="24" customFormat="1">
      <c r="C46" s="24" t="s">
        <v>30</v>
      </c>
      <c r="G46" s="25">
        <v>0</v>
      </c>
      <c r="H46" s="25">
        <v>0</v>
      </c>
      <c r="I46" s="25">
        <v>0</v>
      </c>
    </row>
    <row r="47" spans="1:9">
      <c r="A47" s="17"/>
      <c r="C47" s="17" t="s">
        <v>20</v>
      </c>
      <c r="F47" s="41"/>
      <c r="G47" s="42">
        <v>-56.625999999999998</v>
      </c>
      <c r="H47" s="42">
        <v>-62.953000000000003</v>
      </c>
      <c r="I47" s="42">
        <v>-110.809</v>
      </c>
    </row>
    <row r="48" spans="1:9">
      <c r="A48" s="17"/>
      <c r="B48" s="27"/>
      <c r="F48" s="44"/>
      <c r="G48" s="45"/>
      <c r="H48" s="44"/>
      <c r="I48" s="45"/>
    </row>
    <row r="49" spans="1:9">
      <c r="A49" s="17"/>
      <c r="B49" s="27" t="s">
        <v>21</v>
      </c>
      <c r="F49" s="44"/>
      <c r="G49" s="45"/>
      <c r="H49" s="45"/>
      <c r="I49" s="45"/>
    </row>
    <row r="50" spans="1:9">
      <c r="A50" s="17"/>
      <c r="B50" s="27"/>
      <c r="C50" s="1" t="s">
        <v>22</v>
      </c>
      <c r="F50" s="41"/>
      <c r="G50" s="43">
        <v>10</v>
      </c>
      <c r="H50" s="43">
        <v>0</v>
      </c>
      <c r="I50" s="43">
        <v>0</v>
      </c>
    </row>
    <row r="51" spans="1:9">
      <c r="A51" s="17"/>
      <c r="B51" s="27"/>
      <c r="C51" s="1" t="s">
        <v>177</v>
      </c>
      <c r="F51" s="41"/>
      <c r="G51" s="43">
        <v>100</v>
      </c>
      <c r="H51" s="43">
        <v>80</v>
      </c>
      <c r="I51" s="43">
        <v>350</v>
      </c>
    </row>
    <row r="52" spans="1:9">
      <c r="A52" s="17"/>
      <c r="B52" s="27"/>
      <c r="C52" s="1" t="s">
        <v>179</v>
      </c>
      <c r="F52" s="41"/>
      <c r="G52" s="43">
        <v>0</v>
      </c>
      <c r="H52" s="43">
        <v>156.66999999999999</v>
      </c>
      <c r="I52" s="43">
        <v>-80</v>
      </c>
    </row>
    <row r="53" spans="1:9">
      <c r="C53" s="1" t="s">
        <v>178</v>
      </c>
      <c r="G53" s="43">
        <v>0</v>
      </c>
      <c r="H53" s="43">
        <v>0</v>
      </c>
      <c r="I53" s="43">
        <v>0</v>
      </c>
    </row>
    <row r="54" spans="1:9">
      <c r="C54" s="1" t="s">
        <v>23</v>
      </c>
      <c r="G54" s="43">
        <v>-282.81299999999999</v>
      </c>
      <c r="H54" s="43">
        <v>-432.82600000000002</v>
      </c>
      <c r="I54" s="43">
        <v>-461.15699999999998</v>
      </c>
    </row>
    <row r="55" spans="1:9">
      <c r="C55" s="1" t="s">
        <v>180</v>
      </c>
      <c r="G55" s="43">
        <v>0</v>
      </c>
      <c r="H55" s="43">
        <v>0</v>
      </c>
      <c r="I55" s="43">
        <v>0</v>
      </c>
    </row>
    <row r="56" spans="1:9" s="24" customFormat="1">
      <c r="A56" s="46"/>
      <c r="B56" s="47"/>
      <c r="C56" s="24" t="s">
        <v>24</v>
      </c>
      <c r="F56" s="48"/>
      <c r="G56" s="43">
        <v>-27.89</v>
      </c>
      <c r="H56" s="43">
        <v>-30.077000000000002</v>
      </c>
      <c r="I56" s="43">
        <v>-31.291</v>
      </c>
    </row>
    <row r="57" spans="1:9" s="24" customFormat="1">
      <c r="A57" s="46"/>
      <c r="B57" s="47"/>
      <c r="C57" s="24" t="s">
        <v>206</v>
      </c>
      <c r="F57" s="48"/>
      <c r="G57" s="25">
        <v>-1.2270000000000001</v>
      </c>
      <c r="H57" s="25">
        <v>-1.321</v>
      </c>
      <c r="I57" s="25">
        <v>-1.9379999999999999</v>
      </c>
    </row>
    <row r="58" spans="1:9">
      <c r="A58" s="17"/>
      <c r="B58" s="27"/>
      <c r="C58" s="17" t="s">
        <v>25</v>
      </c>
      <c r="F58" s="41"/>
      <c r="G58" s="42">
        <v>-201.92999999999998</v>
      </c>
      <c r="H58" s="42">
        <v>-227.55400000000003</v>
      </c>
      <c r="I58" s="42">
        <v>-224.38599999999997</v>
      </c>
    </row>
    <row r="59" spans="1:9">
      <c r="A59" s="17"/>
      <c r="B59" s="27"/>
      <c r="C59" s="17"/>
      <c r="F59" s="41"/>
      <c r="G59" s="49"/>
      <c r="H59" s="49"/>
      <c r="I59" s="50"/>
    </row>
    <row r="60" spans="1:9">
      <c r="A60" s="17"/>
      <c r="C60" s="22" t="s">
        <v>45</v>
      </c>
      <c r="F60" s="41"/>
      <c r="G60" s="51">
        <v>-21.315000000000197</v>
      </c>
      <c r="H60" s="51">
        <v>18.988000000000142</v>
      </c>
      <c r="I60" s="51">
        <v>1.5850000000001785</v>
      </c>
    </row>
    <row r="61" spans="1:9">
      <c r="A61" s="17"/>
      <c r="C61" s="22" t="s">
        <v>46</v>
      </c>
      <c r="F61" s="41"/>
      <c r="G61" s="25">
        <v>47.646999999999998</v>
      </c>
      <c r="H61" s="52">
        <v>26.331999999999802</v>
      </c>
      <c r="I61" s="52">
        <v>45.319999999999943</v>
      </c>
    </row>
    <row r="62" spans="1:9">
      <c r="A62" s="17"/>
      <c r="C62" s="20" t="s">
        <v>47</v>
      </c>
      <c r="F62" s="41"/>
      <c r="G62" s="53">
        <v>26.331999999999802</v>
      </c>
      <c r="H62" s="53">
        <v>45.319999999999943</v>
      </c>
      <c r="I62" s="53">
        <v>46.905000000000122</v>
      </c>
    </row>
    <row r="63" spans="1:9">
      <c r="B63" s="31"/>
      <c r="C63" s="31"/>
      <c r="D63" s="31"/>
      <c r="E63" s="31"/>
      <c r="F63" s="31"/>
      <c r="G63" s="31"/>
      <c r="H63" s="31"/>
      <c r="I63" s="31"/>
    </row>
    <row r="64" spans="1:9">
      <c r="B64" s="12"/>
      <c r="C64" s="12"/>
      <c r="D64" s="12"/>
      <c r="E64" s="12"/>
      <c r="F64" s="12"/>
      <c r="G64" s="12"/>
      <c r="H64" s="12"/>
      <c r="I64" s="12"/>
    </row>
    <row r="65" spans="2:9">
      <c r="B65" s="12"/>
      <c r="C65" s="12"/>
      <c r="D65" s="12"/>
      <c r="E65" s="12"/>
      <c r="F65" s="12"/>
      <c r="G65" s="12"/>
      <c r="H65" s="12"/>
      <c r="I65" s="12"/>
    </row>
    <row r="66" spans="2:9">
      <c r="B66" s="12"/>
      <c r="C66" s="12"/>
      <c r="D66" s="12"/>
      <c r="E66" s="12"/>
      <c r="F66" s="12"/>
      <c r="G66" s="12"/>
      <c r="H66" s="12"/>
      <c r="I66" s="12"/>
    </row>
    <row r="67" spans="2:9" ht="22.5">
      <c r="B67" s="4" t="str">
        <f>B2</f>
        <v>Veritas Dwellings</v>
      </c>
      <c r="C67" s="32"/>
      <c r="D67" s="32"/>
      <c r="E67" s="32"/>
      <c r="F67" s="32"/>
      <c r="G67" s="32"/>
      <c r="H67" s="32"/>
      <c r="I67" s="32"/>
    </row>
    <row r="68" spans="2:9" ht="17.3">
      <c r="B68" s="6" t="s">
        <v>26</v>
      </c>
      <c r="C68" s="33"/>
      <c r="D68" s="33"/>
      <c r="E68" s="33"/>
      <c r="F68" s="33"/>
      <c r="G68" s="33"/>
      <c r="H68" s="33"/>
      <c r="I68" s="33"/>
    </row>
    <row r="69" spans="2:9" ht="6.05" customHeight="1" thickBot="1">
      <c r="B69" s="7"/>
      <c r="C69" s="34"/>
      <c r="D69" s="34"/>
      <c r="E69" s="34"/>
      <c r="F69" s="34"/>
      <c r="G69" s="34"/>
      <c r="H69" s="34"/>
      <c r="I69" s="34"/>
    </row>
    <row r="70" spans="2:9" ht="13.25">
      <c r="B70" s="8" t="s">
        <v>52</v>
      </c>
      <c r="D70" s="46"/>
      <c r="E70" s="46"/>
      <c r="G70" s="54"/>
      <c r="H70" s="54"/>
      <c r="I70" s="54"/>
    </row>
    <row r="71" spans="2:9">
      <c r="B71" s="55"/>
      <c r="F71" s="36"/>
      <c r="G71" s="11">
        <v>2015</v>
      </c>
      <c r="H71" s="11">
        <v>2016</v>
      </c>
      <c r="I71" s="11">
        <v>2017</v>
      </c>
    </row>
    <row r="72" spans="2:9">
      <c r="B72" s="17" t="s">
        <v>27</v>
      </c>
      <c r="G72" s="12"/>
      <c r="H72" s="12"/>
      <c r="I72" s="56"/>
    </row>
    <row r="73" spans="2:9" s="24" customFormat="1">
      <c r="C73" s="24" t="s">
        <v>48</v>
      </c>
      <c r="F73" s="57"/>
      <c r="G73" s="43">
        <v>26.331999999999802</v>
      </c>
      <c r="H73" s="43">
        <v>45.319999999999943</v>
      </c>
      <c r="I73" s="43">
        <v>46.905000000000122</v>
      </c>
    </row>
    <row r="74" spans="2:9">
      <c r="C74" s="1" t="s">
        <v>28</v>
      </c>
      <c r="F74" s="39"/>
      <c r="G74" s="43">
        <v>6.6689999999999996</v>
      </c>
      <c r="H74" s="43">
        <v>7.4119999999999999</v>
      </c>
      <c r="I74" s="43">
        <v>10.257</v>
      </c>
    </row>
    <row r="75" spans="2:9">
      <c r="C75" s="1" t="s">
        <v>29</v>
      </c>
      <c r="F75" s="39"/>
      <c r="G75" s="43">
        <v>272.613</v>
      </c>
      <c r="H75" s="43">
        <v>313.46300000000002</v>
      </c>
      <c r="I75" s="43">
        <v>310.47699999999998</v>
      </c>
    </row>
    <row r="76" spans="2:9">
      <c r="C76" s="1" t="s">
        <v>50</v>
      </c>
      <c r="F76" s="39"/>
      <c r="G76" s="43">
        <v>0</v>
      </c>
      <c r="H76" s="43">
        <v>0</v>
      </c>
      <c r="I76" s="43">
        <v>0</v>
      </c>
    </row>
    <row r="77" spans="2:9">
      <c r="C77" s="58" t="s">
        <v>30</v>
      </c>
      <c r="F77" s="39"/>
      <c r="G77" s="25">
        <v>59.481000000000002</v>
      </c>
      <c r="H77" s="25">
        <v>50.960999999999999</v>
      </c>
      <c r="I77" s="25">
        <v>10.632999999999999</v>
      </c>
    </row>
    <row r="78" spans="2:9">
      <c r="C78" s="20" t="s">
        <v>31</v>
      </c>
      <c r="F78" s="44"/>
      <c r="G78" s="51">
        <f>SUM(G73:G77)</f>
        <v>365.0949999999998</v>
      </c>
      <c r="H78" s="51">
        <f t="shared" ref="H78:I78" si="0">SUM(H73:H77)</f>
        <v>417.15599999999995</v>
      </c>
      <c r="I78" s="51">
        <f t="shared" si="0"/>
        <v>378.27200000000011</v>
      </c>
    </row>
    <row r="79" spans="2:9" ht="11.1" customHeight="1">
      <c r="F79" s="37"/>
      <c r="G79" s="59"/>
      <c r="H79" s="37"/>
      <c r="I79" s="37"/>
    </row>
    <row r="80" spans="2:9">
      <c r="C80" s="1" t="s">
        <v>32</v>
      </c>
      <c r="F80" s="39"/>
      <c r="G80" s="43">
        <v>199.60199999999998</v>
      </c>
      <c r="H80" s="43">
        <v>246.57099999999997</v>
      </c>
      <c r="I80" s="43">
        <v>318.8780000000001</v>
      </c>
    </row>
    <row r="81" spans="2:9">
      <c r="C81" s="1" t="s">
        <v>181</v>
      </c>
      <c r="F81" s="39"/>
      <c r="G81" s="43">
        <v>485.18799999999999</v>
      </c>
      <c r="H81" s="43">
        <v>485.18799999999999</v>
      </c>
      <c r="I81" s="43">
        <v>485.18799999999999</v>
      </c>
    </row>
    <row r="82" spans="2:9">
      <c r="C82" s="1" t="s">
        <v>182</v>
      </c>
      <c r="F82" s="39"/>
      <c r="G82" s="43">
        <v>89.384</v>
      </c>
      <c r="H82" s="43">
        <v>91.289000000000001</v>
      </c>
      <c r="I82" s="43">
        <v>93.01</v>
      </c>
    </row>
    <row r="83" spans="2:9" s="24" customFormat="1">
      <c r="C83" s="26" t="s">
        <v>30</v>
      </c>
      <c r="F83" s="57"/>
      <c r="G83" s="43">
        <v>0</v>
      </c>
      <c r="H83" s="43">
        <v>0</v>
      </c>
      <c r="I83" s="43">
        <v>0</v>
      </c>
    </row>
    <row r="84" spans="2:9">
      <c r="C84" s="27" t="s">
        <v>33</v>
      </c>
      <c r="F84" s="39"/>
      <c r="G84" s="60">
        <f>SUM(G80:G83)</f>
        <v>774.17399999999998</v>
      </c>
      <c r="H84" s="60">
        <f t="shared" ref="H84:I84" si="1">SUM(H80:H83)</f>
        <v>823.048</v>
      </c>
      <c r="I84" s="60">
        <f t="shared" si="1"/>
        <v>897.07600000000002</v>
      </c>
    </row>
    <row r="85" spans="2:9" ht="11.1" customHeight="1">
      <c r="C85" s="58"/>
      <c r="F85" s="37"/>
      <c r="G85" s="59"/>
      <c r="H85" s="37"/>
      <c r="I85" s="37"/>
    </row>
    <row r="86" spans="2:9" ht="13.25" thickBot="1">
      <c r="C86" s="17" t="s">
        <v>34</v>
      </c>
      <c r="F86" s="41"/>
      <c r="G86" s="154">
        <f>G78+G84</f>
        <v>1139.2689999999998</v>
      </c>
      <c r="H86" s="154">
        <f t="shared" ref="H86:I86" si="2">H78+H84</f>
        <v>1240.204</v>
      </c>
      <c r="I86" s="154">
        <f t="shared" si="2"/>
        <v>1275.3480000000002</v>
      </c>
    </row>
    <row r="87" spans="2:9" ht="13.25" thickTop="1">
      <c r="F87" s="37"/>
      <c r="G87" s="37"/>
      <c r="H87" s="37"/>
      <c r="I87" s="37"/>
    </row>
    <row r="88" spans="2:9">
      <c r="B88" s="20" t="s">
        <v>35</v>
      </c>
      <c r="F88" s="37"/>
      <c r="G88" s="37"/>
      <c r="H88" s="37"/>
      <c r="I88" s="37"/>
    </row>
    <row r="89" spans="2:9">
      <c r="C89" s="58" t="s">
        <v>36</v>
      </c>
      <c r="F89" s="39"/>
      <c r="G89" s="43">
        <v>10</v>
      </c>
      <c r="H89" s="43">
        <v>0</v>
      </c>
      <c r="I89" s="43">
        <v>0</v>
      </c>
    </row>
    <row r="90" spans="2:9">
      <c r="C90" s="58" t="s">
        <v>37</v>
      </c>
      <c r="F90" s="39"/>
      <c r="G90" s="61">
        <v>117.15900000000001</v>
      </c>
      <c r="H90" s="61">
        <v>110.78100000000001</v>
      </c>
      <c r="I90" s="61">
        <v>132.32400000000001</v>
      </c>
    </row>
    <row r="91" spans="2:9">
      <c r="C91" s="58" t="s">
        <v>30</v>
      </c>
      <c r="F91" s="39"/>
      <c r="G91" s="25">
        <v>23.596</v>
      </c>
      <c r="H91" s="25">
        <v>38.209000000000003</v>
      </c>
      <c r="I91" s="25">
        <v>24.181999999999999</v>
      </c>
    </row>
    <row r="92" spans="2:9">
      <c r="C92" s="20" t="s">
        <v>38</v>
      </c>
      <c r="F92" s="44"/>
      <c r="G92" s="62">
        <f t="shared" ref="G92:I92" si="3">SUM(G89:G91)</f>
        <v>150.755</v>
      </c>
      <c r="H92" s="62">
        <f t="shared" si="3"/>
        <v>148.99</v>
      </c>
      <c r="I92" s="62">
        <f t="shared" si="3"/>
        <v>156.506</v>
      </c>
    </row>
    <row r="93" spans="2:9" ht="11.1" customHeight="1">
      <c r="F93" s="37"/>
      <c r="G93" s="59"/>
      <c r="H93" s="59"/>
      <c r="I93" s="59"/>
    </row>
    <row r="94" spans="2:9" ht="11.1" customHeight="1">
      <c r="C94" s="1" t="s">
        <v>183</v>
      </c>
      <c r="F94" s="37"/>
      <c r="G94" s="28">
        <v>100</v>
      </c>
      <c r="H94" s="28">
        <v>185.584</v>
      </c>
      <c r="I94" s="28">
        <v>183.22300000000001</v>
      </c>
    </row>
    <row r="95" spans="2:9">
      <c r="C95" s="1" t="s">
        <v>184</v>
      </c>
      <c r="F95" s="69"/>
      <c r="G95" s="28">
        <v>260.45999999999964</v>
      </c>
      <c r="H95" s="28">
        <v>422.82899999999995</v>
      </c>
      <c r="I95" s="28">
        <v>704.05500000000006</v>
      </c>
    </row>
    <row r="96" spans="2:9">
      <c r="C96" s="1" t="s">
        <v>10</v>
      </c>
      <c r="F96" s="69"/>
      <c r="G96" s="28">
        <v>93.040000000000063</v>
      </c>
      <c r="H96" s="28">
        <v>123.81100000000001</v>
      </c>
      <c r="I96" s="28">
        <v>110.15700000000017</v>
      </c>
    </row>
    <row r="97" spans="2:9">
      <c r="C97" s="1" t="s">
        <v>30</v>
      </c>
      <c r="G97" s="25">
        <v>41.360999999999997</v>
      </c>
      <c r="H97" s="25">
        <v>47.755000000000003</v>
      </c>
      <c r="I97" s="25">
        <v>54.551000000000002</v>
      </c>
    </row>
    <row r="98" spans="2:9">
      <c r="C98" s="27" t="s">
        <v>39</v>
      </c>
      <c r="F98" s="39"/>
      <c r="G98" s="51">
        <f>SUM(G94:G97)</f>
        <v>494.86099999999971</v>
      </c>
      <c r="H98" s="51">
        <f t="shared" ref="H98:I98" si="4">SUM(H94:H97)</f>
        <v>779.97900000000004</v>
      </c>
      <c r="I98" s="51">
        <f t="shared" si="4"/>
        <v>1051.9860000000001</v>
      </c>
    </row>
    <row r="99" spans="2:9" ht="11.1" customHeight="1">
      <c r="C99" s="20"/>
      <c r="F99" s="37"/>
      <c r="G99" s="59"/>
      <c r="H99" s="59"/>
      <c r="I99" s="59"/>
    </row>
    <row r="100" spans="2:9">
      <c r="C100" s="27" t="s">
        <v>40</v>
      </c>
      <c r="F100" s="41"/>
      <c r="G100" s="23">
        <f>G92+G98</f>
        <v>645.61599999999976</v>
      </c>
      <c r="H100" s="23">
        <f>H92+H98</f>
        <v>928.96900000000005</v>
      </c>
      <c r="I100" s="23">
        <f>I92+I98</f>
        <v>1208.4920000000002</v>
      </c>
    </row>
    <row r="101" spans="2:9" ht="11.1" customHeight="1">
      <c r="F101" s="37"/>
      <c r="G101" s="59"/>
      <c r="H101" s="63"/>
      <c r="I101" s="63"/>
    </row>
    <row r="102" spans="2:9" ht="11.1" customHeight="1">
      <c r="C102" s="1" t="s">
        <v>185</v>
      </c>
      <c r="F102" s="37"/>
      <c r="G102" s="43">
        <v>0</v>
      </c>
      <c r="H102" s="43">
        <v>0</v>
      </c>
      <c r="I102" s="43">
        <v>0</v>
      </c>
    </row>
    <row r="103" spans="2:9">
      <c r="C103" s="1" t="s">
        <v>41</v>
      </c>
      <c r="F103" s="44"/>
      <c r="G103" s="43">
        <v>308.48899999999998</v>
      </c>
      <c r="H103" s="43">
        <v>292.86399999999998</v>
      </c>
      <c r="I103" s="43">
        <v>280.17700000000002</v>
      </c>
    </row>
    <row r="104" spans="2:9" s="24" customFormat="1">
      <c r="C104" s="24" t="s">
        <v>42</v>
      </c>
      <c r="E104" s="64"/>
      <c r="F104" s="45"/>
      <c r="G104" s="43">
        <v>130.74100000000001</v>
      </c>
      <c r="H104" s="43">
        <v>-41.582999999999998</v>
      </c>
      <c r="I104" s="43">
        <v>-228.63800000000001</v>
      </c>
    </row>
    <row r="105" spans="2:9" s="24" customFormat="1">
      <c r="C105" s="24" t="s">
        <v>30</v>
      </c>
      <c r="E105" s="64"/>
      <c r="F105" s="45"/>
      <c r="G105" s="43">
        <v>54.423000000000002</v>
      </c>
      <c r="H105" s="43">
        <v>59.954000000000001</v>
      </c>
      <c r="I105" s="43">
        <v>15.317</v>
      </c>
    </row>
    <row r="106" spans="2:9">
      <c r="C106" s="20" t="s">
        <v>43</v>
      </c>
      <c r="F106" s="39"/>
      <c r="G106" s="53">
        <f>SUM(G102:G105)</f>
        <v>493.65300000000002</v>
      </c>
      <c r="H106" s="53">
        <f t="shared" ref="H106:I106" si="5">SUM(H102:H105)</f>
        <v>311.23499999999996</v>
      </c>
      <c r="I106" s="53">
        <f t="shared" si="5"/>
        <v>66.856000000000023</v>
      </c>
    </row>
    <row r="107" spans="2:9">
      <c r="F107" s="37"/>
      <c r="G107" s="59"/>
      <c r="H107" s="59"/>
      <c r="I107" s="59"/>
    </row>
    <row r="108" spans="2:9" ht="13.25" thickBot="1">
      <c r="B108" s="20" t="s">
        <v>44</v>
      </c>
      <c r="F108" s="41"/>
      <c r="G108" s="154">
        <f>G100+G106</f>
        <v>1139.2689999999998</v>
      </c>
      <c r="H108" s="154">
        <f t="shared" ref="H108:I108" si="6">H100+H106</f>
        <v>1240.204</v>
      </c>
      <c r="I108" s="154">
        <f t="shared" si="6"/>
        <v>1275.3480000000002</v>
      </c>
    </row>
    <row r="109" spans="2:9" ht="6.05" customHeight="1" thickTop="1">
      <c r="F109" s="65"/>
      <c r="G109" s="66"/>
      <c r="H109" s="66"/>
      <c r="I109" s="65"/>
    </row>
    <row r="110" spans="2:9" ht="6.05" customHeight="1">
      <c r="B110" s="67"/>
      <c r="C110" s="31"/>
      <c r="D110" s="31"/>
      <c r="E110" s="31"/>
      <c r="F110" s="31"/>
      <c r="G110" s="68"/>
      <c r="H110" s="68"/>
      <c r="I110" s="31"/>
    </row>
  </sheetData>
  <sheetProtection formatCells="0"/>
  <printOptions horizontalCentered="1"/>
  <pageMargins left="0.23622047244094491" right="0.23622047244094491" top="0.23622047244094491" bottom="0.51181102362204722" header="0.23622047244094491" footer="0.23622047244094491"/>
  <pageSetup fitToHeight="0" orientation="portrait" r:id="rId1"/>
  <headerFooter alignWithMargins="0"/>
  <rowBreaks count="2" manualBreakCount="2">
    <brk id="64" max="16383" man="1"/>
    <brk id="11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BEC2-D8A5-4B34-B7DA-085B58F572AA}">
  <sheetPr codeName="Sheet3">
    <pageSetUpPr fitToPage="1"/>
  </sheetPr>
  <dimension ref="A1:P84"/>
  <sheetViews>
    <sheetView showGridLines="0" zoomScaleNormal="100" workbookViewId="0">
      <pane ySplit="6" topLeftCell="A7" activePane="bottomLeft" state="frozen"/>
      <selection pane="bottomLeft"/>
    </sheetView>
  </sheetViews>
  <sheetFormatPr defaultRowHeight="12.7"/>
  <cols>
    <col min="1" max="3" width="2.88671875" customWidth="1"/>
    <col min="4" max="4" width="29.5546875" customWidth="1"/>
    <col min="6" max="6" width="9.109375" customWidth="1"/>
    <col min="7" max="8" width="3.5546875" customWidth="1"/>
  </cols>
  <sheetData>
    <row r="1" spans="1:16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5.55">
      <c r="A2" s="73"/>
      <c r="B2" s="74" t="str">
        <f>Cover!$C$7</f>
        <v>Veritas Dwellings</v>
      </c>
      <c r="C2" s="73"/>
      <c r="D2" s="73"/>
      <c r="E2" s="73"/>
      <c r="F2" s="73"/>
      <c r="G2" s="73"/>
      <c r="H2" s="73"/>
      <c r="I2" s="77" t="str">
        <f>"Financial Forecast: "&amp;L6&amp;" to "&amp;P6</f>
        <v>Financial Forecast: 2025 to 2029</v>
      </c>
      <c r="J2" s="77"/>
      <c r="K2" s="77"/>
      <c r="L2" s="77"/>
      <c r="M2" s="73"/>
      <c r="N2" s="73"/>
      <c r="O2" s="73"/>
      <c r="P2" s="73"/>
    </row>
    <row r="3" spans="1:16">
      <c r="A3" s="73"/>
      <c r="B3" s="73" t="s">
        <v>58</v>
      </c>
      <c r="C3" s="73"/>
      <c r="D3" s="73"/>
      <c r="E3" s="73"/>
      <c r="F3" s="73"/>
      <c r="G3" s="73"/>
      <c r="H3" s="73"/>
      <c r="I3" s="155" t="str">
        <f ca="1">IF(BSCheck=0,"BS Check: OK","BS Check: ERROR")</f>
        <v>BS Check: OK</v>
      </c>
      <c r="J3" s="156"/>
      <c r="K3" s="155" t="str">
        <f>ScenarioUSed</f>
        <v>Scenario: Base Case</v>
      </c>
      <c r="L3" s="156"/>
      <c r="M3" s="73"/>
      <c r="N3" s="73"/>
      <c r="O3" s="73"/>
      <c r="P3" s="73"/>
    </row>
    <row r="4" spans="1:16" ht="6.65" customHeight="1"/>
    <row r="5" spans="1:16">
      <c r="I5" s="72" t="s">
        <v>56</v>
      </c>
      <c r="J5" s="72" t="s">
        <v>56</v>
      </c>
      <c r="K5" s="72" t="s">
        <v>56</v>
      </c>
      <c r="L5" s="72" t="s">
        <v>57</v>
      </c>
      <c r="M5" s="72" t="s">
        <v>57</v>
      </c>
      <c r="N5" s="72" t="s">
        <v>57</v>
      </c>
      <c r="O5" s="72" t="s">
        <v>57</v>
      </c>
      <c r="P5" s="72" t="s">
        <v>57</v>
      </c>
    </row>
    <row r="6" spans="1:16">
      <c r="E6" t="s">
        <v>70</v>
      </c>
      <c r="F6" t="s">
        <v>172</v>
      </c>
      <c r="I6" s="75">
        <f>'Historicals FS'!G7</f>
        <v>2022</v>
      </c>
      <c r="J6" s="75">
        <f>'Historicals FS'!H7</f>
        <v>2023</v>
      </c>
      <c r="K6" s="75">
        <f>'Historicals FS'!I7</f>
        <v>2024</v>
      </c>
      <c r="L6" s="76">
        <f>K6+1</f>
        <v>2025</v>
      </c>
      <c r="M6" s="76">
        <f t="shared" ref="M6:P6" si="0">L6+1</f>
        <v>2026</v>
      </c>
      <c r="N6" s="76">
        <f t="shared" si="0"/>
        <v>2027</v>
      </c>
      <c r="O6" s="76">
        <f t="shared" si="0"/>
        <v>2028</v>
      </c>
      <c r="P6" s="76">
        <f t="shared" si="0"/>
        <v>2029</v>
      </c>
    </row>
    <row r="8" spans="1:16" ht="13.25" thickBot="1">
      <c r="B8" s="78" t="s">
        <v>173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10" spans="1:16">
      <c r="C10" s="80" t="s">
        <v>128</v>
      </c>
    </row>
    <row r="11" spans="1:16">
      <c r="D11" t="s">
        <v>49</v>
      </c>
      <c r="E11" s="91" t="s">
        <v>240</v>
      </c>
      <c r="I11">
        <v>1553.87</v>
      </c>
      <c r="J11">
        <v>1776.88</v>
      </c>
      <c r="K11">
        <v>1975.48</v>
      </c>
      <c r="L11">
        <v>2113.2845808219176</v>
      </c>
      <c r="M11">
        <v>2284.5449665753422</v>
      </c>
      <c r="N11">
        <v>2464.1790193512325</v>
      </c>
      <c r="O11">
        <v>2623.9273661007614</v>
      </c>
      <c r="P11">
        <v>2820.5087410225328</v>
      </c>
    </row>
    <row r="12" spans="1:16">
      <c r="D12" t="s">
        <v>170</v>
      </c>
      <c r="E12" s="91" t="s">
        <v>84</v>
      </c>
      <c r="J12" s="86">
        <v>0.14351908460810758</v>
      </c>
      <c r="K12" s="86">
        <v>0.11176894331637466</v>
      </c>
      <c r="L12" s="86">
        <v>6.9757517576445993E-2</v>
      </c>
      <c r="M12" s="86">
        <v>8.1039906933318084E-2</v>
      </c>
      <c r="N12" s="86">
        <v>7.8630123461816304E-2</v>
      </c>
      <c r="O12" s="86">
        <v>6.4828222907111543E-2</v>
      </c>
      <c r="P12" s="86">
        <v>7.4918756312183143E-2</v>
      </c>
    </row>
    <row r="13" spans="1:16">
      <c r="C13" s="80" t="s">
        <v>4</v>
      </c>
      <c r="E13" s="91"/>
    </row>
    <row r="14" spans="1:16">
      <c r="D14" t="s">
        <v>4</v>
      </c>
      <c r="E14" s="91" t="s">
        <v>240</v>
      </c>
      <c r="I14">
        <v>307.23999999999978</v>
      </c>
      <c r="J14">
        <v>408.31000000000017</v>
      </c>
      <c r="K14">
        <v>468.84000000000015</v>
      </c>
      <c r="L14">
        <v>490.46089178082161</v>
      </c>
      <c r="M14">
        <v>522.52322842465742</v>
      </c>
      <c r="N14">
        <v>553.0964864026023</v>
      </c>
      <c r="O14">
        <v>569.28493654100112</v>
      </c>
      <c r="P14">
        <v>595.92611203560591</v>
      </c>
    </row>
    <row r="15" spans="1:16">
      <c r="D15" t="s">
        <v>170</v>
      </c>
      <c r="E15" s="91" t="s">
        <v>84</v>
      </c>
      <c r="J15" s="86">
        <v>0.32896107277698361</v>
      </c>
      <c r="K15" s="86">
        <v>0.14824520584849732</v>
      </c>
      <c r="L15" s="86">
        <v>4.6115714915155426E-2</v>
      </c>
      <c r="M15" s="86">
        <v>6.5371851621890187E-2</v>
      </c>
      <c r="N15" s="86">
        <v>5.8510811222918235E-2</v>
      </c>
      <c r="O15" s="86">
        <v>2.9268763292441546E-2</v>
      </c>
      <c r="P15" s="86">
        <v>4.6797611854052734E-2</v>
      </c>
    </row>
    <row r="16" spans="1:16">
      <c r="D16" t="s">
        <v>117</v>
      </c>
      <c r="E16" s="91" t="s">
        <v>84</v>
      </c>
      <c r="I16" s="86">
        <v>0.19772567846731051</v>
      </c>
      <c r="J16" s="86">
        <v>0.22979041916167672</v>
      </c>
      <c r="K16" s="86">
        <v>0.23732966165185176</v>
      </c>
      <c r="L16" s="86">
        <v>0.23208464029490394</v>
      </c>
      <c r="M16" s="86">
        <v>0.22872092082649978</v>
      </c>
      <c r="N16" s="86">
        <v>0.22445466910444728</v>
      </c>
      <c r="O16" s="86">
        <v>0.21695910637457028</v>
      </c>
      <c r="P16" s="86">
        <v>0.21128319985973945</v>
      </c>
    </row>
    <row r="17" spans="2:16">
      <c r="C17" s="80" t="s">
        <v>156</v>
      </c>
      <c r="E17" s="91"/>
    </row>
    <row r="18" spans="2:16">
      <c r="D18" t="s">
        <v>156</v>
      </c>
      <c r="E18" s="91" t="s">
        <v>240</v>
      </c>
      <c r="I18">
        <v>196.9339999999998</v>
      </c>
      <c r="J18">
        <v>266.76800000000014</v>
      </c>
      <c r="K18">
        <v>297.0920000000001</v>
      </c>
      <c r="L18">
        <v>310.12970241095866</v>
      </c>
      <c r="M18">
        <v>328.87209132876706</v>
      </c>
      <c r="N18">
        <v>346.77190675376954</v>
      </c>
      <c r="O18">
        <v>354.38005284788079</v>
      </c>
      <c r="P18">
        <v>368.58605218421201</v>
      </c>
    </row>
    <row r="19" spans="2:16">
      <c r="D19" t="s">
        <v>170</v>
      </c>
      <c r="E19" s="91" t="s">
        <v>84</v>
      </c>
      <c r="J19" s="86">
        <v>0.3546061116922441</v>
      </c>
      <c r="K19" s="86">
        <v>0.11367180471420846</v>
      </c>
      <c r="L19" s="86">
        <v>4.388439409663869E-2</v>
      </c>
      <c r="M19" s="86">
        <v>6.0434033799743991E-2</v>
      </c>
      <c r="N19" s="86">
        <v>5.4427894299818869E-2</v>
      </c>
      <c r="O19" s="86">
        <v>2.1939914814130379E-2</v>
      </c>
      <c r="P19" s="86">
        <v>4.0086904503141341E-2</v>
      </c>
    </row>
    <row r="20" spans="2:16">
      <c r="D20" t="s">
        <v>118</v>
      </c>
      <c r="E20" s="91" t="s">
        <v>84</v>
      </c>
      <c r="I20" s="86">
        <v>0.12673775798490208</v>
      </c>
      <c r="J20" s="86">
        <v>0.15013281707262174</v>
      </c>
      <c r="K20" s="86">
        <v>0.15038977868669898</v>
      </c>
      <c r="L20" s="86">
        <v>0.14675245597558859</v>
      </c>
      <c r="M20" s="86">
        <v>0.14395518413531791</v>
      </c>
      <c r="N20" s="86">
        <v>0.14072512752951993</v>
      </c>
      <c r="O20" s="86">
        <v>0.13505711226088574</v>
      </c>
      <c r="P20" s="86">
        <v>0.13068069842272026</v>
      </c>
    </row>
    <row r="21" spans="2:16">
      <c r="C21" s="80" t="s">
        <v>122</v>
      </c>
      <c r="E21" s="91"/>
    </row>
    <row r="22" spans="2:16">
      <c r="D22" t="s">
        <v>119</v>
      </c>
      <c r="E22" s="91" t="s">
        <v>84</v>
      </c>
      <c r="I22" s="86">
        <v>0.398932043358391</v>
      </c>
      <c r="J22" s="86">
        <v>0.85712725111250399</v>
      </c>
      <c r="K22" s="86">
        <v>4.4437597223884167</v>
      </c>
      <c r="L22" s="86">
        <v>0.88205322071233372</v>
      </c>
      <c r="M22" s="86">
        <v>0.50753633316403779</v>
      </c>
      <c r="N22" s="86">
        <v>0.36299222887754379</v>
      </c>
      <c r="O22" s="86">
        <v>0.28005842684227916</v>
      </c>
      <c r="P22" s="86">
        <v>0.2327743559618862</v>
      </c>
    </row>
    <row r="23" spans="2:16">
      <c r="D23" t="s">
        <v>118</v>
      </c>
      <c r="E23" s="91" t="s">
        <v>84</v>
      </c>
      <c r="I23" s="86">
        <v>0.12673775798490208</v>
      </c>
      <c r="J23" s="86">
        <v>0.15013281707262174</v>
      </c>
      <c r="K23" s="86">
        <v>0.15038977868669898</v>
      </c>
      <c r="L23" s="86">
        <v>0.14675245597558859</v>
      </c>
      <c r="M23" s="86">
        <v>0.14395518413531791</v>
      </c>
      <c r="N23" s="86">
        <v>0.14072512752951993</v>
      </c>
      <c r="O23" s="86">
        <v>0.13505711226088574</v>
      </c>
      <c r="P23" s="86">
        <v>0.13068069842272026</v>
      </c>
    </row>
    <row r="24" spans="2:16">
      <c r="D24" t="s">
        <v>120</v>
      </c>
      <c r="E24" s="91" t="s">
        <v>171</v>
      </c>
      <c r="I24" s="127">
        <v>1.3639184424398454</v>
      </c>
      <c r="J24" s="127">
        <v>1.4327320344072427</v>
      </c>
      <c r="K24" s="127">
        <v>1.5489732998365935</v>
      </c>
      <c r="L24" s="127">
        <v>1.5284395789845284</v>
      </c>
      <c r="M24" s="127">
        <v>1.5611899505409395</v>
      </c>
      <c r="N24" s="127">
        <v>1.5198875082546441</v>
      </c>
      <c r="O24" s="127">
        <v>1.4493246469304584</v>
      </c>
      <c r="P24" s="127">
        <v>1.3715254209049506</v>
      </c>
    </row>
    <row r="25" spans="2:16">
      <c r="D25" t="s">
        <v>121</v>
      </c>
      <c r="E25" s="91" t="s">
        <v>171</v>
      </c>
      <c r="I25" s="127">
        <v>2.3078336402290671</v>
      </c>
      <c r="J25" s="127">
        <v>3.9847832024033289</v>
      </c>
      <c r="K25" s="127">
        <v>19.076044034940765</v>
      </c>
      <c r="L25" s="127">
        <v>3.9324312324991721</v>
      </c>
      <c r="M25" s="127">
        <v>2.2583127228584643</v>
      </c>
      <c r="N25" s="127">
        <v>1.697126563175783</v>
      </c>
      <c r="O25" s="127">
        <v>1.4307557751376645</v>
      </c>
      <c r="P25" s="127">
        <v>1.2987328487891021</v>
      </c>
    </row>
    <row r="27" spans="2:16" ht="13.25" thickBot="1">
      <c r="B27" s="78" t="s">
        <v>174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</row>
    <row r="29" spans="2:16">
      <c r="C29" s="80" t="s">
        <v>128</v>
      </c>
    </row>
    <row r="30" spans="2:16">
      <c r="D30" t="s">
        <v>49</v>
      </c>
      <c r="E30" s="91" t="s">
        <v>240</v>
      </c>
      <c r="I30">
        <v>1553.87</v>
      </c>
      <c r="J30">
        <v>1776.88</v>
      </c>
      <c r="K30">
        <v>1975.48</v>
      </c>
      <c r="L30">
        <v>2160.2361424657538</v>
      </c>
      <c r="M30">
        <v>2384.1036133698635</v>
      </c>
      <c r="N30">
        <v>2622.4241041183568</v>
      </c>
      <c r="O30">
        <v>2846.2607483328884</v>
      </c>
      <c r="P30">
        <v>3114.7327623309407</v>
      </c>
    </row>
    <row r="31" spans="2:16">
      <c r="D31" t="s">
        <v>170</v>
      </c>
      <c r="E31" s="91" t="s">
        <v>84</v>
      </c>
      <c r="J31" s="86">
        <v>0.14351908460810758</v>
      </c>
      <c r="K31" s="86">
        <v>0.11176894331637466</v>
      </c>
      <c r="L31" s="86">
        <v>9.352468385696322E-2</v>
      </c>
      <c r="M31" s="86">
        <v>0.10363101815738585</v>
      </c>
      <c r="N31" s="86">
        <v>9.9962304243830236E-2</v>
      </c>
      <c r="O31" s="86">
        <v>8.5354860742398619E-2</v>
      </c>
      <c r="P31" s="86">
        <v>9.4324462070209725E-2</v>
      </c>
    </row>
    <row r="32" spans="2:16">
      <c r="C32" s="80" t="s">
        <v>4</v>
      </c>
      <c r="E32" s="91"/>
    </row>
    <row r="33" spans="2:16">
      <c r="D33" t="s">
        <v>4</v>
      </c>
      <c r="E33" s="91" t="s">
        <v>240</v>
      </c>
      <c r="I33">
        <v>307.23999999999978</v>
      </c>
      <c r="J33">
        <v>408.31000000000017</v>
      </c>
      <c r="K33">
        <v>468.84000000000015</v>
      </c>
      <c r="L33">
        <v>536.12888328767144</v>
      </c>
      <c r="M33">
        <v>623.83670689315113</v>
      </c>
      <c r="N33">
        <v>717.70335017380876</v>
      </c>
      <c r="O33">
        <v>803.74724578486416</v>
      </c>
      <c r="P33">
        <v>910.43362570159252</v>
      </c>
    </row>
    <row r="34" spans="2:16">
      <c r="D34" t="s">
        <v>170</v>
      </c>
      <c r="E34" s="91" t="s">
        <v>84</v>
      </c>
      <c r="J34" s="86">
        <v>0.32896107277698361</v>
      </c>
      <c r="K34" s="86">
        <v>0.14824520584849732</v>
      </c>
      <c r="L34" s="86">
        <v>0.14352206144456803</v>
      </c>
      <c r="M34" s="86">
        <v>0.16359466229022046</v>
      </c>
      <c r="N34" s="86">
        <v>0.15046668822701204</v>
      </c>
      <c r="O34" s="86">
        <v>0.11988782773581574</v>
      </c>
      <c r="P34" s="86">
        <v>0.13273623079423236</v>
      </c>
    </row>
    <row r="35" spans="2:16">
      <c r="D35" t="s">
        <v>117</v>
      </c>
      <c r="E35" s="91" t="s">
        <v>84</v>
      </c>
      <c r="I35" s="86">
        <v>0.19772567846731051</v>
      </c>
      <c r="J35" s="86">
        <v>0.22979041916167672</v>
      </c>
      <c r="K35" s="86">
        <v>0.23732966165185176</v>
      </c>
      <c r="L35" s="86">
        <v>0.24818068393009987</v>
      </c>
      <c r="M35" s="86">
        <v>0.26166509852790143</v>
      </c>
      <c r="N35" s="86">
        <v>0.2736793598894624</v>
      </c>
      <c r="O35" s="86">
        <v>0.28238707442936667</v>
      </c>
      <c r="P35" s="86">
        <v>0.29229911365502209</v>
      </c>
    </row>
    <row r="36" spans="2:16">
      <c r="C36" s="80" t="s">
        <v>156</v>
      </c>
      <c r="E36" s="91"/>
    </row>
    <row r="37" spans="2:16">
      <c r="D37" t="s">
        <v>156</v>
      </c>
      <c r="E37" s="91" t="s">
        <v>240</v>
      </c>
      <c r="I37">
        <v>196.9339999999998</v>
      </c>
      <c r="J37">
        <v>266.76800000000014</v>
      </c>
      <c r="K37">
        <v>297.0920000000001</v>
      </c>
      <c r="L37">
        <v>341.18393663561653</v>
      </c>
      <c r="M37">
        <v>397.7652566873428</v>
      </c>
      <c r="N37">
        <v>458.70457411818995</v>
      </c>
      <c r="O37">
        <v>513.81442313370769</v>
      </c>
      <c r="P37">
        <v>582.45116147708291</v>
      </c>
    </row>
    <row r="38" spans="2:16">
      <c r="D38" t="s">
        <v>170</v>
      </c>
      <c r="E38" s="91" t="s">
        <v>84</v>
      </c>
      <c r="J38" s="86">
        <v>0.3546061116922441</v>
      </c>
      <c r="K38" s="86">
        <v>0.11367180471420846</v>
      </c>
      <c r="L38" s="86">
        <v>0.14841172645381362</v>
      </c>
      <c r="M38" s="86">
        <v>0.1658381710747272</v>
      </c>
      <c r="N38" s="86">
        <v>0.15320422386399524</v>
      </c>
      <c r="O38" s="86">
        <v>0.12014235768514081</v>
      </c>
      <c r="P38" s="86">
        <v>0.13358273970739476</v>
      </c>
    </row>
    <row r="39" spans="2:16">
      <c r="D39" t="s">
        <v>118</v>
      </c>
      <c r="E39" s="91" t="s">
        <v>84</v>
      </c>
      <c r="I39" s="86">
        <v>0.12673775798490208</v>
      </c>
      <c r="J39" s="86">
        <v>0.15013281707262174</v>
      </c>
      <c r="K39" s="86">
        <v>0.15038977868669898</v>
      </c>
      <c r="L39" s="86">
        <v>0.1579382595859079</v>
      </c>
      <c r="M39" s="86">
        <v>0.16684059134708193</v>
      </c>
      <c r="N39" s="86">
        <v>0.17491624386681867</v>
      </c>
      <c r="O39" s="86">
        <v>0.18052261144192747</v>
      </c>
      <c r="P39" s="86">
        <v>0.18699875909777888</v>
      </c>
    </row>
    <row r="40" spans="2:16">
      <c r="C40" s="80" t="s">
        <v>122</v>
      </c>
      <c r="E40" s="91"/>
    </row>
    <row r="41" spans="2:16">
      <c r="D41" t="s">
        <v>119</v>
      </c>
      <c r="E41" s="91" t="s">
        <v>84</v>
      </c>
      <c r="I41" s="86">
        <v>0.398932043358391</v>
      </c>
      <c r="J41" s="86">
        <v>0.85712725111250399</v>
      </c>
      <c r="K41" s="86">
        <v>4.4437597223884167</v>
      </c>
      <c r="L41" s="86">
        <v>0.90633588966183576</v>
      </c>
      <c r="M41" s="86">
        <v>0.54642936923158625</v>
      </c>
      <c r="N41" s="86">
        <v>0.40780300513073425</v>
      </c>
      <c r="O41" s="86">
        <v>0.32885584727254591</v>
      </c>
      <c r="P41" s="86">
        <v>0.28390211535243987</v>
      </c>
    </row>
    <row r="42" spans="2:16">
      <c r="D42" t="s">
        <v>118</v>
      </c>
      <c r="E42" s="91" t="s">
        <v>84</v>
      </c>
      <c r="I42" s="86">
        <v>0.12673775798490208</v>
      </c>
      <c r="J42" s="86">
        <v>0.15013281707262174</v>
      </c>
      <c r="K42" s="86">
        <v>0.15038977868669898</v>
      </c>
      <c r="L42" s="86">
        <v>0.1579382595859079</v>
      </c>
      <c r="M42" s="86">
        <v>0.16684059134708193</v>
      </c>
      <c r="N42" s="86">
        <v>0.17491624386681867</v>
      </c>
      <c r="O42" s="86">
        <v>0.18052261144192747</v>
      </c>
      <c r="P42" s="86">
        <v>0.18699875909777888</v>
      </c>
    </row>
    <row r="43" spans="2:16">
      <c r="D43" t="s">
        <v>120</v>
      </c>
      <c r="E43" s="91" t="s">
        <v>171</v>
      </c>
      <c r="I43" s="127">
        <v>1.3639184424398454</v>
      </c>
      <c r="J43" s="127">
        <v>1.4327320344072427</v>
      </c>
      <c r="K43" s="127">
        <v>1.5489732998365935</v>
      </c>
      <c r="L43" s="127">
        <v>1.5616992034859754</v>
      </c>
      <c r="M43" s="127">
        <v>1.5733392073482773</v>
      </c>
      <c r="N43" s="127">
        <v>1.4643548962357955</v>
      </c>
      <c r="O43" s="127">
        <v>1.3506839472854184</v>
      </c>
      <c r="P43" s="127">
        <v>1.2341249209777774</v>
      </c>
    </row>
    <row r="44" spans="2:16">
      <c r="D44" t="s">
        <v>121</v>
      </c>
      <c r="E44" s="91" t="s">
        <v>171</v>
      </c>
      <c r="I44" s="127">
        <v>2.3078336402290671</v>
      </c>
      <c r="J44" s="127">
        <v>3.9847832024033289</v>
      </c>
      <c r="K44" s="127">
        <v>19.076044034940765</v>
      </c>
      <c r="L44" s="127">
        <v>3.6745523673777831</v>
      </c>
      <c r="M44" s="127">
        <v>2.0816607218540804</v>
      </c>
      <c r="N44" s="127">
        <v>1.5921131718477304</v>
      </c>
      <c r="O44" s="127">
        <v>1.3487151084513238</v>
      </c>
      <c r="P44" s="127">
        <v>1.2301860038437626</v>
      </c>
    </row>
    <row r="47" spans="2:16" ht="13.25" thickBot="1">
      <c r="B47" s="78" t="s">
        <v>175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</row>
    <row r="49" spans="3:16">
      <c r="C49" s="80" t="s">
        <v>128</v>
      </c>
    </row>
    <row r="50" spans="3:16">
      <c r="D50" t="s">
        <v>49</v>
      </c>
      <c r="E50" s="91" t="s">
        <v>240</v>
      </c>
      <c r="I50">
        <v>1553.87</v>
      </c>
      <c r="J50">
        <v>1776.88</v>
      </c>
      <c r="K50">
        <v>1975.48</v>
      </c>
      <c r="L50">
        <v>2066.8413698630138</v>
      </c>
      <c r="M50">
        <v>2187.5114051506853</v>
      </c>
      <c r="N50">
        <v>2312.1815053019182</v>
      </c>
      <c r="O50">
        <v>2413.4506484007456</v>
      </c>
      <c r="P50">
        <v>2545.9086962477277</v>
      </c>
    </row>
    <row r="51" spans="3:16">
      <c r="D51" t="s">
        <v>170</v>
      </c>
      <c r="E51" s="91" t="s">
        <v>84</v>
      </c>
      <c r="J51" s="86">
        <v>0.14351908460810758</v>
      </c>
      <c r="K51" s="86">
        <v>0.11176894331637466</v>
      </c>
      <c r="L51" s="86">
        <v>4.6247681506780047E-2</v>
      </c>
      <c r="M51" s="86">
        <v>5.8383791348084468E-2</v>
      </c>
      <c r="N51" s="86">
        <v>5.6991748640800921E-2</v>
      </c>
      <c r="O51" s="86">
        <v>4.3798094079817496E-2</v>
      </c>
      <c r="P51" s="86">
        <v>5.4883263486143585E-2</v>
      </c>
    </row>
    <row r="52" spans="3:16">
      <c r="C52" s="80" t="s">
        <v>4</v>
      </c>
      <c r="E52" s="91"/>
    </row>
    <row r="53" spans="3:16">
      <c r="D53" t="s">
        <v>4</v>
      </c>
      <c r="E53" s="91" t="s">
        <v>240</v>
      </c>
      <c r="I53">
        <v>307.23999999999978</v>
      </c>
      <c r="J53">
        <v>408.31000000000017</v>
      </c>
      <c r="K53">
        <v>468.84000000000015</v>
      </c>
      <c r="L53">
        <v>433.28835095890418</v>
      </c>
      <c r="M53">
        <v>394.39246108219186</v>
      </c>
      <c r="N53">
        <v>345.16181633865745</v>
      </c>
      <c r="O53">
        <v>274.22678912560923</v>
      </c>
      <c r="P53">
        <v>201.54613552779392</v>
      </c>
    </row>
    <row r="54" spans="3:16">
      <c r="D54" t="s">
        <v>170</v>
      </c>
      <c r="E54" s="91" t="s">
        <v>84</v>
      </c>
      <c r="J54" s="86">
        <v>0.32896107277698361</v>
      </c>
      <c r="K54" s="86">
        <v>0.14824520584849732</v>
      </c>
      <c r="L54" s="86">
        <v>-7.5828958794249557E-2</v>
      </c>
      <c r="M54" s="86">
        <v>-8.9769064390105124E-2</v>
      </c>
      <c r="N54" s="86">
        <v>-0.12482653600539972</v>
      </c>
      <c r="O54" s="86">
        <v>-0.2055123824688937</v>
      </c>
      <c r="P54" s="86">
        <v>-0.26503848814174036</v>
      </c>
    </row>
    <row r="55" spans="3:16">
      <c r="D55" t="s">
        <v>117</v>
      </c>
      <c r="E55" s="91" t="s">
        <v>84</v>
      </c>
      <c r="I55" s="86">
        <v>0.19772567846731051</v>
      </c>
      <c r="J55" s="86">
        <v>0.22979041916167672</v>
      </c>
      <c r="K55" s="86">
        <v>0.23732966165185176</v>
      </c>
      <c r="L55" s="86">
        <v>0.20963793219777754</v>
      </c>
      <c r="M55" s="86">
        <v>0.18029275648737675</v>
      </c>
      <c r="N55" s="86">
        <v>0.14927972373586959</v>
      </c>
      <c r="O55" s="86">
        <v>0.11362436157844101</v>
      </c>
      <c r="P55" s="86">
        <v>7.9164714675291181E-2</v>
      </c>
    </row>
    <row r="56" spans="3:16">
      <c r="C56" s="80" t="s">
        <v>156</v>
      </c>
      <c r="E56" s="91"/>
    </row>
    <row r="57" spans="3:16">
      <c r="D57" t="s">
        <v>156</v>
      </c>
      <c r="E57" s="91" t="s">
        <v>240</v>
      </c>
      <c r="I57">
        <v>196.9339999999998</v>
      </c>
      <c r="J57">
        <v>266.76800000000014</v>
      </c>
      <c r="K57">
        <v>297.0920000000001</v>
      </c>
      <c r="L57">
        <v>271.25237465205481</v>
      </c>
      <c r="M57">
        <v>241.74316953589044</v>
      </c>
      <c r="N57">
        <v>205.37633111028703</v>
      </c>
      <c r="O57">
        <v>153.74051260541427</v>
      </c>
      <c r="P57">
        <v>100.40766815889984</v>
      </c>
    </row>
    <row r="58" spans="3:16">
      <c r="D58" t="s">
        <v>170</v>
      </c>
      <c r="E58" s="91" t="s">
        <v>84</v>
      </c>
      <c r="J58" s="86">
        <v>0.3546061116922441</v>
      </c>
      <c r="K58" s="86">
        <v>0.11367180471420846</v>
      </c>
      <c r="L58" s="86">
        <v>-8.6975163747072592E-2</v>
      </c>
      <c r="M58" s="86">
        <v>-0.10878874389216642</v>
      </c>
      <c r="N58" s="86">
        <v>-0.15043584683456468</v>
      </c>
      <c r="O58" s="86">
        <v>-0.25142049342163164</v>
      </c>
      <c r="P58" s="86">
        <v>-0.34690169521807757</v>
      </c>
    </row>
    <row r="59" spans="3:16">
      <c r="D59" t="s">
        <v>118</v>
      </c>
      <c r="E59" s="91" t="s">
        <v>84</v>
      </c>
      <c r="I59" s="86">
        <v>0.12673775798490208</v>
      </c>
      <c r="J59" s="86">
        <v>0.15013281707262174</v>
      </c>
      <c r="K59" s="86">
        <v>0.15038977868669898</v>
      </c>
      <c r="L59" s="86">
        <v>0.13124005480402828</v>
      </c>
      <c r="M59" s="86">
        <v>0.11051058703816821</v>
      </c>
      <c r="N59" s="86">
        <v>8.8823619875581336E-2</v>
      </c>
      <c r="O59" s="86">
        <v>6.3701535685964497E-2</v>
      </c>
      <c r="P59" s="86">
        <v>3.9438833099900671E-2</v>
      </c>
    </row>
    <row r="60" spans="3:16">
      <c r="C60" s="80" t="s">
        <v>122</v>
      </c>
      <c r="E60" s="91"/>
    </row>
    <row r="61" spans="3:16">
      <c r="D61" t="s">
        <v>119</v>
      </c>
      <c r="E61" s="91" t="s">
        <v>84</v>
      </c>
      <c r="I61" s="86">
        <v>0.398932043358391</v>
      </c>
      <c r="J61" s="86">
        <v>0.85712725111250399</v>
      </c>
      <c r="K61" s="86">
        <v>4.4437597223884167</v>
      </c>
      <c r="L61" s="86">
        <v>0.84634680878608137</v>
      </c>
      <c r="M61" s="86">
        <v>0.44180436352043495</v>
      </c>
      <c r="N61" s="86">
        <v>0.27701393530452512</v>
      </c>
      <c r="O61" s="86">
        <v>0.17255875000278306</v>
      </c>
      <c r="P61" s="86">
        <v>0.10096580258728236</v>
      </c>
    </row>
    <row r="62" spans="3:16">
      <c r="D62" t="s">
        <v>118</v>
      </c>
      <c r="E62" s="91" t="s">
        <v>84</v>
      </c>
      <c r="I62" s="86">
        <v>0.12673775798490208</v>
      </c>
      <c r="J62" s="86">
        <v>0.15013281707262174</v>
      </c>
      <c r="K62" s="86">
        <v>0.15038977868669898</v>
      </c>
      <c r="L62" s="86">
        <v>0.13124005480402828</v>
      </c>
      <c r="M62" s="86">
        <v>0.11051058703816821</v>
      </c>
      <c r="N62" s="86">
        <v>8.8823619875581336E-2</v>
      </c>
      <c r="O62" s="86">
        <v>6.3701535685964497E-2</v>
      </c>
      <c r="P62" s="86">
        <v>3.9438833099900671E-2</v>
      </c>
    </row>
    <row r="63" spans="3:16">
      <c r="D63" t="s">
        <v>120</v>
      </c>
      <c r="E63" s="91" t="s">
        <v>171</v>
      </c>
      <c r="I63" s="127">
        <v>1.3639184424398454</v>
      </c>
      <c r="J63" s="127">
        <v>1.4327320344072427</v>
      </c>
      <c r="K63" s="127">
        <v>1.5489732998365935</v>
      </c>
      <c r="L63" s="127">
        <v>1.4914325394251173</v>
      </c>
      <c r="M63" s="127">
        <v>1.4874230454085848</v>
      </c>
      <c r="N63" s="127">
        <v>1.4784549590756617</v>
      </c>
      <c r="O63" s="127">
        <v>1.4418939824948016</v>
      </c>
      <c r="P63" s="127">
        <v>1.4171590537905079</v>
      </c>
    </row>
    <row r="64" spans="3:16">
      <c r="D64" t="s">
        <v>121</v>
      </c>
      <c r="E64" s="91" t="s">
        <v>171</v>
      </c>
      <c r="I64" s="127">
        <v>2.3078336402290671</v>
      </c>
      <c r="J64" s="127">
        <v>3.9847832024033289</v>
      </c>
      <c r="K64" s="127">
        <v>19.076044034940765</v>
      </c>
      <c r="L64" s="127">
        <v>4.3239269063451928</v>
      </c>
      <c r="M64" s="127">
        <v>2.6877669480711162</v>
      </c>
      <c r="N64" s="127">
        <v>2.1094296707913873</v>
      </c>
      <c r="O64" s="127">
        <v>1.8786840772017441</v>
      </c>
      <c r="P64" s="127">
        <v>1.8064737261201511</v>
      </c>
    </row>
    <row r="66" spans="1:16">
      <c r="A66" s="128" t="s">
        <v>176</v>
      </c>
    </row>
    <row r="67" spans="1:16" ht="13.25" thickBot="1">
      <c r="B67" s="78" t="str">
        <f>"Analysis Based on : "&amp;INDEX(L_Scenarios,S_Scenarios)&amp;" Scenario"</f>
        <v>Analysis Based on : Base Case Scenario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</row>
    <row r="69" spans="1:16">
      <c r="C69" s="80" t="s">
        <v>128</v>
      </c>
    </row>
    <row r="70" spans="1:16">
      <c r="D70" t="str">
        <f>Model!D12</f>
        <v>Gross Revenue</v>
      </c>
      <c r="E70" s="91" t="s">
        <v>240</v>
      </c>
      <c r="I70">
        <f>Model!I12</f>
        <v>1553.87</v>
      </c>
      <c r="J70">
        <f>Model!J12</f>
        <v>1776.88</v>
      </c>
      <c r="K70">
        <f>Model!K12</f>
        <v>1975.48</v>
      </c>
      <c r="L70">
        <f>Model!L12</f>
        <v>2145.7711294117648</v>
      </c>
      <c r="M70">
        <f>Model!M12</f>
        <v>2400.740148784314</v>
      </c>
      <c r="N70">
        <f>Model!N12</f>
        <v>2688.7074915082358</v>
      </c>
      <c r="O70">
        <f>Model!O12</f>
        <v>3012.0125261533408</v>
      </c>
      <c r="P70">
        <f>Model!P12</f>
        <v>3393.949880167605</v>
      </c>
    </row>
    <row r="71" spans="1:16">
      <c r="D71" t="s">
        <v>170</v>
      </c>
      <c r="E71" s="91" t="s">
        <v>84</v>
      </c>
      <c r="J71" s="86">
        <f>J70/I70-1</f>
        <v>0.14351908460810758</v>
      </c>
      <c r="K71" s="86">
        <f t="shared" ref="K71:P71" si="1">K70/J70-1</f>
        <v>0.11176894331637466</v>
      </c>
      <c r="L71" s="86">
        <f t="shared" si="1"/>
        <v>8.6202406205967641E-2</v>
      </c>
      <c r="M71" s="86">
        <f t="shared" si="1"/>
        <v>0.118823958379217</v>
      </c>
      <c r="N71" s="86">
        <f t="shared" si="1"/>
        <v>0.11994940096692375</v>
      </c>
      <c r="O71" s="86">
        <f t="shared" si="1"/>
        <v>0.12024552156238699</v>
      </c>
      <c r="P71" s="86">
        <f t="shared" si="1"/>
        <v>0.1268047030674333</v>
      </c>
    </row>
    <row r="72" spans="1:16">
      <c r="C72" s="80" t="s">
        <v>4</v>
      </c>
      <c r="E72" s="91"/>
    </row>
    <row r="73" spans="1:16">
      <c r="D73" t="str">
        <f>Model!D19</f>
        <v>EBITDA</v>
      </c>
      <c r="E73" s="91" t="s">
        <v>240</v>
      </c>
      <c r="I73">
        <f>Model!I19</f>
        <v>307.23999999999978</v>
      </c>
      <c r="J73">
        <f>Model!J19</f>
        <v>408.31000000000017</v>
      </c>
      <c r="K73">
        <f>Model!K19</f>
        <v>468.84000000000015</v>
      </c>
      <c r="L73">
        <f>Model!L19</f>
        <v>546.39727941176488</v>
      </c>
      <c r="M73">
        <f>Model!M19</f>
        <v>677.4801367843138</v>
      </c>
      <c r="N73">
        <f>Model!N19</f>
        <v>827.87195469823564</v>
      </c>
      <c r="O73">
        <f>Model!O19</f>
        <v>999.22660835834085</v>
      </c>
      <c r="P73">
        <f>Model!P19</f>
        <v>1204.3751764206327</v>
      </c>
    </row>
    <row r="74" spans="1:16">
      <c r="D74" t="s">
        <v>170</v>
      </c>
      <c r="E74" s="91" t="s">
        <v>84</v>
      </c>
      <c r="J74" s="86">
        <f>J73/I73-1</f>
        <v>0.32896107277698361</v>
      </c>
      <c r="K74" s="86">
        <f t="shared" ref="K74" si="2">K73/J73-1</f>
        <v>0.14824520584849732</v>
      </c>
      <c r="L74" s="86">
        <f t="shared" ref="L74" si="3">L73/K73-1</f>
        <v>0.1654237680482995</v>
      </c>
      <c r="M74" s="86">
        <f t="shared" ref="M74" si="4">M73/L73-1</f>
        <v>0.23990393494211548</v>
      </c>
      <c r="N74" s="86">
        <f t="shared" ref="N74" si="5">N73/M73-1</f>
        <v>0.22198705135144259</v>
      </c>
      <c r="O74" s="86">
        <f t="shared" ref="O74" si="6">O73/N73-1</f>
        <v>0.20698207336008267</v>
      </c>
      <c r="P74" s="86">
        <f t="shared" ref="P74" si="7">P73/O73-1</f>
        <v>0.20530735105156617</v>
      </c>
    </row>
    <row r="75" spans="1:16">
      <c r="D75" t="str">
        <f>Model!D35</f>
        <v>EBITA Margin</v>
      </c>
      <c r="E75" s="91" t="s">
        <v>84</v>
      </c>
      <c r="I75" s="86">
        <f>Model!I35</f>
        <v>0.19772567846731051</v>
      </c>
      <c r="J75" s="86">
        <f>Model!J35</f>
        <v>0.22979041916167672</v>
      </c>
      <c r="K75" s="86">
        <f>Model!K35</f>
        <v>0.23732966165185176</v>
      </c>
      <c r="L75" s="86">
        <f>Model!L35</f>
        <v>0.25463912340061756</v>
      </c>
      <c r="M75" s="86">
        <f>Model!M35</f>
        <v>0.28219636228742873</v>
      </c>
      <c r="N75" s="86">
        <f>Model!N35</f>
        <v>0.30790703611787806</v>
      </c>
      <c r="O75" s="86">
        <f>Model!O35</f>
        <v>0.33174716229831192</v>
      </c>
      <c r="P75" s="86">
        <f>Model!P35</f>
        <v>0.35485944664602898</v>
      </c>
    </row>
    <row r="76" spans="1:16">
      <c r="C76" s="80" t="s">
        <v>156</v>
      </c>
      <c r="E76" s="91"/>
    </row>
    <row r="77" spans="1:16">
      <c r="D77" t="s">
        <v>156</v>
      </c>
      <c r="E77" s="91" t="s">
        <v>240</v>
      </c>
      <c r="I77">
        <f>Model!I31</f>
        <v>196.9339999999998</v>
      </c>
      <c r="J77">
        <f>Model!J31</f>
        <v>266.76800000000014</v>
      </c>
      <c r="K77">
        <f>Model!K31</f>
        <v>297.0920000000001</v>
      </c>
      <c r="L77">
        <f ca="1">Model!L31</f>
        <v>307.77059507636488</v>
      </c>
      <c r="M77">
        <f ca="1">Model!M31</f>
        <v>400.21576407366513</v>
      </c>
      <c r="N77">
        <f ca="1">Model!N31</f>
        <v>509.27227053774226</v>
      </c>
      <c r="O77">
        <f ca="1">Model!O31</f>
        <v>634.65528677165935</v>
      </c>
      <c r="P77">
        <f ca="1">Model!P31</f>
        <v>785.34671581815985</v>
      </c>
    </row>
    <row r="78" spans="1:16">
      <c r="D78" t="s">
        <v>170</v>
      </c>
      <c r="E78" s="91" t="s">
        <v>84</v>
      </c>
      <c r="J78" s="86">
        <f>J77/I77-1</f>
        <v>0.3546061116922441</v>
      </c>
      <c r="K78" s="86">
        <f t="shared" ref="K78" si="8">K77/J77-1</f>
        <v>0.11367180471420846</v>
      </c>
      <c r="L78" s="86">
        <f t="shared" ref="L78" ca="1" si="9">L77/K77-1</f>
        <v>3.5943731491809849E-2</v>
      </c>
      <c r="M78" s="86">
        <f t="shared" ref="M78" ca="1" si="10">M77/L77-1</f>
        <v>0.30037037480582729</v>
      </c>
      <c r="N78" s="86">
        <f t="shared" ref="N78" ca="1" si="11">N77/M77-1</f>
        <v>0.27249427997045061</v>
      </c>
      <c r="O78" s="86">
        <f t="shared" ref="O78" ca="1" si="12">O77/N77-1</f>
        <v>0.24620035978303845</v>
      </c>
      <c r="P78" s="86">
        <f t="shared" ref="P78" ca="1" si="13">P77/O77-1</f>
        <v>0.23743823172581124</v>
      </c>
    </row>
    <row r="79" spans="1:16">
      <c r="D79" t="str">
        <f>Model!D38</f>
        <v>Net Profit Margin</v>
      </c>
      <c r="E79" s="91" t="s">
        <v>84</v>
      </c>
      <c r="I79" s="86">
        <f>Model!I38</f>
        <v>0.12673775798490208</v>
      </c>
      <c r="J79" s="86">
        <f>Model!J38</f>
        <v>0.15013281707262174</v>
      </c>
      <c r="K79" s="86">
        <f>Model!K38</f>
        <v>0.15038977868669898</v>
      </c>
      <c r="L79" s="86">
        <f ca="1">Model!L38</f>
        <v>0.14343123125192581</v>
      </c>
      <c r="M79" s="86">
        <f ca="1">Model!M38</f>
        <v>0.16670515727257124</v>
      </c>
      <c r="N79" s="86">
        <f ca="1">Model!N38</f>
        <v>0.18941155635046972</v>
      </c>
      <c r="O79" s="86">
        <f ca="1">Model!O38</f>
        <v>0.21070805026902772</v>
      </c>
      <c r="P79" s="86">
        <f ca="1">Model!P38</f>
        <v>0.23139608525373295</v>
      </c>
    </row>
    <row r="80" spans="1:16">
      <c r="C80" s="80" t="s">
        <v>122</v>
      </c>
      <c r="E80" s="91"/>
    </row>
    <row r="81" spans="4:16">
      <c r="D81" t="str">
        <f>Model!D37</f>
        <v>ROE</v>
      </c>
      <c r="E81" s="91" t="s">
        <v>84</v>
      </c>
      <c r="I81" s="86">
        <f>Model!I37</f>
        <v>0.398932043358391</v>
      </c>
      <c r="J81" s="86">
        <f>Model!J37</f>
        <v>0.85712725111250399</v>
      </c>
      <c r="K81" s="86">
        <f>Model!K37</f>
        <v>4.4437597223884167</v>
      </c>
      <c r="L81" s="86">
        <f ca="1">Model!L37</f>
        <v>0.97616957247932201</v>
      </c>
      <c r="M81" s="86">
        <f ca="1">Model!M37</f>
        <v>0.6346126201373179</v>
      </c>
      <c r="N81" s="86">
        <f ca="1">Model!N37</f>
        <v>0.49665719164435118</v>
      </c>
      <c r="O81" s="86">
        <f ca="1">Model!O37</f>
        <v>0.41980346699569648</v>
      </c>
      <c r="P81" s="86">
        <f ca="1">Model!P37</f>
        <v>0.37241377409082077</v>
      </c>
    </row>
    <row r="82" spans="4:16">
      <c r="D82" t="str">
        <f>Model!D38</f>
        <v>Net Profit Margin</v>
      </c>
      <c r="E82" s="91" t="s">
        <v>84</v>
      </c>
      <c r="I82" s="86">
        <f>Model!I38</f>
        <v>0.12673775798490208</v>
      </c>
      <c r="J82" s="86">
        <f>Model!J38</f>
        <v>0.15013281707262174</v>
      </c>
      <c r="K82" s="86">
        <f>Model!K38</f>
        <v>0.15038977868669898</v>
      </c>
      <c r="L82" s="86">
        <f ca="1">Model!L38</f>
        <v>0.14343123125192581</v>
      </c>
      <c r="M82" s="86">
        <f ca="1">Model!M38</f>
        <v>0.16670515727257124</v>
      </c>
      <c r="N82" s="86">
        <f ca="1">Model!N38</f>
        <v>0.18941155635046972</v>
      </c>
      <c r="O82" s="86">
        <f ca="1">Model!O38</f>
        <v>0.21070805026902772</v>
      </c>
      <c r="P82" s="86">
        <f ca="1">Model!P38</f>
        <v>0.23139608525373295</v>
      </c>
    </row>
    <row r="83" spans="4:16">
      <c r="D83" t="str">
        <f>Model!D39</f>
        <v>Asset Turnover</v>
      </c>
      <c r="E83" s="91" t="s">
        <v>171</v>
      </c>
      <c r="I83" s="127">
        <f>Model!I39</f>
        <v>1.3639184424398454</v>
      </c>
      <c r="J83" s="127">
        <f>Model!J39</f>
        <v>1.4327320344072427</v>
      </c>
      <c r="K83" s="127">
        <f>Model!K39</f>
        <v>1.5489732998365935</v>
      </c>
      <c r="L83" s="127">
        <f ca="1">Model!L39</f>
        <v>1.6138316178399055</v>
      </c>
      <c r="M83" s="127">
        <f ca="1">Model!M39</f>
        <v>1.7454158243809412</v>
      </c>
      <c r="N83" s="127">
        <f ca="1">Model!N39</f>
        <v>1.6739708464775691</v>
      </c>
      <c r="O83" s="127">
        <f ca="1">Model!O39</f>
        <v>1.5352802993662793</v>
      </c>
      <c r="P83" s="127">
        <f ca="1">Model!P39</f>
        <v>1.3069383352197337</v>
      </c>
    </row>
    <row r="84" spans="4:16">
      <c r="D84" t="str">
        <f>Model!D40</f>
        <v>Financial Leverage</v>
      </c>
      <c r="E84" s="91" t="s">
        <v>171</v>
      </c>
      <c r="I84" s="127">
        <f>Model!I40</f>
        <v>2.3078336402290671</v>
      </c>
      <c r="J84" s="127">
        <f>Model!J40</f>
        <v>3.9847832024033289</v>
      </c>
      <c r="K84" s="127">
        <f>Model!K40</f>
        <v>19.076044034940765</v>
      </c>
      <c r="L84" s="127">
        <f ca="1">Model!L40</f>
        <v>4.2171914765328467</v>
      </c>
      <c r="M84" s="127">
        <f ca="1">Model!M40</f>
        <v>2.1810255826779548</v>
      </c>
      <c r="N84" s="127">
        <f ca="1">Model!N40</f>
        <v>1.566398886556724</v>
      </c>
      <c r="O84" s="127">
        <f ca="1">Model!O40</f>
        <v>1.2977086973695275</v>
      </c>
      <c r="P84" s="127">
        <f ca="1">Model!P40</f>
        <v>1.2314438983328666</v>
      </c>
    </row>
  </sheetData>
  <mergeCells count="2">
    <mergeCell ref="I3:J3"/>
    <mergeCell ref="K3:L3"/>
  </mergeCells>
  <conditionalFormatting sqref="I3:J3">
    <cfRule type="expression" dxfId="3" priority="1">
      <formula>BSCheck&lt;&gt;0</formula>
    </cfRule>
  </conditionalFormatting>
  <pageMargins left="0.70866141732283505" right="0.70866141732283505" top="0.55118110236220497" bottom="0.55118110236220497" header="0.31496062992126" footer="0.31496062992126"/>
  <pageSetup scale="93" fitToHeight="0" orientation="landscape" r:id="rId1"/>
  <headerFooter>
    <oddFooter>&amp;LVeritas Dwellings
Printed on: &amp;D @ &amp;T&amp;CPage &amp;P of &amp;N&amp;RSheet Name: &amp;A
File Name: &amp;F</oddFooter>
  </headerFooter>
  <rowBreaks count="1" manualBreakCount="1">
    <brk id="45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13</xdr:col>
                    <xdr:colOff>599846</xdr:colOff>
                    <xdr:row>65</xdr:row>
                    <xdr:rowOff>117043</xdr:rowOff>
                  </from>
                  <to>
                    <xdr:col>16</xdr:col>
                    <xdr:colOff>7315</xdr:colOff>
                    <xdr:row>66</xdr:row>
                    <xdr:rowOff>138989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xr2:uid="{B85E3A5A-3A7B-49B5-8092-81B5C4FE22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Summary!I70:P70</xm:f>
              <xm:sqref>F70</xm:sqref>
            </x14:sparkline>
            <x14:sparkline>
              <xm:f>Summary!I71:P71</xm:f>
              <xm:sqref>F71</xm:sqref>
            </x14:sparkline>
            <x14:sparkline>
              <xm:f>Summary!I72:P72</xm:f>
              <xm:sqref>F72</xm:sqref>
            </x14:sparkline>
            <x14:sparkline>
              <xm:f>Summary!I73:P73</xm:f>
              <xm:sqref>F73</xm:sqref>
            </x14:sparkline>
            <x14:sparkline>
              <xm:f>Summary!I74:P74</xm:f>
              <xm:sqref>F74</xm:sqref>
            </x14:sparkline>
            <x14:sparkline>
              <xm:f>Summary!I75:P75</xm:f>
              <xm:sqref>F75</xm:sqref>
            </x14:sparkline>
            <x14:sparkline>
              <xm:f>Summary!I76:P76</xm:f>
              <xm:sqref>F76</xm:sqref>
            </x14:sparkline>
            <x14:sparkline>
              <xm:f>Summary!I77:P77</xm:f>
              <xm:sqref>F77</xm:sqref>
            </x14:sparkline>
            <x14:sparkline>
              <xm:f>Summary!I78:P78</xm:f>
              <xm:sqref>F78</xm:sqref>
            </x14:sparkline>
            <x14:sparkline>
              <xm:f>Summary!I79:P79</xm:f>
              <xm:sqref>F79</xm:sqref>
            </x14:sparkline>
            <x14:sparkline>
              <xm:f>Summary!I80:P80</xm:f>
              <xm:sqref>F80</xm:sqref>
            </x14:sparkline>
            <x14:sparkline>
              <xm:f>Summary!I81:P81</xm:f>
              <xm:sqref>F81</xm:sqref>
            </x14:sparkline>
            <x14:sparkline>
              <xm:f>Summary!I82:P82</xm:f>
              <xm:sqref>F82</xm:sqref>
            </x14:sparkline>
            <x14:sparkline>
              <xm:f>Summary!I83:P83</xm:f>
              <xm:sqref>F83</xm:sqref>
            </x14:sparkline>
            <x14:sparkline>
              <xm:f>Summary!I84:P84</xm:f>
              <xm:sqref>F84</xm:sqref>
            </x14:sparkline>
          </x14:sparklines>
        </x14:sparklineGroup>
        <x14:sparklineGroup displayEmptyCellsAs="gap" negative="1" xr2:uid="{815A88E7-4952-4004-BAF4-BAB9C18AA6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Summary!I11:P11</xm:f>
              <xm:sqref>F11</xm:sqref>
            </x14:sparkline>
            <x14:sparkline>
              <xm:f>Summary!I12:P12</xm:f>
              <xm:sqref>F12</xm:sqref>
            </x14:sparkline>
            <x14:sparkline>
              <xm:f>Summary!I13:P13</xm:f>
              <xm:sqref>F13</xm:sqref>
            </x14:sparkline>
            <x14:sparkline>
              <xm:f>Summary!I14:P14</xm:f>
              <xm:sqref>F14</xm:sqref>
            </x14:sparkline>
            <x14:sparkline>
              <xm:f>Summary!I15:P15</xm:f>
              <xm:sqref>F15</xm:sqref>
            </x14:sparkline>
            <x14:sparkline>
              <xm:f>Summary!I16:P16</xm:f>
              <xm:sqref>F16</xm:sqref>
            </x14:sparkline>
            <x14:sparkline>
              <xm:f>Summary!I17:P17</xm:f>
              <xm:sqref>F17</xm:sqref>
            </x14:sparkline>
            <x14:sparkline>
              <xm:f>Summary!I18:P18</xm:f>
              <xm:sqref>F18</xm:sqref>
            </x14:sparkline>
            <x14:sparkline>
              <xm:f>Summary!I19:P19</xm:f>
              <xm:sqref>F19</xm:sqref>
            </x14:sparkline>
            <x14:sparkline>
              <xm:f>Summary!I20:P20</xm:f>
              <xm:sqref>F20</xm:sqref>
            </x14:sparkline>
            <x14:sparkline>
              <xm:f>Summary!I21:P21</xm:f>
              <xm:sqref>F21</xm:sqref>
            </x14:sparkline>
            <x14:sparkline>
              <xm:f>Summary!I22:P22</xm:f>
              <xm:sqref>F22</xm:sqref>
            </x14:sparkline>
            <x14:sparkline>
              <xm:f>Summary!I23:P23</xm:f>
              <xm:sqref>F23</xm:sqref>
            </x14:sparkline>
            <x14:sparkline>
              <xm:f>Summary!I24:P24</xm:f>
              <xm:sqref>F24</xm:sqref>
            </x14:sparkline>
            <x14:sparkline>
              <xm:f>Summary!I25:P25</xm:f>
              <xm:sqref>F25</xm:sqref>
            </x14:sparkline>
          </x14:sparklines>
        </x14:sparklineGroup>
        <x14:sparklineGroup displayEmptyCellsAs="gap" negative="1" xr2:uid="{FAA1AB27-4FCD-4002-BF07-E8E13A9340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Summary!I30:P30</xm:f>
              <xm:sqref>F30</xm:sqref>
            </x14:sparkline>
            <x14:sparkline>
              <xm:f>Summary!I31:P31</xm:f>
              <xm:sqref>F31</xm:sqref>
            </x14:sparkline>
            <x14:sparkline>
              <xm:f>Summary!I32:P32</xm:f>
              <xm:sqref>F32</xm:sqref>
            </x14:sparkline>
            <x14:sparkline>
              <xm:f>Summary!I33:P33</xm:f>
              <xm:sqref>F33</xm:sqref>
            </x14:sparkline>
            <x14:sparkline>
              <xm:f>Summary!I34:P34</xm:f>
              <xm:sqref>F34</xm:sqref>
            </x14:sparkline>
            <x14:sparkline>
              <xm:f>Summary!I35:P35</xm:f>
              <xm:sqref>F35</xm:sqref>
            </x14:sparkline>
            <x14:sparkline>
              <xm:f>Summary!I36:P36</xm:f>
              <xm:sqref>F36</xm:sqref>
            </x14:sparkline>
            <x14:sparkline>
              <xm:f>Summary!I37:P37</xm:f>
              <xm:sqref>F37</xm:sqref>
            </x14:sparkline>
            <x14:sparkline>
              <xm:f>Summary!I38:P38</xm:f>
              <xm:sqref>F38</xm:sqref>
            </x14:sparkline>
            <x14:sparkline>
              <xm:f>Summary!I39:P39</xm:f>
              <xm:sqref>F39</xm:sqref>
            </x14:sparkline>
            <x14:sparkline>
              <xm:f>Summary!I40:P40</xm:f>
              <xm:sqref>F40</xm:sqref>
            </x14:sparkline>
            <x14:sparkline>
              <xm:f>Summary!I41:P41</xm:f>
              <xm:sqref>F41</xm:sqref>
            </x14:sparkline>
            <x14:sparkline>
              <xm:f>Summary!I42:P42</xm:f>
              <xm:sqref>F42</xm:sqref>
            </x14:sparkline>
            <x14:sparkline>
              <xm:f>Summary!I43:P43</xm:f>
              <xm:sqref>F43</xm:sqref>
            </x14:sparkline>
            <x14:sparkline>
              <xm:f>Summary!I44:P44</xm:f>
              <xm:sqref>F44</xm:sqref>
            </x14:sparkline>
          </x14:sparklines>
        </x14:sparklineGroup>
        <x14:sparklineGroup displayEmptyCellsAs="gap" negative="1" xr2:uid="{73125A04-D0BA-4F5E-8809-00B5A9745B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Summary!I50:P50</xm:f>
              <xm:sqref>F50</xm:sqref>
            </x14:sparkline>
            <x14:sparkline>
              <xm:f>Summary!I51:P51</xm:f>
              <xm:sqref>F51</xm:sqref>
            </x14:sparkline>
            <x14:sparkline>
              <xm:f>Summary!I52:P52</xm:f>
              <xm:sqref>F52</xm:sqref>
            </x14:sparkline>
            <x14:sparkline>
              <xm:f>Summary!I53:P53</xm:f>
              <xm:sqref>F53</xm:sqref>
            </x14:sparkline>
            <x14:sparkline>
              <xm:f>Summary!I54:P54</xm:f>
              <xm:sqref>F54</xm:sqref>
            </x14:sparkline>
            <x14:sparkline>
              <xm:f>Summary!I55:P55</xm:f>
              <xm:sqref>F55</xm:sqref>
            </x14:sparkline>
            <x14:sparkline>
              <xm:f>Summary!I56:P56</xm:f>
              <xm:sqref>F56</xm:sqref>
            </x14:sparkline>
            <x14:sparkline>
              <xm:f>Summary!I57:P57</xm:f>
              <xm:sqref>F57</xm:sqref>
            </x14:sparkline>
            <x14:sparkline>
              <xm:f>Summary!I58:P58</xm:f>
              <xm:sqref>F58</xm:sqref>
            </x14:sparkline>
            <x14:sparkline>
              <xm:f>Summary!I59:P59</xm:f>
              <xm:sqref>F59</xm:sqref>
            </x14:sparkline>
            <x14:sparkline>
              <xm:f>Summary!I60:P60</xm:f>
              <xm:sqref>F60</xm:sqref>
            </x14:sparkline>
            <x14:sparkline>
              <xm:f>Summary!I61:P61</xm:f>
              <xm:sqref>F61</xm:sqref>
            </x14:sparkline>
            <x14:sparkline>
              <xm:f>Summary!I62:P62</xm:f>
              <xm:sqref>F62</xm:sqref>
            </x14:sparkline>
            <x14:sparkline>
              <xm:f>Summary!I63:P63</xm:f>
              <xm:sqref>F63</xm:sqref>
            </x14:sparkline>
            <x14:sparkline>
              <xm:f>Summary!I64:P64</xm:f>
              <xm:sqref>F64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B4C5-4AD0-4D0E-84A2-311AB9E1B67F}">
  <sheetPr codeName="Sheet4">
    <pageSetUpPr fitToPage="1"/>
  </sheetPr>
  <dimension ref="A1:P139"/>
  <sheetViews>
    <sheetView showGridLines="0" zoomScaleNormal="100" workbookViewId="0">
      <pane ySplit="6" topLeftCell="A26" activePane="bottomLeft" state="frozen"/>
      <selection pane="bottomLeft"/>
    </sheetView>
  </sheetViews>
  <sheetFormatPr defaultRowHeight="12.7"/>
  <cols>
    <col min="1" max="3" width="2.88671875" customWidth="1"/>
    <col min="4" max="4" width="50.33203125" bestFit="1" customWidth="1"/>
    <col min="6" max="6" width="11.109375" bestFit="1" customWidth="1"/>
    <col min="7" max="8" width="3.5546875" customWidth="1"/>
    <col min="11" max="11" width="11.109375" bestFit="1" customWidth="1"/>
  </cols>
  <sheetData>
    <row r="1" spans="1:16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5.55">
      <c r="A2" s="73"/>
      <c r="B2" s="74" t="str">
        <f>Cover!$C$7</f>
        <v>Veritas Dwellings</v>
      </c>
      <c r="C2" s="73"/>
      <c r="D2" s="73"/>
      <c r="E2" s="73"/>
      <c r="F2" s="73"/>
      <c r="G2" s="73"/>
      <c r="H2" s="73"/>
      <c r="I2" s="77" t="str">
        <f>"Financial Forecast: "&amp;L6&amp;" to "&amp;P6</f>
        <v>Financial Forecast: 2025 to 2029</v>
      </c>
      <c r="J2" s="77"/>
      <c r="K2" s="77"/>
      <c r="L2" s="77"/>
      <c r="M2" s="73"/>
      <c r="N2" s="73"/>
      <c r="O2" s="73"/>
      <c r="P2" s="73"/>
    </row>
    <row r="3" spans="1:16">
      <c r="A3" s="73"/>
      <c r="B3" s="73" t="s">
        <v>59</v>
      </c>
      <c r="C3" s="73"/>
      <c r="D3" s="73"/>
      <c r="E3" s="73"/>
      <c r="F3" s="73"/>
      <c r="G3" s="73"/>
      <c r="H3" s="73"/>
      <c r="I3" s="155" t="str">
        <f ca="1">IF(BSCheck=0,"BS Check: OK","BS Check: ERROR")</f>
        <v>BS Check: OK</v>
      </c>
      <c r="J3" s="156"/>
      <c r="K3" s="155" t="str">
        <f>ScenarioUSed</f>
        <v>Scenario: Base Case</v>
      </c>
      <c r="L3" s="156"/>
      <c r="M3" s="73"/>
      <c r="N3" s="73"/>
      <c r="O3" s="73"/>
      <c r="P3" s="73"/>
    </row>
    <row r="4" spans="1:16" ht="6.65" customHeight="1"/>
    <row r="5" spans="1:16">
      <c r="I5" s="72" t="s">
        <v>56</v>
      </c>
      <c r="J5" s="72" t="s">
        <v>56</v>
      </c>
      <c r="K5" s="72" t="s">
        <v>56</v>
      </c>
      <c r="L5" s="72" t="s">
        <v>57</v>
      </c>
      <c r="M5" s="72" t="s">
        <v>57</v>
      </c>
      <c r="N5" s="72" t="s">
        <v>57</v>
      </c>
      <c r="O5" s="72" t="s">
        <v>57</v>
      </c>
      <c r="P5" s="72" t="s">
        <v>57</v>
      </c>
    </row>
    <row r="6" spans="1:16">
      <c r="E6" t="s">
        <v>70</v>
      </c>
      <c r="F6" t="s">
        <v>74</v>
      </c>
      <c r="I6" s="75">
        <f>'Historicals FS'!G7</f>
        <v>2022</v>
      </c>
      <c r="J6" s="75">
        <f>'Historicals FS'!H7</f>
        <v>2023</v>
      </c>
      <c r="K6" s="75">
        <f>'Historicals FS'!I7</f>
        <v>2024</v>
      </c>
      <c r="L6" s="76">
        <f>K6+1</f>
        <v>2025</v>
      </c>
      <c r="M6" s="76">
        <f t="shared" ref="M6:P6" si="0">L6+1</f>
        <v>2026</v>
      </c>
      <c r="N6" s="76">
        <f t="shared" si="0"/>
        <v>2027</v>
      </c>
      <c r="O6" s="76">
        <f t="shared" si="0"/>
        <v>2028</v>
      </c>
      <c r="P6" s="76">
        <f t="shared" si="0"/>
        <v>2029</v>
      </c>
    </row>
    <row r="9" spans="1:16" ht="13.25" thickBot="1">
      <c r="B9" s="78" t="s">
        <v>62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1" spans="1:16">
      <c r="D11" t="s">
        <v>63</v>
      </c>
      <c r="I11" s="79">
        <f>DATE(I6,12,31)-DATE(I6,1,1)+1</f>
        <v>365</v>
      </c>
      <c r="J11" s="79">
        <f t="shared" ref="J11:P11" si="1">DATE(J6,12,31)-DATE(J6,1,1)+1</f>
        <v>365</v>
      </c>
      <c r="K11" s="79">
        <f t="shared" si="1"/>
        <v>366</v>
      </c>
      <c r="L11" s="79">
        <f t="shared" si="1"/>
        <v>365</v>
      </c>
      <c r="M11" s="79">
        <f t="shared" si="1"/>
        <v>365</v>
      </c>
      <c r="N11" s="79">
        <f t="shared" si="1"/>
        <v>365</v>
      </c>
      <c r="O11" s="79">
        <f t="shared" si="1"/>
        <v>366</v>
      </c>
      <c r="P11" s="79">
        <f t="shared" si="1"/>
        <v>365</v>
      </c>
    </row>
    <row r="12" spans="1:16">
      <c r="D12" t="s">
        <v>186</v>
      </c>
      <c r="E12" s="91" t="s">
        <v>187</v>
      </c>
      <c r="F12" s="82">
        <v>1000000</v>
      </c>
    </row>
    <row r="14" spans="1:16">
      <c r="C14" s="80" t="s">
        <v>64</v>
      </c>
    </row>
    <row r="16" spans="1:16">
      <c r="D16" t="s">
        <v>65</v>
      </c>
      <c r="E16" s="91" t="s">
        <v>65</v>
      </c>
      <c r="F16">
        <v>1234.5</v>
      </c>
    </row>
    <row r="17" spans="2:16">
      <c r="D17" t="s">
        <v>66</v>
      </c>
      <c r="E17" s="91" t="s">
        <v>65</v>
      </c>
      <c r="F17" s="82"/>
    </row>
    <row r="18" spans="2:16">
      <c r="D18" t="s">
        <v>67</v>
      </c>
      <c r="E18" s="91" t="s">
        <v>67</v>
      </c>
      <c r="F18" s="86">
        <v>0.23</v>
      </c>
    </row>
    <row r="19" spans="2:16">
      <c r="D19" t="s">
        <v>68</v>
      </c>
      <c r="E19" s="91" t="s">
        <v>65</v>
      </c>
      <c r="F19" s="127">
        <v>12.5</v>
      </c>
    </row>
    <row r="20" spans="2:16">
      <c r="D20" t="s">
        <v>69</v>
      </c>
      <c r="E20" s="91" t="s">
        <v>65</v>
      </c>
      <c r="F20" s="92"/>
    </row>
    <row r="21" spans="2:16">
      <c r="D21" t="s">
        <v>70</v>
      </c>
      <c r="E21" s="91" t="s">
        <v>81</v>
      </c>
      <c r="F21" s="91" t="s">
        <v>81</v>
      </c>
    </row>
    <row r="22" spans="2:16" ht="13.25" thickBot="1">
      <c r="D22" t="s">
        <v>71</v>
      </c>
      <c r="E22" s="91" t="s">
        <v>81</v>
      </c>
      <c r="F22" s="81" t="s">
        <v>82</v>
      </c>
    </row>
    <row r="23" spans="2:16" ht="13.85" thickTop="1" thickBot="1">
      <c r="D23" t="s">
        <v>72</v>
      </c>
      <c r="E23" s="91" t="s">
        <v>81</v>
      </c>
      <c r="F23" s="78" t="s">
        <v>81</v>
      </c>
    </row>
    <row r="24" spans="2:16">
      <c r="D24" t="s">
        <v>73</v>
      </c>
      <c r="E24" s="91" t="s">
        <v>81</v>
      </c>
      <c r="F24" s="80" t="s">
        <v>81</v>
      </c>
    </row>
    <row r="27" spans="2:16" ht="13.25" thickBot="1">
      <c r="B27" s="78" t="s">
        <v>83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</row>
    <row r="29" spans="2:16">
      <c r="C29" s="80" t="s">
        <v>213</v>
      </c>
    </row>
    <row r="30" spans="2:16">
      <c r="C30" s="71"/>
    </row>
    <row r="31" spans="2:16">
      <c r="D31" t="s">
        <v>188</v>
      </c>
      <c r="E31" s="91" t="s">
        <v>129</v>
      </c>
      <c r="K31" s="82">
        <v>510</v>
      </c>
    </row>
    <row r="32" spans="2:16">
      <c r="D32" t="s">
        <v>189</v>
      </c>
      <c r="E32" s="91" t="s">
        <v>190</v>
      </c>
      <c r="K32" s="82">
        <v>5205000</v>
      </c>
    </row>
    <row r="33" spans="2:16">
      <c r="D33" t="s">
        <v>191</v>
      </c>
      <c r="E33" s="91" t="s">
        <v>190</v>
      </c>
      <c r="K33">
        <f>K32/K31</f>
        <v>10205.882352941177</v>
      </c>
    </row>
    <row r="34" spans="2:16">
      <c r="D34" t="s">
        <v>192</v>
      </c>
      <c r="E34" s="91" t="s">
        <v>240</v>
      </c>
      <c r="K34" s="92">
        <f>'Historicals FS'!I9</f>
        <v>1975.48</v>
      </c>
    </row>
    <row r="35" spans="2:16">
      <c r="D35" t="s">
        <v>215</v>
      </c>
      <c r="E35" s="91" t="s">
        <v>240</v>
      </c>
      <c r="K35" s="82">
        <v>143</v>
      </c>
    </row>
    <row r="36" spans="2:16">
      <c r="D36" s="71" t="s">
        <v>194</v>
      </c>
      <c r="E36" s="123" t="s">
        <v>240</v>
      </c>
      <c r="F36" s="71"/>
      <c r="G36" s="71"/>
      <c r="H36" s="71"/>
      <c r="I36" s="71"/>
      <c r="J36" s="71"/>
      <c r="K36" s="71">
        <f>K34-K35</f>
        <v>1832.48</v>
      </c>
    </row>
    <row r="37" spans="2:16">
      <c r="D37" t="s">
        <v>195</v>
      </c>
      <c r="E37" s="91" t="s">
        <v>241</v>
      </c>
      <c r="K37">
        <f>K36*million/K32</f>
        <v>352.06147934678194</v>
      </c>
    </row>
    <row r="38" spans="2:16">
      <c r="E38" s="91"/>
    </row>
    <row r="39" spans="2:16">
      <c r="D39" t="s">
        <v>196</v>
      </c>
      <c r="E39" s="91" t="s">
        <v>84</v>
      </c>
      <c r="L39" s="99">
        <f>Scenarios!L26</f>
        <v>0.03</v>
      </c>
      <c r="M39" s="99">
        <f>Scenarios!M26</f>
        <v>0.03</v>
      </c>
      <c r="N39" s="99">
        <f>Scenarios!N26</f>
        <v>0.03</v>
      </c>
      <c r="O39" s="99">
        <f>Scenarios!O26</f>
        <v>0.03</v>
      </c>
      <c r="P39" s="99">
        <f>Scenarios!P26</f>
        <v>0.03</v>
      </c>
    </row>
    <row r="40" spans="2:16">
      <c r="E40" s="91"/>
    </row>
    <row r="41" spans="2:16">
      <c r="D41" t="s">
        <v>197</v>
      </c>
      <c r="E41" s="91" t="s">
        <v>129</v>
      </c>
      <c r="L41" s="92">
        <f>Scenarios!L19</f>
        <v>30</v>
      </c>
      <c r="M41" s="92">
        <f>Scenarios!M19</f>
        <v>50</v>
      </c>
      <c r="N41" s="92">
        <f>Scenarios!N19</f>
        <v>55</v>
      </c>
      <c r="O41" s="92">
        <f>Scenarios!O19</f>
        <v>60</v>
      </c>
      <c r="P41" s="92">
        <f>Scenarios!P19</f>
        <v>70</v>
      </c>
    </row>
    <row r="42" spans="2:16">
      <c r="E42" s="91"/>
    </row>
    <row r="44" spans="2:16" ht="13.25" thickBot="1">
      <c r="B44" s="78" t="s">
        <v>85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</row>
    <row r="46" spans="2:16">
      <c r="D46" t="s">
        <v>1</v>
      </c>
      <c r="E46" s="91" t="s">
        <v>240</v>
      </c>
      <c r="K46" s="92">
        <f>'Historicals FS'!I11</f>
        <v>1201.29</v>
      </c>
    </row>
    <row r="47" spans="2:16">
      <c r="D47" t="s">
        <v>133</v>
      </c>
      <c r="E47" s="91" t="s">
        <v>240</v>
      </c>
      <c r="K47" s="97">
        <v>0.75</v>
      </c>
    </row>
    <row r="48" spans="2:16">
      <c r="D48" t="s">
        <v>132</v>
      </c>
      <c r="E48" s="91" t="s">
        <v>240</v>
      </c>
      <c r="K48" s="86">
        <f>1-K47</f>
        <v>0.25</v>
      </c>
    </row>
    <row r="49" spans="2:16">
      <c r="D49" t="s">
        <v>198</v>
      </c>
      <c r="E49" s="91" t="s">
        <v>240</v>
      </c>
      <c r="K49" s="88">
        <f>K46*K47/K31</f>
        <v>1.7666029411764705</v>
      </c>
    </row>
    <row r="50" spans="2:16">
      <c r="D50" t="s">
        <v>132</v>
      </c>
      <c r="E50" s="91" t="s">
        <v>240</v>
      </c>
      <c r="K50">
        <f>K46*K48</f>
        <v>300.32249999999999</v>
      </c>
    </row>
    <row r="52" spans="2:16">
      <c r="D52" t="s">
        <v>86</v>
      </c>
      <c r="E52" s="91" t="s">
        <v>240</v>
      </c>
      <c r="L52" s="82">
        <v>320</v>
      </c>
    </row>
    <row r="54" spans="2:16">
      <c r="D54" t="s">
        <v>115</v>
      </c>
      <c r="E54" s="91" t="s">
        <v>84</v>
      </c>
      <c r="L54" s="93">
        <f>Scenarios!L33</f>
        <v>0.02</v>
      </c>
      <c r="M54" s="93">
        <f>Scenarios!M33</f>
        <v>0.02</v>
      </c>
      <c r="N54" s="93">
        <f>Scenarios!N33</f>
        <v>0.02</v>
      </c>
      <c r="O54" s="93">
        <f>Scenarios!O33</f>
        <v>0.02</v>
      </c>
      <c r="P54" s="93">
        <f>Scenarios!P33</f>
        <v>0.02</v>
      </c>
    </row>
    <row r="57" spans="2:16" ht="13.25" thickBot="1">
      <c r="B57" s="78" t="s">
        <v>87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</row>
    <row r="59" spans="2:16">
      <c r="C59" s="80" t="s">
        <v>92</v>
      </c>
    </row>
    <row r="60" spans="2:16">
      <c r="D60" t="s">
        <v>93</v>
      </c>
      <c r="E60" s="91" t="s">
        <v>240</v>
      </c>
      <c r="L60" s="82">
        <v>50</v>
      </c>
      <c r="M60" s="82">
        <v>40</v>
      </c>
      <c r="N60" s="82">
        <v>50</v>
      </c>
      <c r="O60" s="82">
        <v>60</v>
      </c>
      <c r="P60" s="82">
        <v>70</v>
      </c>
    </row>
    <row r="61" spans="2:16">
      <c r="D61" s="94" t="s">
        <v>89</v>
      </c>
      <c r="E61" s="95" t="s">
        <v>90</v>
      </c>
      <c r="F61" s="96"/>
    </row>
    <row r="63" spans="2:16">
      <c r="C63" s="80" t="s">
        <v>91</v>
      </c>
    </row>
    <row r="64" spans="2:16">
      <c r="D64" t="s">
        <v>95</v>
      </c>
      <c r="E64" s="91" t="s">
        <v>96</v>
      </c>
      <c r="F64" s="82">
        <v>11</v>
      </c>
    </row>
    <row r="65" spans="2:16">
      <c r="D65" t="s">
        <v>94</v>
      </c>
      <c r="E65" s="91" t="s">
        <v>96</v>
      </c>
      <c r="F65" s="82">
        <v>21</v>
      </c>
    </row>
    <row r="68" spans="2:16" ht="13.25" thickBot="1">
      <c r="B68" s="78" t="s">
        <v>97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</row>
    <row r="70" spans="2:16">
      <c r="D70" t="s">
        <v>63</v>
      </c>
      <c r="E70" s="91" t="s">
        <v>102</v>
      </c>
      <c r="I70" s="92">
        <f>I11</f>
        <v>365</v>
      </c>
      <c r="J70" s="92">
        <f>J11</f>
        <v>365</v>
      </c>
      <c r="K70" s="92">
        <f>K11</f>
        <v>366</v>
      </c>
    </row>
    <row r="72" spans="2:16">
      <c r="C72" s="80" t="s">
        <v>103</v>
      </c>
      <c r="E72" s="91"/>
    </row>
    <row r="73" spans="2:16">
      <c r="D73" t="s">
        <v>128</v>
      </c>
      <c r="E73" s="91" t="s">
        <v>240</v>
      </c>
      <c r="I73" s="92">
        <f>'Historicals FS'!G9</f>
        <v>1553.87</v>
      </c>
      <c r="J73" s="92">
        <f>'Historicals FS'!H9</f>
        <v>1776.88</v>
      </c>
      <c r="K73" s="92">
        <f>'Historicals FS'!I9</f>
        <v>1975.48</v>
      </c>
    </row>
    <row r="74" spans="2:16">
      <c r="D74" t="s">
        <v>1</v>
      </c>
      <c r="E74" s="91" t="s">
        <v>240</v>
      </c>
      <c r="I74" s="92">
        <f>'Historicals FS'!G11</f>
        <v>980.84</v>
      </c>
      <c r="J74" s="92">
        <f>'Historicals FS'!H11</f>
        <v>1078.03</v>
      </c>
      <c r="K74" s="92">
        <f>'Historicals FS'!I11</f>
        <v>1201.29</v>
      </c>
    </row>
    <row r="75" spans="2:16">
      <c r="E75" s="91"/>
    </row>
    <row r="76" spans="2:16">
      <c r="C76" s="80" t="s">
        <v>98</v>
      </c>
      <c r="E76" s="91"/>
    </row>
    <row r="77" spans="2:16">
      <c r="D77" t="str">
        <f>'Historicals FS'!C74</f>
        <v>Accounts Receivable</v>
      </c>
      <c r="E77" s="91" t="s">
        <v>240</v>
      </c>
      <c r="I77">
        <f>'Historicals FS'!G74</f>
        <v>6.6689999999999996</v>
      </c>
      <c r="J77">
        <f>'Historicals FS'!H74</f>
        <v>7.4119999999999999</v>
      </c>
      <c r="K77">
        <f>'Historicals FS'!I74</f>
        <v>10.257</v>
      </c>
    </row>
    <row r="78" spans="2:16">
      <c r="D78" t="str">
        <f>'Historicals FS'!C75</f>
        <v>Inventory</v>
      </c>
      <c r="E78" s="91" t="s">
        <v>240</v>
      </c>
      <c r="I78">
        <f>'Historicals FS'!G75</f>
        <v>272.613</v>
      </c>
      <c r="J78">
        <f>'Historicals FS'!H75</f>
        <v>313.46300000000002</v>
      </c>
      <c r="K78">
        <f>'Historicals FS'!I75</f>
        <v>310.47699999999998</v>
      </c>
    </row>
    <row r="79" spans="2:16">
      <c r="D79" t="str">
        <f>'Historicals FS'!C76</f>
        <v>Prepaid Expenses</v>
      </c>
      <c r="E79" s="91" t="s">
        <v>240</v>
      </c>
      <c r="I79">
        <f>'Historicals FS'!G76</f>
        <v>0</v>
      </c>
      <c r="J79">
        <f>'Historicals FS'!H76</f>
        <v>0</v>
      </c>
      <c r="K79">
        <f>'Historicals FS'!I76</f>
        <v>0</v>
      </c>
    </row>
    <row r="80" spans="2:16">
      <c r="D80" t="s">
        <v>100</v>
      </c>
      <c r="E80" s="91" t="s">
        <v>240</v>
      </c>
      <c r="I80">
        <f>'Historicals FS'!G77</f>
        <v>59.481000000000002</v>
      </c>
      <c r="J80">
        <f>'Historicals FS'!H77</f>
        <v>50.960999999999999</v>
      </c>
      <c r="K80">
        <f>'Historicals FS'!I77</f>
        <v>10.632999999999999</v>
      </c>
    </row>
    <row r="81" spans="2:16">
      <c r="D81" t="str">
        <f>'Historicals FS'!C90</f>
        <v>Accounts Payable</v>
      </c>
      <c r="E81" s="91" t="s">
        <v>240</v>
      </c>
      <c r="I81">
        <f>'Historicals FS'!G90</f>
        <v>117.15900000000001</v>
      </c>
      <c r="J81">
        <f>'Historicals FS'!H90</f>
        <v>110.78100000000001</v>
      </c>
      <c r="K81">
        <f>'Historicals FS'!I90</f>
        <v>132.32400000000001</v>
      </c>
    </row>
    <row r="82" spans="2:16">
      <c r="D82" t="s">
        <v>101</v>
      </c>
      <c r="E82" s="91" t="s">
        <v>240</v>
      </c>
      <c r="I82">
        <f>'Historicals FS'!G91</f>
        <v>23.596</v>
      </c>
      <c r="J82">
        <f>'Historicals FS'!H91</f>
        <v>38.209000000000003</v>
      </c>
      <c r="K82">
        <f>'Historicals FS'!I91</f>
        <v>24.181999999999999</v>
      </c>
    </row>
    <row r="84" spans="2:16">
      <c r="C84" s="80" t="s">
        <v>102</v>
      </c>
    </row>
    <row r="85" spans="2:16">
      <c r="D85" t="str">
        <f>D77</f>
        <v>Accounts Receivable</v>
      </c>
      <c r="E85" s="91" t="s">
        <v>102</v>
      </c>
      <c r="I85">
        <f>I77/I73*I$70</f>
        <v>1.5665306621532047</v>
      </c>
      <c r="J85">
        <f t="shared" ref="J85:K85" si="2">J77/J73*J$70</f>
        <v>1.5225451352933228</v>
      </c>
      <c r="K85">
        <f t="shared" si="2"/>
        <v>1.9003290339563041</v>
      </c>
      <c r="L85" s="82">
        <v>1.663</v>
      </c>
      <c r="M85" s="82">
        <v>1.663</v>
      </c>
      <c r="N85" s="82">
        <v>1.663</v>
      </c>
      <c r="O85" s="82">
        <v>1.663</v>
      </c>
      <c r="P85" s="82">
        <v>1.663</v>
      </c>
    </row>
    <row r="86" spans="2:16">
      <c r="D86" t="str">
        <f t="shared" ref="D86:D90" si="3">D78</f>
        <v>Inventory</v>
      </c>
      <c r="E86" s="91" t="s">
        <v>102</v>
      </c>
      <c r="I86">
        <f t="shared" ref="I86:K90" si="4">I78/I$74*I$70</f>
        <v>101.44747869173362</v>
      </c>
      <c r="J86">
        <f t="shared" si="4"/>
        <v>106.13247776035918</v>
      </c>
      <c r="K86">
        <f t="shared" si="4"/>
        <v>94.593796668581263</v>
      </c>
      <c r="L86" s="82">
        <v>100.735</v>
      </c>
      <c r="M86" s="82">
        <v>100.735</v>
      </c>
      <c r="N86" s="82">
        <v>100.735</v>
      </c>
      <c r="O86" s="82">
        <v>100.735</v>
      </c>
      <c r="P86" s="82">
        <v>100.735</v>
      </c>
    </row>
    <row r="87" spans="2:16">
      <c r="D87" t="str">
        <f t="shared" si="3"/>
        <v>Prepaid Expenses</v>
      </c>
      <c r="E87" s="91" t="s">
        <v>102</v>
      </c>
      <c r="I87">
        <f t="shared" si="4"/>
        <v>0</v>
      </c>
      <c r="J87">
        <f t="shared" si="4"/>
        <v>0</v>
      </c>
      <c r="K87">
        <f t="shared" si="4"/>
        <v>0</v>
      </c>
      <c r="L87" s="82">
        <v>0</v>
      </c>
      <c r="M87" s="82">
        <v>0</v>
      </c>
      <c r="N87" s="82">
        <v>0</v>
      </c>
      <c r="O87" s="82">
        <v>0</v>
      </c>
      <c r="P87" s="82">
        <v>0</v>
      </c>
    </row>
    <row r="88" spans="2:16">
      <c r="D88" t="str">
        <f t="shared" si="3"/>
        <v>Other Assets</v>
      </c>
      <c r="E88" s="91" t="s">
        <v>102</v>
      </c>
      <c r="I88">
        <f t="shared" si="4"/>
        <v>22.134665184943518</v>
      </c>
      <c r="J88">
        <f t="shared" si="4"/>
        <v>17.254403866311698</v>
      </c>
      <c r="K88">
        <f t="shared" si="4"/>
        <v>3.2395824488674672</v>
      </c>
      <c r="L88" s="82">
        <v>14.222</v>
      </c>
      <c r="M88" s="82">
        <v>14.222</v>
      </c>
      <c r="N88" s="82">
        <v>14.222</v>
      </c>
      <c r="O88" s="82">
        <v>14.222</v>
      </c>
      <c r="P88" s="82">
        <v>14.222</v>
      </c>
    </row>
    <row r="89" spans="2:16">
      <c r="D89" t="str">
        <f t="shared" si="3"/>
        <v>Accounts Payable</v>
      </c>
      <c r="E89" s="91" t="s">
        <v>102</v>
      </c>
      <c r="I89">
        <f t="shared" si="4"/>
        <v>43.598379960034258</v>
      </c>
      <c r="J89">
        <f t="shared" si="4"/>
        <v>37.508292904650155</v>
      </c>
      <c r="K89">
        <f t="shared" si="4"/>
        <v>40.315480858077571</v>
      </c>
      <c r="L89" s="82">
        <v>40.472000000000001</v>
      </c>
      <c r="M89" s="82">
        <v>40.472000000000001</v>
      </c>
      <c r="N89" s="82">
        <v>40.472000000000001</v>
      </c>
      <c r="O89" s="82">
        <v>40.472000000000001</v>
      </c>
      <c r="P89" s="82">
        <v>40.472000000000001</v>
      </c>
    </row>
    <row r="90" spans="2:16">
      <c r="D90" t="str">
        <f t="shared" si="3"/>
        <v>Other Liabilities</v>
      </c>
      <c r="E90" s="91" t="s">
        <v>102</v>
      </c>
      <c r="I90">
        <f t="shared" si="4"/>
        <v>8.7807797398148519</v>
      </c>
      <c r="J90">
        <f t="shared" si="4"/>
        <v>12.93682457816573</v>
      </c>
      <c r="K90">
        <f t="shared" si="4"/>
        <v>7.367589840921009</v>
      </c>
      <c r="L90" s="82">
        <v>9.6999999999999993</v>
      </c>
      <c r="M90" s="82">
        <v>9.6999999999999993</v>
      </c>
      <c r="N90" s="82">
        <v>9.6999999999999993</v>
      </c>
      <c r="O90" s="82">
        <v>9.6999999999999993</v>
      </c>
      <c r="P90" s="82">
        <v>9.6999999999999993</v>
      </c>
    </row>
    <row r="93" spans="2:16" ht="13.25" thickBot="1">
      <c r="B93" s="78" t="s">
        <v>104</v>
      </c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</row>
    <row r="95" spans="2:16">
      <c r="D95" t="s">
        <v>105</v>
      </c>
      <c r="E95" s="91" t="s">
        <v>84</v>
      </c>
      <c r="F95" s="97">
        <v>0.35</v>
      </c>
    </row>
    <row r="97" spans="2:16">
      <c r="D97" t="s">
        <v>106</v>
      </c>
      <c r="E97" s="91" t="s">
        <v>240</v>
      </c>
      <c r="L97" s="82">
        <v>40</v>
      </c>
      <c r="M97" s="82">
        <v>40</v>
      </c>
      <c r="N97" s="82">
        <v>40</v>
      </c>
      <c r="O97" s="82">
        <v>40</v>
      </c>
      <c r="P97" s="82">
        <v>40</v>
      </c>
    </row>
    <row r="100" spans="2:16" ht="13.25" thickBot="1">
      <c r="B100" s="78" t="s">
        <v>107</v>
      </c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</row>
    <row r="102" spans="2:16">
      <c r="C102" s="80" t="s">
        <v>108</v>
      </c>
    </row>
    <row r="103" spans="2:16">
      <c r="D103" t="s">
        <v>109</v>
      </c>
      <c r="E103" s="91" t="s">
        <v>84</v>
      </c>
      <c r="F103" s="97">
        <v>0.06</v>
      </c>
      <c r="L103" s="93">
        <f>$F103</f>
        <v>0.06</v>
      </c>
      <c r="M103" s="93">
        <f t="shared" ref="M103:P105" si="5">$F103</f>
        <v>0.06</v>
      </c>
      <c r="N103" s="93">
        <f t="shared" si="5"/>
        <v>0.06</v>
      </c>
      <c r="O103" s="93">
        <f t="shared" si="5"/>
        <v>0.06</v>
      </c>
      <c r="P103" s="93">
        <f t="shared" si="5"/>
        <v>0.06</v>
      </c>
    </row>
    <row r="104" spans="2:16">
      <c r="D104" t="s">
        <v>202</v>
      </c>
      <c r="E104" s="91" t="s">
        <v>84</v>
      </c>
      <c r="F104" s="97">
        <v>5.7500000000000002E-2</v>
      </c>
      <c r="L104" s="93">
        <f t="shared" ref="L104:L105" si="6">$F104</f>
        <v>5.7500000000000002E-2</v>
      </c>
      <c r="M104" s="93">
        <f t="shared" si="5"/>
        <v>5.7500000000000002E-2</v>
      </c>
      <c r="N104" s="93">
        <f t="shared" si="5"/>
        <v>5.7500000000000002E-2</v>
      </c>
      <c r="O104" s="93">
        <f t="shared" si="5"/>
        <v>5.7500000000000002E-2</v>
      </c>
      <c r="P104" s="93">
        <f t="shared" si="5"/>
        <v>5.7500000000000002E-2</v>
      </c>
    </row>
    <row r="105" spans="2:16">
      <c r="D105" t="s">
        <v>110</v>
      </c>
      <c r="E105" s="91" t="s">
        <v>84</v>
      </c>
      <c r="F105" s="97">
        <v>5.7500000000000002E-2</v>
      </c>
      <c r="L105" s="93">
        <f t="shared" si="6"/>
        <v>5.7500000000000002E-2</v>
      </c>
      <c r="M105" s="93">
        <f t="shared" si="5"/>
        <v>5.7500000000000002E-2</v>
      </c>
      <c r="N105" s="93">
        <f t="shared" si="5"/>
        <v>5.7500000000000002E-2</v>
      </c>
      <c r="O105" s="93">
        <f t="shared" si="5"/>
        <v>5.7500000000000002E-2</v>
      </c>
      <c r="P105" s="93">
        <f t="shared" si="5"/>
        <v>5.7500000000000002E-2</v>
      </c>
    </row>
    <row r="107" spans="2:16">
      <c r="D107" t="s">
        <v>201</v>
      </c>
      <c r="E107" s="91" t="s">
        <v>84</v>
      </c>
      <c r="L107" s="97">
        <v>0.03</v>
      </c>
      <c r="M107" s="97">
        <v>3.5000000000000003E-2</v>
      </c>
      <c r="N107" s="97">
        <v>4.4999999999999998E-2</v>
      </c>
      <c r="O107" s="97">
        <v>0.04</v>
      </c>
      <c r="P107" s="97">
        <v>0.04</v>
      </c>
    </row>
    <row r="108" spans="2:16">
      <c r="D108" t="s">
        <v>221</v>
      </c>
      <c r="E108" s="91" t="s">
        <v>84</v>
      </c>
      <c r="L108" s="97">
        <v>2.5000000000000001E-2</v>
      </c>
      <c r="M108" s="97">
        <v>2.5000000000000001E-2</v>
      </c>
      <c r="N108" s="97">
        <v>2.5000000000000001E-2</v>
      </c>
      <c r="O108" s="97">
        <v>2.5000000000000001E-2</v>
      </c>
      <c r="P108" s="97">
        <v>2.5000000000000001E-2</v>
      </c>
    </row>
    <row r="110" spans="2:16">
      <c r="C110" s="80" t="s">
        <v>203</v>
      </c>
    </row>
    <row r="111" spans="2:16">
      <c r="D111" t="s">
        <v>199</v>
      </c>
      <c r="E111" s="91" t="s">
        <v>240</v>
      </c>
      <c r="L111" s="82">
        <v>180</v>
      </c>
      <c r="M111" s="82">
        <v>180</v>
      </c>
      <c r="N111" s="82">
        <v>180</v>
      </c>
      <c r="O111" s="82">
        <v>180</v>
      </c>
      <c r="P111" s="82">
        <v>180</v>
      </c>
    </row>
    <row r="112" spans="2:16">
      <c r="D112" t="s">
        <v>200</v>
      </c>
      <c r="E112" s="91" t="s">
        <v>240</v>
      </c>
      <c r="L112" s="82">
        <v>90</v>
      </c>
      <c r="M112" s="82">
        <v>90</v>
      </c>
      <c r="N112" s="82">
        <v>90</v>
      </c>
      <c r="O112" s="82">
        <v>90</v>
      </c>
      <c r="P112" s="82">
        <v>90</v>
      </c>
    </row>
    <row r="114" spans="2:16">
      <c r="D114" s="91" t="s">
        <v>111</v>
      </c>
    </row>
    <row r="116" spans="2:16" ht="13.25" thickBot="1">
      <c r="B116" s="78" t="s">
        <v>112</v>
      </c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</row>
    <row r="118" spans="2:16">
      <c r="C118" s="71" t="s">
        <v>41</v>
      </c>
    </row>
    <row r="119" spans="2:16">
      <c r="D119" t="s">
        <v>204</v>
      </c>
      <c r="E119" s="91" t="s">
        <v>240</v>
      </c>
      <c r="L119" s="82">
        <v>-20</v>
      </c>
      <c r="M119" s="82">
        <v>-20</v>
      </c>
      <c r="N119" s="82">
        <v>-20</v>
      </c>
      <c r="O119" s="82">
        <v>-20</v>
      </c>
      <c r="P119" s="82">
        <v>-20</v>
      </c>
    </row>
    <row r="121" spans="2:16">
      <c r="D121" t="s">
        <v>113</v>
      </c>
      <c r="E121" s="91" t="s">
        <v>241</v>
      </c>
      <c r="F121" s="98">
        <v>5</v>
      </c>
    </row>
    <row r="122" spans="2:16">
      <c r="D122" t="s">
        <v>214</v>
      </c>
      <c r="E122" s="91" t="s">
        <v>84</v>
      </c>
      <c r="F122" s="97">
        <v>0.25</v>
      </c>
      <c r="L122" s="93">
        <f>$F$122</f>
        <v>0.25</v>
      </c>
      <c r="M122" s="93">
        <f t="shared" ref="M122:P122" si="7">$F$122</f>
        <v>0.25</v>
      </c>
      <c r="N122" s="93">
        <f t="shared" si="7"/>
        <v>0.25</v>
      </c>
      <c r="O122" s="93">
        <f t="shared" si="7"/>
        <v>0.25</v>
      </c>
      <c r="P122" s="93">
        <f t="shared" si="7"/>
        <v>0.25</v>
      </c>
    </row>
    <row r="123" spans="2:16">
      <c r="C123" s="71"/>
      <c r="E123" s="91"/>
    </row>
    <row r="124" spans="2:16">
      <c r="C124" s="71" t="s">
        <v>41</v>
      </c>
    </row>
    <row r="125" spans="2:16">
      <c r="D125" t="s">
        <v>205</v>
      </c>
      <c r="E125" s="91" t="s">
        <v>240</v>
      </c>
      <c r="L125" s="82">
        <v>40</v>
      </c>
      <c r="M125" s="82">
        <v>40</v>
      </c>
      <c r="N125" s="82">
        <v>40</v>
      </c>
      <c r="O125" s="82">
        <v>40</v>
      </c>
      <c r="P125" s="82">
        <v>40</v>
      </c>
    </row>
    <row r="126" spans="2:16">
      <c r="D126" t="s">
        <v>214</v>
      </c>
      <c r="E126" s="91" t="s">
        <v>84</v>
      </c>
      <c r="F126" s="97">
        <v>0.08</v>
      </c>
      <c r="L126" s="93">
        <f>$F$126</f>
        <v>0.08</v>
      </c>
      <c r="M126" s="93">
        <f t="shared" ref="M126:P126" si="8">$F$126</f>
        <v>0.08</v>
      </c>
      <c r="N126" s="93">
        <f t="shared" si="8"/>
        <v>0.08</v>
      </c>
      <c r="O126" s="93">
        <f t="shared" si="8"/>
        <v>0.08</v>
      </c>
      <c r="P126" s="93">
        <f t="shared" si="8"/>
        <v>0.08</v>
      </c>
    </row>
    <row r="127" spans="2:16" ht="8.25" customHeight="1"/>
    <row r="128" spans="2:16" ht="13.25" thickBot="1">
      <c r="B128" s="78" t="s">
        <v>114</v>
      </c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</row>
    <row r="130" spans="4:16">
      <c r="D130" t="s">
        <v>115</v>
      </c>
      <c r="E130" s="91" t="s">
        <v>84</v>
      </c>
      <c r="L130" s="99">
        <f>Scenarios!L33</f>
        <v>0.02</v>
      </c>
      <c r="M130" s="99">
        <f>Scenarios!M33</f>
        <v>0.02</v>
      </c>
      <c r="N130" s="99">
        <f>Scenarios!N33</f>
        <v>0.02</v>
      </c>
      <c r="O130" s="99">
        <f>Scenarios!O33</f>
        <v>0.02</v>
      </c>
      <c r="P130" s="99">
        <f>Scenarios!P33</f>
        <v>0.02</v>
      </c>
    </row>
    <row r="132" spans="4:16">
      <c r="D132" t="s">
        <v>51</v>
      </c>
      <c r="E132" s="91" t="s">
        <v>240</v>
      </c>
      <c r="L132" s="82">
        <v>0</v>
      </c>
      <c r="M132" s="82">
        <v>0</v>
      </c>
      <c r="N132" s="82">
        <v>0</v>
      </c>
      <c r="O132" s="82">
        <v>0</v>
      </c>
      <c r="P132" s="82">
        <v>0</v>
      </c>
    </row>
    <row r="134" spans="4:16">
      <c r="D134" t="s">
        <v>236</v>
      </c>
      <c r="E134" s="91" t="s">
        <v>240</v>
      </c>
      <c r="L134" s="82">
        <v>0</v>
      </c>
      <c r="M134" s="82">
        <v>0</v>
      </c>
      <c r="N134" s="82">
        <v>0</v>
      </c>
      <c r="O134" s="82">
        <v>0</v>
      </c>
      <c r="P134" s="82">
        <v>0</v>
      </c>
    </row>
    <row r="135" spans="4:16">
      <c r="D135" t="s">
        <v>228</v>
      </c>
      <c r="E135" s="91" t="s">
        <v>240</v>
      </c>
      <c r="L135" s="82">
        <v>0</v>
      </c>
      <c r="M135" s="82">
        <v>0</v>
      </c>
      <c r="N135" s="82">
        <v>0</v>
      </c>
      <c r="O135" s="82">
        <v>0</v>
      </c>
      <c r="P135" s="82">
        <v>0</v>
      </c>
    </row>
    <row r="136" spans="4:16">
      <c r="D136" t="s">
        <v>232</v>
      </c>
      <c r="E136" s="91" t="s">
        <v>240</v>
      </c>
      <c r="L136" s="82">
        <v>0</v>
      </c>
      <c r="M136" s="82">
        <v>0</v>
      </c>
      <c r="N136" s="82">
        <v>0</v>
      </c>
      <c r="O136" s="82">
        <v>0</v>
      </c>
      <c r="P136" s="82">
        <v>0</v>
      </c>
    </row>
    <row r="137" spans="4:16">
      <c r="D137" t="s">
        <v>231</v>
      </c>
      <c r="E137" s="91" t="s">
        <v>240</v>
      </c>
      <c r="L137" s="82">
        <v>0</v>
      </c>
      <c r="M137" s="82">
        <v>0</v>
      </c>
      <c r="N137" s="82">
        <v>0</v>
      </c>
      <c r="O137" s="82">
        <v>0</v>
      </c>
      <c r="P137" s="82">
        <v>0</v>
      </c>
    </row>
    <row r="138" spans="4:16">
      <c r="D138" t="s">
        <v>229</v>
      </c>
      <c r="E138" s="91" t="s">
        <v>240</v>
      </c>
      <c r="L138" s="82">
        <v>0</v>
      </c>
      <c r="M138" s="82">
        <v>0</v>
      </c>
      <c r="N138" s="82">
        <v>0</v>
      </c>
      <c r="O138" s="82">
        <v>0</v>
      </c>
      <c r="P138" s="82">
        <v>0</v>
      </c>
    </row>
    <row r="139" spans="4:16">
      <c r="D139" t="s">
        <v>230</v>
      </c>
      <c r="E139" s="91" t="s">
        <v>240</v>
      </c>
      <c r="L139" s="82">
        <v>0</v>
      </c>
      <c r="M139" s="82">
        <v>0</v>
      </c>
      <c r="N139" s="82">
        <v>0</v>
      </c>
      <c r="O139" s="82">
        <v>0</v>
      </c>
      <c r="P139" s="82">
        <v>0</v>
      </c>
    </row>
  </sheetData>
  <mergeCells count="2">
    <mergeCell ref="I3:J3"/>
    <mergeCell ref="K3:L3"/>
  </mergeCells>
  <conditionalFormatting sqref="I3:J3">
    <cfRule type="expression" dxfId="2" priority="1">
      <formula>BSCheck&lt;&gt;0</formula>
    </cfRule>
  </conditionalFormatting>
  <pageMargins left="0.70866141732283505" right="0.70866141732283505" top="0.55118110236220497" bottom="0.55118110236220497" header="0.31496062992126" footer="0.31496062992126"/>
  <pageSetup scale="78" fitToHeight="0" orientation="landscape" r:id="rId1"/>
  <headerFooter>
    <oddFooter>&amp;LVeritas Dwellings
Printed on: &amp;D @ &amp;T&amp;CPage &amp;P of &amp;N&amp;RSheet Name: &amp;A
File Name: &amp;F</oddFooter>
  </headerFooter>
  <rowBreaks count="4" manualBreakCount="4">
    <brk id="42" max="16383" man="1"/>
    <brk id="66" max="16383" man="1"/>
    <brk id="98" max="16383" man="1"/>
    <brk id="14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7C68-964C-460A-A3CF-DC07C8685F3E}">
  <sheetPr codeName="Sheet5">
    <pageSetUpPr fitToPage="1"/>
  </sheetPr>
  <dimension ref="A1:P36"/>
  <sheetViews>
    <sheetView showGridLines="0" zoomScaleNormal="100" workbookViewId="0">
      <pane ySplit="6" topLeftCell="A7" activePane="bottomLeft" state="frozen"/>
      <selection pane="bottomLeft"/>
    </sheetView>
  </sheetViews>
  <sheetFormatPr defaultRowHeight="12.7"/>
  <cols>
    <col min="1" max="3" width="2.88671875" customWidth="1"/>
    <col min="4" max="4" width="29.5546875" customWidth="1"/>
    <col min="6" max="6" width="9.109375" customWidth="1"/>
    <col min="7" max="7" width="3.5546875" customWidth="1"/>
    <col min="8" max="8" width="5.5546875" customWidth="1"/>
  </cols>
  <sheetData>
    <row r="1" spans="1:16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5.55">
      <c r="A2" s="73"/>
      <c r="B2" s="74" t="str">
        <f>Cover!$C$7</f>
        <v>Veritas Dwellings</v>
      </c>
      <c r="C2" s="73"/>
      <c r="D2" s="73"/>
      <c r="E2" s="73"/>
      <c r="F2" s="73"/>
      <c r="G2" s="73"/>
      <c r="H2" s="73"/>
      <c r="I2" s="77" t="str">
        <f>"Financial Forecast: "&amp;L6&amp;" to "&amp;P6</f>
        <v>Financial Forecast: 2025 to 2029</v>
      </c>
      <c r="J2" s="77"/>
      <c r="K2" s="77"/>
      <c r="L2" s="77"/>
      <c r="M2" s="73"/>
      <c r="N2" s="73"/>
      <c r="O2" s="73"/>
      <c r="P2" s="73"/>
    </row>
    <row r="3" spans="1:16">
      <c r="A3" s="73"/>
      <c r="B3" s="73" t="s">
        <v>60</v>
      </c>
      <c r="C3" s="73"/>
      <c r="D3" s="73"/>
      <c r="E3" s="73"/>
      <c r="F3" s="73"/>
      <c r="G3" s="73"/>
      <c r="H3" s="73"/>
      <c r="I3" s="155" t="str">
        <f ca="1">IF(BSCheck=0,"BS Check: OK","BS Check: ERROR")</f>
        <v>BS Check: OK</v>
      </c>
      <c r="J3" s="156"/>
      <c r="K3" s="155" t="str">
        <f>ScenarioUSed</f>
        <v>Scenario: Base Case</v>
      </c>
      <c r="L3" s="156"/>
      <c r="M3" s="73"/>
      <c r="N3" s="73"/>
      <c r="O3" s="73"/>
      <c r="P3" s="73"/>
    </row>
    <row r="4" spans="1:16" ht="6.65" customHeight="1"/>
    <row r="5" spans="1:16">
      <c r="I5" s="72" t="s">
        <v>56</v>
      </c>
      <c r="J5" s="72" t="s">
        <v>56</v>
      </c>
      <c r="K5" s="72" t="s">
        <v>56</v>
      </c>
      <c r="L5" s="72" t="s">
        <v>57</v>
      </c>
      <c r="M5" s="72" t="s">
        <v>57</v>
      </c>
      <c r="N5" s="72" t="s">
        <v>57</v>
      </c>
      <c r="O5" s="72" t="s">
        <v>57</v>
      </c>
      <c r="P5" s="72" t="s">
        <v>57</v>
      </c>
    </row>
    <row r="6" spans="1:16">
      <c r="E6" t="s">
        <v>70</v>
      </c>
      <c r="F6" t="s">
        <v>74</v>
      </c>
      <c r="I6" s="75">
        <f>'Historicals FS'!G7</f>
        <v>2022</v>
      </c>
      <c r="J6" s="75">
        <f>'Historicals FS'!H7</f>
        <v>2023</v>
      </c>
      <c r="K6" s="75">
        <f>'Historicals FS'!I7</f>
        <v>2024</v>
      </c>
      <c r="L6" s="76">
        <f>K6+1</f>
        <v>2025</v>
      </c>
      <c r="M6" s="76">
        <f t="shared" ref="M6:P6" si="0">L6+1</f>
        <v>2026</v>
      </c>
      <c r="N6" s="76">
        <f t="shared" si="0"/>
        <v>2027</v>
      </c>
      <c r="O6" s="76">
        <f t="shared" si="0"/>
        <v>2028</v>
      </c>
      <c r="P6" s="76">
        <f t="shared" si="0"/>
        <v>2029</v>
      </c>
    </row>
    <row r="9" spans="1:16" ht="13.25" thickBot="1">
      <c r="B9" s="78" t="s">
        <v>75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1" spans="1:16">
      <c r="D11" s="83" t="str">
        <f>"Scenario: "&amp;INDEX(L_Scenarios,S_Scenarios)</f>
        <v>Scenario: Base Case</v>
      </c>
      <c r="E11">
        <v>1</v>
      </c>
    </row>
    <row r="12" spans="1:16">
      <c r="D12" s="84" t="s">
        <v>76</v>
      </c>
    </row>
    <row r="13" spans="1:16">
      <c r="D13" s="84" t="s">
        <v>77</v>
      </c>
    </row>
    <row r="14" spans="1:16">
      <c r="D14" s="85" t="s">
        <v>78</v>
      </c>
    </row>
    <row r="17" spans="2:16" ht="13.25" thickBot="1">
      <c r="B17" s="78" t="s">
        <v>234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9" spans="2:16">
      <c r="D19" s="71" t="s">
        <v>79</v>
      </c>
      <c r="E19" s="91" t="s">
        <v>70</v>
      </c>
      <c r="F19" s="71"/>
      <c r="G19" s="71"/>
      <c r="H19" s="71"/>
      <c r="I19" s="71"/>
      <c r="J19" s="71"/>
      <c r="K19" s="71"/>
      <c r="L19" s="71">
        <f>INDEX(L20:L22,S_Scenarios)</f>
        <v>30</v>
      </c>
      <c r="M19" s="71">
        <f>INDEX(M20:M22,S_Scenarios)</f>
        <v>50</v>
      </c>
      <c r="N19" s="71">
        <f>INDEX(N20:N22,S_Scenarios)</f>
        <v>55</v>
      </c>
      <c r="O19" s="71">
        <f>INDEX(O20:O22,S_Scenarios)</f>
        <v>60</v>
      </c>
      <c r="P19" s="71">
        <f>INDEX(P20:P22,S_Scenarios)</f>
        <v>70</v>
      </c>
    </row>
    <row r="20" spans="2:16">
      <c r="D20" t="str">
        <f>D$12</f>
        <v>Base Case</v>
      </c>
      <c r="E20" s="91" t="s">
        <v>70</v>
      </c>
      <c r="L20" s="82">
        <v>30</v>
      </c>
      <c r="M20" s="82">
        <v>50</v>
      </c>
      <c r="N20" s="82">
        <v>55</v>
      </c>
      <c r="O20" s="82">
        <v>60</v>
      </c>
      <c r="P20" s="82">
        <v>70</v>
      </c>
    </row>
    <row r="21" spans="2:16">
      <c r="D21" t="str">
        <f>D$13</f>
        <v>Best Case</v>
      </c>
      <c r="E21" s="91" t="s">
        <v>70</v>
      </c>
      <c r="F21" s="87"/>
      <c r="H21" s="88"/>
      <c r="L21" s="82">
        <v>40</v>
      </c>
      <c r="M21" s="82">
        <v>60</v>
      </c>
      <c r="N21" s="82">
        <v>65</v>
      </c>
      <c r="O21" s="82">
        <v>70</v>
      </c>
      <c r="P21" s="82">
        <v>80</v>
      </c>
    </row>
    <row r="22" spans="2:16">
      <c r="D22" t="str">
        <f>D$14</f>
        <v>Worst Case</v>
      </c>
      <c r="E22" s="91" t="s">
        <v>70</v>
      </c>
      <c r="F22" s="87"/>
      <c r="L22" s="82">
        <v>20</v>
      </c>
      <c r="M22" s="82">
        <v>40</v>
      </c>
      <c r="N22" s="82">
        <v>45</v>
      </c>
      <c r="O22" s="82">
        <v>50</v>
      </c>
      <c r="P22" s="82">
        <v>60</v>
      </c>
    </row>
    <row r="24" spans="2:16" ht="13.25" thickBot="1">
      <c r="B24" s="78" t="s">
        <v>233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</row>
    <row r="26" spans="2:16">
      <c r="D26" s="71" t="s">
        <v>79</v>
      </c>
      <c r="E26" s="91" t="s">
        <v>84</v>
      </c>
      <c r="F26" s="71"/>
      <c r="G26" s="71"/>
      <c r="H26" s="71"/>
      <c r="I26" s="71"/>
      <c r="J26" s="71"/>
      <c r="K26" s="71"/>
      <c r="L26" s="90">
        <f>INDEX(L27:L29,S_Scenarios)</f>
        <v>0.03</v>
      </c>
      <c r="M26" s="90">
        <f>INDEX(M27:M29,S_Scenarios)</f>
        <v>0.03</v>
      </c>
      <c r="N26" s="90">
        <f>INDEX(N27:N29,S_Scenarios)</f>
        <v>0.03</v>
      </c>
      <c r="O26" s="90">
        <f>INDEX(O27:O29,S_Scenarios)</f>
        <v>0.03</v>
      </c>
      <c r="P26" s="90">
        <f>INDEX(P27:P29,S_Scenarios)</f>
        <v>0.03</v>
      </c>
    </row>
    <row r="27" spans="2:16">
      <c r="D27" t="s">
        <v>76</v>
      </c>
      <c r="E27" s="91" t="s">
        <v>84</v>
      </c>
      <c r="L27" s="89">
        <v>0.03</v>
      </c>
      <c r="M27" s="89">
        <v>0.03</v>
      </c>
      <c r="N27" s="89">
        <v>0.03</v>
      </c>
      <c r="O27" s="89">
        <v>0.03</v>
      </c>
      <c r="P27" s="89">
        <v>0.03</v>
      </c>
    </row>
    <row r="28" spans="2:16">
      <c r="D28" t="s">
        <v>77</v>
      </c>
      <c r="E28" s="91" t="s">
        <v>84</v>
      </c>
      <c r="L28" s="89">
        <v>0.04</v>
      </c>
      <c r="M28" s="89">
        <v>0.04</v>
      </c>
      <c r="N28" s="89">
        <v>0.04</v>
      </c>
      <c r="O28" s="89">
        <v>0.04</v>
      </c>
      <c r="P28" s="89">
        <v>0.04</v>
      </c>
    </row>
    <row r="29" spans="2:16">
      <c r="D29" t="s">
        <v>78</v>
      </c>
      <c r="E29" s="91" t="s">
        <v>84</v>
      </c>
      <c r="L29" s="89">
        <v>0.02</v>
      </c>
      <c r="M29" s="89">
        <v>0.02</v>
      </c>
      <c r="N29" s="89">
        <v>0.02</v>
      </c>
      <c r="O29" s="89">
        <v>0.02</v>
      </c>
      <c r="P29" s="89">
        <v>0.02</v>
      </c>
    </row>
    <row r="31" spans="2:16" ht="13.25" thickBot="1">
      <c r="B31" s="78" t="s">
        <v>80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</row>
    <row r="33" spans="4:16">
      <c r="D33" s="71" t="s">
        <v>79</v>
      </c>
      <c r="E33" s="91" t="s">
        <v>84</v>
      </c>
      <c r="F33" s="71"/>
      <c r="G33" s="71"/>
      <c r="H33" s="71"/>
      <c r="I33" s="71"/>
      <c r="J33" s="71"/>
      <c r="K33" s="71"/>
      <c r="L33" s="90">
        <f>INDEX(L34:L36,S_Scenarios)</f>
        <v>0.02</v>
      </c>
      <c r="M33" s="90">
        <f>INDEX(M34:M36,S_Scenarios)</f>
        <v>0.02</v>
      </c>
      <c r="N33" s="90">
        <f>INDEX(N34:N36,S_Scenarios)</f>
        <v>0.02</v>
      </c>
      <c r="O33" s="90">
        <f>INDEX(O34:O36,S_Scenarios)</f>
        <v>0.02</v>
      </c>
      <c r="P33" s="90">
        <f>INDEX(P34:P36,S_Scenarios)</f>
        <v>0.02</v>
      </c>
    </row>
    <row r="34" spans="4:16">
      <c r="D34" t="s">
        <v>76</v>
      </c>
      <c r="E34" s="91" t="s">
        <v>84</v>
      </c>
      <c r="L34" s="89">
        <v>0.02</v>
      </c>
      <c r="M34" s="89">
        <v>0.02</v>
      </c>
      <c r="N34" s="89">
        <v>0.02</v>
      </c>
      <c r="O34" s="89">
        <v>0.02</v>
      </c>
      <c r="P34" s="89">
        <v>0.02</v>
      </c>
    </row>
    <row r="35" spans="4:16">
      <c r="D35" t="s">
        <v>77</v>
      </c>
      <c r="E35" s="91" t="s">
        <v>84</v>
      </c>
      <c r="L35" s="89">
        <v>0.01</v>
      </c>
      <c r="M35" s="89">
        <v>0.01</v>
      </c>
      <c r="N35" s="89">
        <v>0.01</v>
      </c>
      <c r="O35" s="89">
        <v>0.01</v>
      </c>
      <c r="P35" s="89">
        <v>0.01</v>
      </c>
    </row>
    <row r="36" spans="4:16">
      <c r="D36" t="s">
        <v>78</v>
      </c>
      <c r="E36" s="91" t="s">
        <v>84</v>
      </c>
      <c r="L36" s="89">
        <v>0.03</v>
      </c>
      <c r="M36" s="89">
        <v>0.03</v>
      </c>
      <c r="N36" s="89">
        <v>0.03</v>
      </c>
      <c r="O36" s="89">
        <v>0.03</v>
      </c>
      <c r="P36" s="89">
        <v>0.03</v>
      </c>
    </row>
  </sheetData>
  <mergeCells count="2">
    <mergeCell ref="I3:J3"/>
    <mergeCell ref="K3:L3"/>
  </mergeCells>
  <conditionalFormatting sqref="I3:J3">
    <cfRule type="expression" dxfId="1" priority="1">
      <formula>BSCheck&lt;&gt;0</formula>
    </cfRule>
  </conditionalFormatting>
  <pageMargins left="0.70866141732283505" right="0.70866141732283505" top="0.55118110236220497" bottom="0.55118110236220497" header="0.31496062992126" footer="0.31496062992126"/>
  <pageSetup scale="92" fitToHeight="0" orientation="landscape" r:id="rId1"/>
  <headerFooter>
    <oddFooter>&amp;LVeritas Dwellings
Printed on: &amp;D @ &amp;T&amp;CPage &amp;P of &amp;N&amp;RSheet Name: &amp;A
File Name: 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3E8D-750A-4165-BA57-CE780161FB02}">
  <sheetPr codeName="Sheet6">
    <pageSetUpPr fitToPage="1"/>
  </sheetPr>
  <dimension ref="A1:S312"/>
  <sheetViews>
    <sheetView showGridLines="0" zoomScaleNormal="100" workbookViewId="0">
      <pane ySplit="6" topLeftCell="A7" activePane="bottomLeft" state="frozen"/>
      <selection pane="bottomLeft"/>
    </sheetView>
  </sheetViews>
  <sheetFormatPr defaultRowHeight="12.7"/>
  <cols>
    <col min="1" max="3" width="2.88671875" customWidth="1"/>
    <col min="4" max="4" width="45.6640625" bestFit="1" customWidth="1"/>
    <col min="6" max="6" width="11.88671875" customWidth="1"/>
    <col min="7" max="8" width="3.5546875" customWidth="1"/>
    <col min="11" max="16" width="11.109375" bestFit="1" customWidth="1"/>
    <col min="19" max="19" width="8.44140625" customWidth="1"/>
  </cols>
  <sheetData>
    <row r="1" spans="1:16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5.55">
      <c r="A2" s="73"/>
      <c r="B2" s="74" t="str">
        <f>Cover!$C$7</f>
        <v>Veritas Dwellings</v>
      </c>
      <c r="C2" s="73"/>
      <c r="D2" s="73"/>
      <c r="E2" s="73"/>
      <c r="F2" s="73"/>
      <c r="G2" s="73"/>
      <c r="H2" s="73"/>
      <c r="I2" s="77" t="str">
        <f>"Financial Forecast: "&amp;L6&amp;" to "&amp;P6</f>
        <v>Financial Forecast: 2025 to 2029</v>
      </c>
      <c r="J2" s="77"/>
      <c r="K2" s="77"/>
      <c r="L2" s="77"/>
      <c r="M2" s="73"/>
      <c r="N2" s="73"/>
      <c r="O2" s="73"/>
      <c r="P2" s="73"/>
    </row>
    <row r="3" spans="1:16">
      <c r="A3" s="73"/>
      <c r="B3" s="73" t="s">
        <v>61</v>
      </c>
      <c r="C3" s="73"/>
      <c r="D3" s="73"/>
      <c r="E3" s="73"/>
      <c r="F3" s="73"/>
      <c r="G3" s="73"/>
      <c r="H3" s="73"/>
      <c r="I3" s="155" t="str">
        <f ca="1">IF(BSCheck=0,"BS Check: OK","BS Check: ERROR")</f>
        <v>BS Check: OK</v>
      </c>
      <c r="J3" s="156"/>
      <c r="K3" s="155" t="str">
        <f>ScenarioUSed</f>
        <v>Scenario: Base Case</v>
      </c>
      <c r="L3" s="156"/>
      <c r="M3" s="73"/>
      <c r="N3" s="73"/>
      <c r="O3" s="73"/>
      <c r="P3" s="73"/>
    </row>
    <row r="4" spans="1:16" ht="6.65" customHeight="1"/>
    <row r="5" spans="1:16">
      <c r="I5" s="72" t="s">
        <v>56</v>
      </c>
      <c r="J5" s="72" t="s">
        <v>56</v>
      </c>
      <c r="K5" s="72" t="s">
        <v>56</v>
      </c>
      <c r="L5" s="72" t="s">
        <v>57</v>
      </c>
      <c r="M5" s="72" t="s">
        <v>57</v>
      </c>
      <c r="N5" s="72" t="s">
        <v>57</v>
      </c>
      <c r="O5" s="72" t="s">
        <v>57</v>
      </c>
      <c r="P5" s="72" t="s">
        <v>57</v>
      </c>
    </row>
    <row r="6" spans="1:16">
      <c r="E6" t="s">
        <v>70</v>
      </c>
      <c r="F6" t="s">
        <v>74</v>
      </c>
      <c r="I6" s="75">
        <f>'Historicals FS'!G7</f>
        <v>2022</v>
      </c>
      <c r="J6" s="75">
        <f>'Historicals FS'!H7</f>
        <v>2023</v>
      </c>
      <c r="K6" s="75">
        <f>'Historicals FS'!I7</f>
        <v>2024</v>
      </c>
      <c r="L6" s="76">
        <f>K6+1</f>
        <v>2025</v>
      </c>
      <c r="M6" s="76">
        <f t="shared" ref="M6:P6" si="0">L6+1</f>
        <v>2026</v>
      </c>
      <c r="N6" s="76">
        <f t="shared" si="0"/>
        <v>2027</v>
      </c>
      <c r="O6" s="76">
        <f t="shared" si="0"/>
        <v>2028</v>
      </c>
      <c r="P6" s="76">
        <f t="shared" si="0"/>
        <v>2029</v>
      </c>
    </row>
    <row r="8" spans="1:16" ht="13.25" thickBot="1">
      <c r="A8" s="81" t="s">
        <v>116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</row>
    <row r="9" spans="1:16" ht="13.25" thickTop="1"/>
    <row r="10" spans="1:16" ht="13.25" thickBot="1">
      <c r="B10" s="78" t="s">
        <v>0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2" spans="1:16">
      <c r="D12" t="str">
        <f>'Historicals FS'!C9</f>
        <v>Gross Revenue</v>
      </c>
      <c r="E12" s="91" t="s">
        <v>240</v>
      </c>
      <c r="I12" s="92">
        <f>'Historicals FS'!G9</f>
        <v>1553.87</v>
      </c>
      <c r="J12" s="92">
        <f>'Historicals FS'!H9</f>
        <v>1776.88</v>
      </c>
      <c r="K12" s="92">
        <f>'Historicals FS'!I9</f>
        <v>1975.48</v>
      </c>
      <c r="L12">
        <f>L146</f>
        <v>2145.7711294117648</v>
      </c>
      <c r="M12">
        <f t="shared" ref="M12:P12" si="1">M146</f>
        <v>2400.740148784314</v>
      </c>
      <c r="N12">
        <f t="shared" si="1"/>
        <v>2688.7074915082358</v>
      </c>
      <c r="O12">
        <f t="shared" si="1"/>
        <v>3012.0125261533408</v>
      </c>
      <c r="P12">
        <f t="shared" si="1"/>
        <v>3393.949880167605</v>
      </c>
    </row>
    <row r="13" spans="1:16">
      <c r="E13" s="110"/>
    </row>
    <row r="14" spans="1:16">
      <c r="D14" t="str">
        <f>'Historicals FS'!C11</f>
        <v>Cost of Sales</v>
      </c>
      <c r="E14" s="91" t="s">
        <v>240</v>
      </c>
      <c r="I14" s="92">
        <f>'Historicals FS'!G11</f>
        <v>980.84</v>
      </c>
      <c r="J14" s="92">
        <f>'Historicals FS'!H11</f>
        <v>1078.03</v>
      </c>
      <c r="K14" s="92">
        <f>'Historicals FS'!I11</f>
        <v>1201.29</v>
      </c>
      <c r="L14">
        <f>L163</f>
        <v>1279.3738499999999</v>
      </c>
      <c r="M14">
        <f t="shared" ref="M14:P14" si="2">M163</f>
        <v>1396.8600120000001</v>
      </c>
      <c r="N14">
        <f t="shared" si="2"/>
        <v>1527.9075368100002</v>
      </c>
      <c r="O14">
        <f t="shared" si="2"/>
        <v>1673.199357795</v>
      </c>
      <c r="P14">
        <f t="shared" si="2"/>
        <v>1843.1964125469722</v>
      </c>
    </row>
    <row r="15" spans="1:16">
      <c r="D15" t="str">
        <f>'Historicals FS'!C12</f>
        <v>SG&amp;A</v>
      </c>
      <c r="E15" s="91" t="s">
        <v>240</v>
      </c>
      <c r="I15" s="92">
        <f>'Historicals FS'!G12</f>
        <v>265.79000000000002</v>
      </c>
      <c r="J15" s="92">
        <f>'Historicals FS'!H12</f>
        <v>290.54000000000002</v>
      </c>
      <c r="K15" s="92">
        <f>'Historicals FS'!I12</f>
        <v>305.35000000000002</v>
      </c>
      <c r="L15">
        <f>L165</f>
        <v>320</v>
      </c>
      <c r="M15">
        <f t="shared" ref="M15:P15" si="3">M165</f>
        <v>326.39999999999998</v>
      </c>
      <c r="N15">
        <f t="shared" si="3"/>
        <v>332.928</v>
      </c>
      <c r="O15">
        <f t="shared" si="3"/>
        <v>339.58656000000002</v>
      </c>
      <c r="P15">
        <f t="shared" si="3"/>
        <v>346.37829120000004</v>
      </c>
    </row>
    <row r="16" spans="1:16" s="71" customFormat="1">
      <c r="D16" s="71" t="str">
        <f>'Historicals FS'!C13</f>
        <v>Total Costs</v>
      </c>
      <c r="E16" s="91" t="s">
        <v>240</v>
      </c>
      <c r="I16" s="101">
        <f t="shared" ref="I16:K16" si="4">SUM(I14:I15)</f>
        <v>1246.6300000000001</v>
      </c>
      <c r="J16" s="101">
        <f t="shared" si="4"/>
        <v>1368.57</v>
      </c>
      <c r="K16" s="101">
        <f t="shared" si="4"/>
        <v>1506.6399999999999</v>
      </c>
      <c r="L16" s="71">
        <f t="shared" ref="L16" si="5">SUM(L14:L15)</f>
        <v>1599.3738499999999</v>
      </c>
      <c r="M16" s="71">
        <f t="shared" ref="M16" si="6">SUM(M14:M15)</f>
        <v>1723.2600120000002</v>
      </c>
      <c r="N16" s="71">
        <f t="shared" ref="N16" si="7">SUM(N14:N15)</f>
        <v>1860.8355368100001</v>
      </c>
      <c r="O16" s="71">
        <f t="shared" ref="O16" si="8">SUM(O14:O15)</f>
        <v>2012.7859177949999</v>
      </c>
      <c r="P16" s="71">
        <f t="shared" ref="P16" si="9">SUM(P14:P15)</f>
        <v>2189.5747037469723</v>
      </c>
    </row>
    <row r="17" spans="4:16">
      <c r="E17" s="110"/>
    </row>
    <row r="18" spans="4:16">
      <c r="D18" t="str">
        <f>'Historicals FS'!C15</f>
        <v>Cost Adjustments - Gain/(Loss)</v>
      </c>
      <c r="E18" s="91" t="s">
        <v>240</v>
      </c>
      <c r="I18" s="92">
        <f>'Historicals FS'!G15</f>
        <v>0</v>
      </c>
      <c r="J18" s="92">
        <f>'Historicals FS'!H15</f>
        <v>0</v>
      </c>
      <c r="K18" s="92">
        <f>'Historicals FS'!I15</f>
        <v>0</v>
      </c>
      <c r="L18">
        <f>Assumptions!L132</f>
        <v>0</v>
      </c>
      <c r="M18">
        <f>Assumptions!M132</f>
        <v>0</v>
      </c>
      <c r="N18">
        <f>Assumptions!N132</f>
        <v>0</v>
      </c>
      <c r="O18">
        <f>Assumptions!O132</f>
        <v>0</v>
      </c>
      <c r="P18">
        <f>Assumptions!P132</f>
        <v>0</v>
      </c>
    </row>
    <row r="19" spans="4:16" s="71" customFormat="1">
      <c r="D19" s="71" t="str">
        <f>'Historicals FS'!C16</f>
        <v>EBITDA</v>
      </c>
      <c r="E19" s="91" t="s">
        <v>240</v>
      </c>
      <c r="I19" s="101">
        <f t="shared" ref="I19:P19" si="10">I12-I16+I18</f>
        <v>307.23999999999978</v>
      </c>
      <c r="J19" s="101">
        <f t="shared" si="10"/>
        <v>408.31000000000017</v>
      </c>
      <c r="K19" s="101">
        <f t="shared" si="10"/>
        <v>468.84000000000015</v>
      </c>
      <c r="L19" s="71">
        <f t="shared" si="10"/>
        <v>546.39727941176488</v>
      </c>
      <c r="M19" s="71">
        <f t="shared" si="10"/>
        <v>677.4801367843138</v>
      </c>
      <c r="N19" s="71">
        <f t="shared" si="10"/>
        <v>827.87195469823564</v>
      </c>
      <c r="O19" s="71">
        <f t="shared" si="10"/>
        <v>999.22660835834085</v>
      </c>
      <c r="P19" s="71">
        <f t="shared" si="10"/>
        <v>1204.3751764206327</v>
      </c>
    </row>
    <row r="20" spans="4:16">
      <c r="E20" s="110"/>
    </row>
    <row r="21" spans="4:16">
      <c r="D21" t="str">
        <f>'Historicals FS'!C18</f>
        <v>Depreciation</v>
      </c>
      <c r="E21" s="91" t="s">
        <v>240</v>
      </c>
      <c r="I21" s="92">
        <f>'Historicals FS'!G18</f>
        <v>25.539000000000001</v>
      </c>
      <c r="J21" s="92">
        <f>'Historicals FS'!H18</f>
        <v>32.057000000000002</v>
      </c>
      <c r="K21" s="92">
        <f>'Historicals FS'!I18</f>
        <v>38.499000000000002</v>
      </c>
      <c r="L21">
        <f>L187</f>
        <v>30.17938528138529</v>
      </c>
      <c r="M21">
        <f t="shared" ref="M21:P21" si="11">M187</f>
        <v>32.322242424242432</v>
      </c>
      <c r="N21">
        <f t="shared" si="11"/>
        <v>34.465099567099578</v>
      </c>
      <c r="O21">
        <f t="shared" si="11"/>
        <v>37.084147186147192</v>
      </c>
      <c r="P21">
        <f t="shared" si="11"/>
        <v>40.179385281385294</v>
      </c>
    </row>
    <row r="22" spans="4:16" s="71" customFormat="1">
      <c r="D22" s="71" t="str">
        <f>'Historicals FS'!C19</f>
        <v>EBIT</v>
      </c>
      <c r="E22" s="91" t="s">
        <v>240</v>
      </c>
      <c r="I22" s="101">
        <f>I19-I21</f>
        <v>281.70099999999979</v>
      </c>
      <c r="J22" s="101">
        <f t="shared" ref="J22:K22" si="12">J19-J21</f>
        <v>376.25300000000016</v>
      </c>
      <c r="K22" s="101">
        <f t="shared" si="12"/>
        <v>430.34100000000012</v>
      </c>
      <c r="L22" s="71">
        <f t="shared" ref="L22" si="13">L19-L21</f>
        <v>516.21789413037959</v>
      </c>
      <c r="M22" s="71">
        <f t="shared" ref="M22" si="14">M19-M21</f>
        <v>645.1578943600714</v>
      </c>
      <c r="N22" s="71">
        <f t="shared" ref="N22" si="15">N19-N21</f>
        <v>793.40685513113601</v>
      </c>
      <c r="O22" s="71">
        <f t="shared" ref="O22" si="16">O19-O21</f>
        <v>962.14246117219363</v>
      </c>
      <c r="P22" s="71">
        <f t="shared" ref="P22" si="17">P19-P21</f>
        <v>1164.1957911392474</v>
      </c>
    </row>
    <row r="23" spans="4:16">
      <c r="E23" s="110"/>
    </row>
    <row r="24" spans="4:16">
      <c r="D24" t="str">
        <f>'Historicals FS'!C21</f>
        <v>Interest Expense</v>
      </c>
      <c r="E24" s="91" t="s">
        <v>240</v>
      </c>
      <c r="I24" s="92">
        <f>'Historicals FS'!G21</f>
        <v>13.304</v>
      </c>
      <c r="J24" s="92">
        <f>'Historicals FS'!H21</f>
        <v>14.263</v>
      </c>
      <c r="K24" s="92">
        <f>'Historicals FS'!I21</f>
        <v>22.055</v>
      </c>
      <c r="L24">
        <f ca="1">L312</f>
        <v>42.724670935972014</v>
      </c>
      <c r="M24">
        <f ca="1">M312</f>
        <v>29.441334246740475</v>
      </c>
      <c r="N24">
        <f t="shared" ref="N24:P24" ca="1" si="18">N312</f>
        <v>9.9110543038403218</v>
      </c>
      <c r="O24">
        <f t="shared" ca="1" si="18"/>
        <v>-14.250287707282226</v>
      </c>
      <c r="P24">
        <f t="shared" ca="1" si="18"/>
        <v>-44.02992550407555</v>
      </c>
    </row>
    <row r="25" spans="4:16" s="71" customFormat="1">
      <c r="D25" s="71" t="str">
        <f>'Historicals FS'!C22</f>
        <v>EBT</v>
      </c>
      <c r="E25" s="91" t="s">
        <v>240</v>
      </c>
      <c r="I25" s="101">
        <f>I22-I24</f>
        <v>268.39699999999982</v>
      </c>
      <c r="J25" s="101">
        <f t="shared" ref="J25:P25" si="19">J22-J24</f>
        <v>361.99000000000018</v>
      </c>
      <c r="K25" s="101">
        <f t="shared" si="19"/>
        <v>408.28600000000012</v>
      </c>
      <c r="L25" s="71">
        <f t="shared" ca="1" si="19"/>
        <v>473.49322319440756</v>
      </c>
      <c r="M25" s="71">
        <f t="shared" ca="1" si="19"/>
        <v>615.71656011333096</v>
      </c>
      <c r="N25" s="71">
        <f t="shared" ca="1" si="19"/>
        <v>783.49580082729574</v>
      </c>
      <c r="O25" s="71">
        <f t="shared" ca="1" si="19"/>
        <v>976.3927488794759</v>
      </c>
      <c r="P25" s="71">
        <f t="shared" ca="1" si="19"/>
        <v>1208.2257166433228</v>
      </c>
    </row>
    <row r="26" spans="4:16">
      <c r="E26" s="110"/>
    </row>
    <row r="27" spans="4:16">
      <c r="D27" t="str">
        <f>'Historicals FS'!C24</f>
        <v>Current Taxes</v>
      </c>
      <c r="E27" s="91" t="s">
        <v>240</v>
      </c>
      <c r="I27" s="92">
        <f>'Historicals FS'!G24</f>
        <v>62.432000000000002</v>
      </c>
      <c r="J27" s="92">
        <f>'Historicals FS'!H24</f>
        <v>92.477000000000004</v>
      </c>
      <c r="K27" s="92">
        <f>'Historicals FS'!I24</f>
        <v>100.45699999999999</v>
      </c>
      <c r="L27">
        <f ca="1">L203</f>
        <v>151.72262811804265</v>
      </c>
      <c r="M27">
        <f t="shared" ref="M27:P27" ca="1" si="20">M203</f>
        <v>201.50079603966583</v>
      </c>
      <c r="N27">
        <f t="shared" ca="1" si="20"/>
        <v>260.22353028955348</v>
      </c>
      <c r="O27">
        <f t="shared" ca="1" si="20"/>
        <v>327.73746210781655</v>
      </c>
      <c r="P27">
        <f t="shared" ca="1" si="20"/>
        <v>408.87900082516296</v>
      </c>
    </row>
    <row r="28" spans="4:16">
      <c r="D28" t="str">
        <f>'Historicals FS'!C25</f>
        <v>Deferred Income Taxes</v>
      </c>
      <c r="E28" s="91" t="s">
        <v>240</v>
      </c>
      <c r="I28" s="92">
        <f>'Historicals FS'!G25</f>
        <v>9.0310000000000006</v>
      </c>
      <c r="J28" s="92">
        <f>'Historicals FS'!H25</f>
        <v>2.7450000000000001</v>
      </c>
      <c r="K28" s="92">
        <f>'Historicals FS'!I25</f>
        <v>10.737</v>
      </c>
      <c r="L28">
        <f>L204</f>
        <v>14</v>
      </c>
      <c r="M28">
        <f t="shared" ref="M28:P28" si="21">M204</f>
        <v>14</v>
      </c>
      <c r="N28">
        <f t="shared" si="21"/>
        <v>14</v>
      </c>
      <c r="O28">
        <f t="shared" si="21"/>
        <v>14</v>
      </c>
      <c r="P28">
        <f t="shared" si="21"/>
        <v>14</v>
      </c>
    </row>
    <row r="29" spans="4:16" s="71" customFormat="1">
      <c r="D29" s="71" t="str">
        <f>'Historicals FS'!C26</f>
        <v>Total Income Taxes</v>
      </c>
      <c r="E29" s="91" t="s">
        <v>240</v>
      </c>
      <c r="I29" s="101">
        <f t="shared" ref="I29:K29" si="22">SUM(I27:I28)</f>
        <v>71.463000000000008</v>
      </c>
      <c r="J29" s="101">
        <f t="shared" si="22"/>
        <v>95.222000000000008</v>
      </c>
      <c r="K29" s="101">
        <f t="shared" si="22"/>
        <v>111.19399999999999</v>
      </c>
      <c r="L29" s="71">
        <f t="shared" ref="L29" ca="1" si="23">SUM(L27:L28)</f>
        <v>165.72262811804265</v>
      </c>
      <c r="M29" s="71">
        <f t="shared" ref="M29" ca="1" si="24">SUM(M27:M28)</f>
        <v>215.50079603966583</v>
      </c>
      <c r="N29" s="71">
        <f t="shared" ref="N29" ca="1" si="25">SUM(N27:N28)</f>
        <v>274.22353028955348</v>
      </c>
      <c r="O29" s="71">
        <f t="shared" ref="O29" ca="1" si="26">SUM(O27:O28)</f>
        <v>341.73746210781655</v>
      </c>
      <c r="P29" s="71">
        <f t="shared" ref="P29" ca="1" si="27">SUM(P27:P28)</f>
        <v>422.87900082516296</v>
      </c>
    </row>
    <row r="30" spans="4:16">
      <c r="E30" s="110"/>
    </row>
    <row r="31" spans="4:16" s="71" customFormat="1">
      <c r="D31" s="71" t="str">
        <f>'Historicals FS'!C28</f>
        <v>Net Income</v>
      </c>
      <c r="E31" s="91" t="s">
        <v>240</v>
      </c>
      <c r="I31" s="101">
        <f>I25-I29</f>
        <v>196.9339999999998</v>
      </c>
      <c r="J31" s="101">
        <f t="shared" ref="J31:P31" si="28">J25-J29</f>
        <v>266.76800000000014</v>
      </c>
      <c r="K31" s="101">
        <f t="shared" si="28"/>
        <v>297.0920000000001</v>
      </c>
      <c r="L31" s="71">
        <f t="shared" ca="1" si="28"/>
        <v>307.77059507636488</v>
      </c>
      <c r="M31" s="71">
        <f t="shared" ca="1" si="28"/>
        <v>400.21576407366513</v>
      </c>
      <c r="N31" s="71">
        <f t="shared" ca="1" si="28"/>
        <v>509.27227053774226</v>
      </c>
      <c r="O31" s="71">
        <f t="shared" ca="1" si="28"/>
        <v>634.65528677165935</v>
      </c>
      <c r="P31" s="71">
        <f t="shared" ca="1" si="28"/>
        <v>785.34671581815985</v>
      </c>
    </row>
    <row r="32" spans="4:16">
      <c r="D32" t="s">
        <v>180</v>
      </c>
      <c r="E32" s="91" t="s">
        <v>240</v>
      </c>
      <c r="L32">
        <f>L252</f>
        <v>3.2</v>
      </c>
      <c r="M32">
        <f t="shared" ref="M32:P32" si="29">M252</f>
        <v>6.4</v>
      </c>
      <c r="N32">
        <f t="shared" si="29"/>
        <v>9.6</v>
      </c>
      <c r="O32">
        <f t="shared" si="29"/>
        <v>12.8</v>
      </c>
      <c r="P32">
        <f t="shared" si="29"/>
        <v>16</v>
      </c>
    </row>
    <row r="33" spans="2:16">
      <c r="D33" s="71" t="s">
        <v>13</v>
      </c>
      <c r="E33" s="91" t="s">
        <v>240</v>
      </c>
      <c r="L33" s="71">
        <f ca="1">L31-L32</f>
        <v>304.5705950763649</v>
      </c>
      <c r="M33" s="71">
        <f t="shared" ref="M33:P33" ca="1" si="30">M31-M32</f>
        <v>393.81576407366515</v>
      </c>
      <c r="N33" s="71">
        <f t="shared" ca="1" si="30"/>
        <v>499.67227053774224</v>
      </c>
      <c r="O33" s="71">
        <f t="shared" ca="1" si="30"/>
        <v>621.85528677165939</v>
      </c>
      <c r="P33" s="71">
        <f t="shared" ca="1" si="30"/>
        <v>769.34671581815985</v>
      </c>
    </row>
    <row r="34" spans="2:16">
      <c r="E34" s="110"/>
    </row>
    <row r="35" spans="2:16">
      <c r="C35" s="132"/>
      <c r="D35" s="133" t="s">
        <v>117</v>
      </c>
      <c r="E35" s="129" t="s">
        <v>240</v>
      </c>
      <c r="F35" s="133"/>
      <c r="G35" s="133"/>
      <c r="H35" s="133"/>
      <c r="I35" s="134">
        <f>I19/I12</f>
        <v>0.19772567846731051</v>
      </c>
      <c r="J35" s="134">
        <f t="shared" ref="J35:P35" si="31">J19/J12</f>
        <v>0.22979041916167672</v>
      </c>
      <c r="K35" s="134">
        <f t="shared" si="31"/>
        <v>0.23732966165185176</v>
      </c>
      <c r="L35" s="134">
        <f t="shared" si="31"/>
        <v>0.25463912340061756</v>
      </c>
      <c r="M35" s="134">
        <f t="shared" si="31"/>
        <v>0.28219636228742873</v>
      </c>
      <c r="N35" s="134">
        <f t="shared" si="31"/>
        <v>0.30790703611787806</v>
      </c>
      <c r="O35" s="134">
        <f t="shared" si="31"/>
        <v>0.33174716229831192</v>
      </c>
      <c r="P35" s="135">
        <f t="shared" si="31"/>
        <v>0.35485944664602898</v>
      </c>
    </row>
    <row r="36" spans="2:16">
      <c r="C36" s="136" t="s">
        <v>122</v>
      </c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8"/>
    </row>
    <row r="37" spans="2:16">
      <c r="C37" s="139"/>
      <c r="D37" s="137" t="s">
        <v>119</v>
      </c>
      <c r="E37" s="130" t="s">
        <v>240</v>
      </c>
      <c r="F37" s="137"/>
      <c r="G37" s="137"/>
      <c r="H37" s="137"/>
      <c r="I37" s="140">
        <f>I31/I114</f>
        <v>0.398932043358391</v>
      </c>
      <c r="J37" s="140">
        <f t="shared" ref="J37:P37" si="32">J31/J114</f>
        <v>0.85712725111250399</v>
      </c>
      <c r="K37" s="140">
        <f t="shared" si="32"/>
        <v>4.4437597223884167</v>
      </c>
      <c r="L37" s="140">
        <f t="shared" ca="1" si="32"/>
        <v>0.97616957247932201</v>
      </c>
      <c r="M37" s="140">
        <f t="shared" ca="1" si="32"/>
        <v>0.6346126201373179</v>
      </c>
      <c r="N37" s="140">
        <f t="shared" ca="1" si="32"/>
        <v>0.49665719164435118</v>
      </c>
      <c r="O37" s="140">
        <f t="shared" ca="1" si="32"/>
        <v>0.41980346699569648</v>
      </c>
      <c r="P37" s="141">
        <f t="shared" ca="1" si="32"/>
        <v>0.37241377409082077</v>
      </c>
    </row>
    <row r="38" spans="2:16">
      <c r="C38" s="139"/>
      <c r="D38" s="137" t="s">
        <v>118</v>
      </c>
      <c r="E38" s="130" t="s">
        <v>240</v>
      </c>
      <c r="F38" s="137"/>
      <c r="G38" s="137"/>
      <c r="H38" s="137"/>
      <c r="I38" s="140">
        <f>I31/I12</f>
        <v>0.12673775798490208</v>
      </c>
      <c r="J38" s="140">
        <f t="shared" ref="J38:P38" si="33">J31/J12</f>
        <v>0.15013281707262174</v>
      </c>
      <c r="K38" s="140">
        <f t="shared" si="33"/>
        <v>0.15038977868669898</v>
      </c>
      <c r="L38" s="140">
        <f t="shared" ca="1" si="33"/>
        <v>0.14343123125192581</v>
      </c>
      <c r="M38" s="140">
        <f t="shared" ca="1" si="33"/>
        <v>0.16670515727257124</v>
      </c>
      <c r="N38" s="140">
        <f t="shared" ca="1" si="33"/>
        <v>0.18941155635046972</v>
      </c>
      <c r="O38" s="140">
        <f t="shared" ca="1" si="33"/>
        <v>0.21070805026902772</v>
      </c>
      <c r="P38" s="141">
        <f t="shared" ca="1" si="33"/>
        <v>0.23139608525373295</v>
      </c>
    </row>
    <row r="39" spans="2:16">
      <c r="C39" s="139"/>
      <c r="D39" s="137" t="s">
        <v>120</v>
      </c>
      <c r="E39" s="130" t="s">
        <v>240</v>
      </c>
      <c r="F39" s="137"/>
      <c r="G39" s="137"/>
      <c r="H39" s="137"/>
      <c r="I39" s="142">
        <f>I12/I93</f>
        <v>1.3639184424398454</v>
      </c>
      <c r="J39" s="142">
        <f t="shared" ref="J39:P39" si="34">J12/J93</f>
        <v>1.4327320344072427</v>
      </c>
      <c r="K39" s="142">
        <f t="shared" si="34"/>
        <v>1.5489732998365935</v>
      </c>
      <c r="L39" s="142">
        <f t="shared" ca="1" si="34"/>
        <v>1.6138316178399055</v>
      </c>
      <c r="M39" s="142">
        <f t="shared" ca="1" si="34"/>
        <v>1.7454158243809412</v>
      </c>
      <c r="N39" s="142">
        <f t="shared" ca="1" si="34"/>
        <v>1.6739708464775691</v>
      </c>
      <c r="O39" s="142">
        <f t="shared" ca="1" si="34"/>
        <v>1.5352802993662793</v>
      </c>
      <c r="P39" s="143">
        <f t="shared" ca="1" si="34"/>
        <v>1.3069383352197337</v>
      </c>
    </row>
    <row r="40" spans="2:16">
      <c r="C40" s="144"/>
      <c r="D40" s="145" t="s">
        <v>121</v>
      </c>
      <c r="E40" s="131" t="s">
        <v>240</v>
      </c>
      <c r="F40" s="145"/>
      <c r="G40" s="145"/>
      <c r="H40" s="145"/>
      <c r="I40" s="146">
        <f>I93/I114</f>
        <v>2.3078336402290671</v>
      </c>
      <c r="J40" s="146">
        <f t="shared" ref="J40:P40" si="35">J93/J114</f>
        <v>3.9847832024033289</v>
      </c>
      <c r="K40" s="146">
        <f t="shared" si="35"/>
        <v>19.076044034940765</v>
      </c>
      <c r="L40" s="146">
        <f t="shared" ca="1" si="35"/>
        <v>4.2171914765328467</v>
      </c>
      <c r="M40" s="146">
        <f t="shared" ca="1" si="35"/>
        <v>2.1810255826779548</v>
      </c>
      <c r="N40" s="146">
        <f t="shared" ca="1" si="35"/>
        <v>1.566398886556724</v>
      </c>
      <c r="O40" s="146">
        <f t="shared" ca="1" si="35"/>
        <v>1.2977086973695275</v>
      </c>
      <c r="P40" s="147">
        <f t="shared" ca="1" si="35"/>
        <v>1.2314438983328666</v>
      </c>
    </row>
    <row r="41" spans="2:16">
      <c r="E41" s="110"/>
      <c r="I41" s="86"/>
    </row>
    <row r="42" spans="2:16">
      <c r="E42" s="110"/>
    </row>
    <row r="43" spans="2:16" ht="13.25" thickBot="1">
      <c r="B43" s="78" t="s">
        <v>14</v>
      </c>
      <c r="C43" s="78"/>
      <c r="D43" s="78"/>
      <c r="E43" s="125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</row>
    <row r="44" spans="2:16">
      <c r="E44" s="110"/>
    </row>
    <row r="45" spans="2:16">
      <c r="C45" s="80" t="str">
        <f>'Historicals FS'!B36</f>
        <v>Operating Activities</v>
      </c>
      <c r="E45" s="110"/>
    </row>
    <row r="46" spans="2:16">
      <c r="D46" t="str">
        <f>'Historicals FS'!C37</f>
        <v>Net Income</v>
      </c>
      <c r="E46" s="91" t="s">
        <v>240</v>
      </c>
      <c r="I46" s="92">
        <f>'Historicals FS'!G37</f>
        <v>196.9339999999998</v>
      </c>
      <c r="J46" s="92">
        <f>'Historicals FS'!H37</f>
        <v>266.76800000000014</v>
      </c>
      <c r="K46" s="92">
        <f>'Historicals FS'!I37</f>
        <v>297.0920000000001</v>
      </c>
      <c r="L46">
        <f ca="1">L31</f>
        <v>307.77059507636488</v>
      </c>
      <c r="M46">
        <f t="shared" ref="M46:P46" ca="1" si="36">M31</f>
        <v>400.21576407366513</v>
      </c>
      <c r="N46">
        <f t="shared" ca="1" si="36"/>
        <v>509.27227053774226</v>
      </c>
      <c r="O46">
        <f t="shared" ca="1" si="36"/>
        <v>634.65528677165935</v>
      </c>
      <c r="P46">
        <f t="shared" ca="1" si="36"/>
        <v>785.34671581815985</v>
      </c>
    </row>
    <row r="47" spans="2:16">
      <c r="D47" t="str">
        <f>'Historicals FS'!C38</f>
        <v>Depreciation</v>
      </c>
      <c r="E47" s="91" t="s">
        <v>240</v>
      </c>
      <c r="I47" s="92">
        <f>'Historicals FS'!G38</f>
        <v>25.539000000000001</v>
      </c>
      <c r="J47" s="92">
        <f>'Historicals FS'!H38</f>
        <v>32.057000000000002</v>
      </c>
      <c r="K47" s="92">
        <f>'Historicals FS'!I38</f>
        <v>38.499000000000002</v>
      </c>
      <c r="L47">
        <f>L21</f>
        <v>30.17938528138529</v>
      </c>
      <c r="M47">
        <f t="shared" ref="M47:P47" si="37">M21</f>
        <v>32.322242424242432</v>
      </c>
      <c r="N47">
        <f t="shared" si="37"/>
        <v>34.465099567099578</v>
      </c>
      <c r="O47">
        <f t="shared" si="37"/>
        <v>37.084147186147192</v>
      </c>
      <c r="P47">
        <f t="shared" si="37"/>
        <v>40.179385281385294</v>
      </c>
    </row>
    <row r="48" spans="2:16">
      <c r="D48" t="str">
        <f>'Historicals FS'!C39</f>
        <v>Deferred Income Taxes</v>
      </c>
      <c r="E48" s="91" t="s">
        <v>240</v>
      </c>
      <c r="I48" s="92">
        <f>'Historicals FS'!G39</f>
        <v>9.0310000000000006</v>
      </c>
      <c r="J48" s="92">
        <f>'Historicals FS'!H39</f>
        <v>2.7450000000000001</v>
      </c>
      <c r="K48" s="92">
        <f>'Historicals FS'!I39</f>
        <v>10.737</v>
      </c>
      <c r="L48">
        <f>L28</f>
        <v>14</v>
      </c>
      <c r="M48">
        <f t="shared" ref="M48:P48" si="38">M28</f>
        <v>14</v>
      </c>
      <c r="N48">
        <f t="shared" si="38"/>
        <v>14</v>
      </c>
      <c r="O48">
        <f t="shared" si="38"/>
        <v>14</v>
      </c>
      <c r="P48">
        <f t="shared" si="38"/>
        <v>14</v>
      </c>
    </row>
    <row r="49" spans="3:16">
      <c r="D49" t="str">
        <f>'Historicals FS'!C40</f>
        <v>Changes in Working Capital</v>
      </c>
      <c r="E49" s="91" t="s">
        <v>240</v>
      </c>
      <c r="I49" s="92">
        <f>'Historicals FS'!G40</f>
        <v>-5.8470000000000004</v>
      </c>
      <c r="J49" s="92">
        <f>'Historicals FS'!H40</f>
        <v>-19.241</v>
      </c>
      <c r="K49" s="92">
        <f>'Historicals FS'!I40</f>
        <v>-2.3969999999999998</v>
      </c>
      <c r="L49">
        <f>L228</f>
        <v>-61.995581535511661</v>
      </c>
      <c r="M49">
        <f>M228</f>
        <v>-22.014669820237202</v>
      </c>
      <c r="N49">
        <f>N228</f>
        <v>-24.572064618536331</v>
      </c>
      <c r="O49">
        <f>O228</f>
        <v>-26.41241415069328</v>
      </c>
      <c r="P49">
        <f>P228</f>
        <v>-32.762402032759496</v>
      </c>
    </row>
    <row r="50" spans="3:16">
      <c r="D50" t="s">
        <v>237</v>
      </c>
      <c r="E50" s="91" t="s">
        <v>240</v>
      </c>
      <c r="I50" s="92"/>
      <c r="J50" s="92"/>
      <c r="K50" s="92"/>
      <c r="L50">
        <f>-Assumptions!L134</f>
        <v>0</v>
      </c>
      <c r="M50">
        <f>-Assumptions!M134</f>
        <v>0</v>
      </c>
      <c r="N50">
        <f>-Assumptions!N134</f>
        <v>0</v>
      </c>
      <c r="O50">
        <f>-Assumptions!O134</f>
        <v>0</v>
      </c>
      <c r="P50">
        <f>-Assumptions!P134</f>
        <v>0</v>
      </c>
    </row>
    <row r="51" spans="3:16">
      <c r="D51" t="str">
        <f>'Historicals FS'!C41</f>
        <v>Other</v>
      </c>
      <c r="E51" s="91" t="s">
        <v>240</v>
      </c>
      <c r="I51" s="92">
        <f>'Historicals FS'!G41</f>
        <v>11.584</v>
      </c>
      <c r="J51" s="92">
        <f>'Historicals FS'!H41</f>
        <v>27.166</v>
      </c>
      <c r="K51" s="92">
        <f>'Historicals FS'!I41</f>
        <v>-7.1509999999999998</v>
      </c>
      <c r="L51">
        <f>-Assumptions!L137</f>
        <v>0</v>
      </c>
      <c r="M51">
        <f>-Assumptions!M137</f>
        <v>0</v>
      </c>
      <c r="N51">
        <f>-Assumptions!N137</f>
        <v>0</v>
      </c>
      <c r="O51">
        <f>-Assumptions!O137</f>
        <v>0</v>
      </c>
      <c r="P51">
        <f>-Assumptions!P137</f>
        <v>0</v>
      </c>
    </row>
    <row r="52" spans="3:16" s="71" customFormat="1">
      <c r="D52" s="71" t="str">
        <f>'Historicals FS'!C42</f>
        <v>Operating Cash Flow</v>
      </c>
      <c r="E52" s="91" t="s">
        <v>240</v>
      </c>
      <c r="I52" s="101">
        <f>SUM(I46:I51)</f>
        <v>237.24099999999979</v>
      </c>
      <c r="J52" s="101">
        <f t="shared" ref="J52:K52" si="39">SUM(J46:J51)</f>
        <v>309.49500000000018</v>
      </c>
      <c r="K52" s="101">
        <f t="shared" si="39"/>
        <v>336.78000000000014</v>
      </c>
      <c r="L52" s="71">
        <f ca="1">SUM(L46:L51)</f>
        <v>289.95439882223855</v>
      </c>
      <c r="M52" s="71">
        <f t="shared" ref="M52:P52" ca="1" si="40">SUM(M46:M51)</f>
        <v>424.52333667767033</v>
      </c>
      <c r="N52" s="71">
        <f t="shared" ca="1" si="40"/>
        <v>533.16530548630544</v>
      </c>
      <c r="O52" s="71">
        <f t="shared" ca="1" si="40"/>
        <v>659.32701980711329</v>
      </c>
      <c r="P52" s="71">
        <f t="shared" ca="1" si="40"/>
        <v>806.76369906678565</v>
      </c>
    </row>
    <row r="53" spans="3:16">
      <c r="E53" s="110"/>
    </row>
    <row r="54" spans="3:16">
      <c r="C54" s="80" t="str">
        <f>'Historicals FS'!B44</f>
        <v>Investing Activities</v>
      </c>
      <c r="E54" s="110"/>
    </row>
    <row r="55" spans="3:16">
      <c r="D55" t="str">
        <f>'Historicals FS'!C45</f>
        <v>CAPEX</v>
      </c>
      <c r="E55" s="91" t="s">
        <v>240</v>
      </c>
      <c r="I55" s="92">
        <f>'Historicals FS'!G45</f>
        <v>-56.625999999999998</v>
      </c>
      <c r="J55" s="92">
        <f>'Historicals FS'!H45</f>
        <v>-62.953000000000003</v>
      </c>
      <c r="K55" s="92">
        <f>'Historicals FS'!I45</f>
        <v>-110.809</v>
      </c>
      <c r="L55">
        <f>-L170</f>
        <v>-50</v>
      </c>
      <c r="M55">
        <f t="shared" ref="M55:P55" si="41">-M170</f>
        <v>-40</v>
      </c>
      <c r="N55">
        <f t="shared" si="41"/>
        <v>-50</v>
      </c>
      <c r="O55">
        <f t="shared" si="41"/>
        <v>-60</v>
      </c>
      <c r="P55">
        <f t="shared" si="41"/>
        <v>-70</v>
      </c>
    </row>
    <row r="56" spans="3:16">
      <c r="D56" t="s">
        <v>235</v>
      </c>
      <c r="E56" s="91" t="s">
        <v>240</v>
      </c>
      <c r="I56" s="92">
        <f>'Historicals FS'!G46</f>
        <v>0</v>
      </c>
      <c r="J56" s="92">
        <f>'Historicals FS'!H46</f>
        <v>0</v>
      </c>
      <c r="K56" s="92">
        <f>'Historicals FS'!I46</f>
        <v>0</v>
      </c>
      <c r="L56">
        <f>-Assumptions!L135</f>
        <v>0</v>
      </c>
      <c r="M56">
        <f>-Assumptions!M135</f>
        <v>0</v>
      </c>
      <c r="N56">
        <f>-Assumptions!N135</f>
        <v>0</v>
      </c>
      <c r="O56">
        <f>-Assumptions!O135</f>
        <v>0</v>
      </c>
      <c r="P56">
        <f>-Assumptions!P135</f>
        <v>0</v>
      </c>
    </row>
    <row r="57" spans="3:16">
      <c r="D57" t="str">
        <f>'Historicals FS'!C46</f>
        <v>Other</v>
      </c>
      <c r="E57" s="91" t="s">
        <v>240</v>
      </c>
      <c r="I57" s="92">
        <f>'Historicals FS'!G46</f>
        <v>0</v>
      </c>
      <c r="J57" s="92">
        <f>'Historicals FS'!H46</f>
        <v>0</v>
      </c>
      <c r="K57" s="92">
        <f>'Historicals FS'!I46</f>
        <v>0</v>
      </c>
      <c r="L57">
        <f>-Assumptions!L138</f>
        <v>0</v>
      </c>
      <c r="M57">
        <f>-Assumptions!M138</f>
        <v>0</v>
      </c>
      <c r="N57">
        <f>-Assumptions!N138</f>
        <v>0</v>
      </c>
      <c r="O57">
        <f>-Assumptions!O138</f>
        <v>0</v>
      </c>
      <c r="P57">
        <f>-Assumptions!P138</f>
        <v>0</v>
      </c>
    </row>
    <row r="58" spans="3:16" s="71" customFormat="1">
      <c r="D58" s="71" t="str">
        <f>'Historicals FS'!C47</f>
        <v>Investing Cash Flow</v>
      </c>
      <c r="E58" s="91" t="s">
        <v>240</v>
      </c>
      <c r="I58" s="101">
        <f t="shared" ref="I58:K58" si="42">SUM(I55:I57)</f>
        <v>-56.625999999999998</v>
      </c>
      <c r="J58" s="101">
        <f t="shared" si="42"/>
        <v>-62.953000000000003</v>
      </c>
      <c r="K58" s="101">
        <f t="shared" si="42"/>
        <v>-110.809</v>
      </c>
      <c r="L58" s="71">
        <f t="shared" ref="L58" si="43">SUM(L55:L57)</f>
        <v>-50</v>
      </c>
      <c r="M58" s="71">
        <f t="shared" ref="M58" si="44">SUM(M55:M57)</f>
        <v>-40</v>
      </c>
      <c r="N58" s="71">
        <f t="shared" ref="N58" si="45">SUM(N55:N57)</f>
        <v>-50</v>
      </c>
      <c r="O58" s="71">
        <f t="shared" ref="O58" si="46">SUM(O55:O57)</f>
        <v>-60</v>
      </c>
      <c r="P58" s="71">
        <f t="shared" ref="P58" si="47">SUM(P55:P57)</f>
        <v>-70</v>
      </c>
    </row>
    <row r="59" spans="3:16" s="71" customFormat="1">
      <c r="E59" s="110"/>
    </row>
    <row r="60" spans="3:16">
      <c r="C60" s="80" t="str">
        <f>'Historicals FS'!B49</f>
        <v>Financing Activities</v>
      </c>
      <c r="E60" s="110"/>
    </row>
    <row r="61" spans="3:16">
      <c r="D61" t="str">
        <f>'Historicals FS'!C50</f>
        <v>Revolver Issuance / (Repayment)</v>
      </c>
      <c r="E61" s="91" t="s">
        <v>240</v>
      </c>
      <c r="I61" s="92">
        <f>'Historicals FS'!G50</f>
        <v>10</v>
      </c>
      <c r="J61" s="92">
        <f>'Historicals FS'!H50</f>
        <v>0</v>
      </c>
      <c r="K61" s="92">
        <f>'Historicals FS'!I50</f>
        <v>0</v>
      </c>
      <c r="L61">
        <f ca="1">L302</f>
        <v>42.48324994685256</v>
      </c>
      <c r="M61">
        <f ca="1">M302</f>
        <v>-29.669395659254036</v>
      </c>
      <c r="N61">
        <f ca="1">N302</f>
        <v>-12.813854287598524</v>
      </c>
      <c r="O61">
        <f ca="1">O302</f>
        <v>0</v>
      </c>
      <c r="P61">
        <f ca="1">P302</f>
        <v>0</v>
      </c>
    </row>
    <row r="62" spans="3:16">
      <c r="D62" t="str">
        <f>'Historicals FS'!C51</f>
        <v>Variable Rate Long Term Debt Issuance / (Repayment)</v>
      </c>
      <c r="E62" s="91" t="s">
        <v>240</v>
      </c>
      <c r="I62" s="92">
        <f>'Historicals FS'!G51</f>
        <v>100</v>
      </c>
      <c r="J62" s="92">
        <f>'Historicals FS'!H51</f>
        <v>80</v>
      </c>
      <c r="K62" s="92">
        <f>'Historicals FS'!I51</f>
        <v>350</v>
      </c>
      <c r="L62">
        <f>-L279</f>
        <v>-90</v>
      </c>
      <c r="M62">
        <f t="shared" ref="M62:P62" si="48">-M279</f>
        <v>-90</v>
      </c>
      <c r="N62">
        <f t="shared" si="48"/>
        <v>-3.2230000000000132</v>
      </c>
      <c r="O62">
        <f t="shared" si="48"/>
        <v>0</v>
      </c>
      <c r="P62">
        <f t="shared" si="48"/>
        <v>0</v>
      </c>
    </row>
    <row r="63" spans="3:16">
      <c r="D63" t="str">
        <f>'Historicals FS'!C52</f>
        <v>Fixed Rate Long Term Debt Issuance / (Repayment)</v>
      </c>
      <c r="E63" s="91" t="s">
        <v>240</v>
      </c>
      <c r="I63" s="92">
        <f>'Historicals FS'!G52</f>
        <v>0</v>
      </c>
      <c r="J63" s="92">
        <f>'Historicals FS'!H52</f>
        <v>156.66999999999999</v>
      </c>
      <c r="K63" s="92">
        <f>'Historicals FS'!I52</f>
        <v>-80</v>
      </c>
      <c r="L63">
        <f>-L272</f>
        <v>-180</v>
      </c>
      <c r="M63">
        <f t="shared" ref="M63:P63" si="49">-M272</f>
        <v>-180</v>
      </c>
      <c r="N63">
        <f t="shared" si="49"/>
        <v>-180</v>
      </c>
      <c r="O63">
        <f t="shared" si="49"/>
        <v>-164.05500000000006</v>
      </c>
      <c r="P63">
        <f t="shared" si="49"/>
        <v>0</v>
      </c>
    </row>
    <row r="64" spans="3:16">
      <c r="D64" t="str">
        <f>'Historicals FS'!C53</f>
        <v>Preference Shares Issuance/ (Buy-Back)</v>
      </c>
      <c r="E64" s="91" t="s">
        <v>240</v>
      </c>
      <c r="I64" s="92">
        <f>'Historicals FS'!G53</f>
        <v>0</v>
      </c>
      <c r="J64" s="92">
        <f>'Historicals FS'!H53</f>
        <v>0</v>
      </c>
      <c r="K64" s="92">
        <f>'Historicals FS'!I53</f>
        <v>0</v>
      </c>
      <c r="L64">
        <f>L248</f>
        <v>40</v>
      </c>
      <c r="M64">
        <f t="shared" ref="M64:P64" si="50">M248</f>
        <v>40</v>
      </c>
      <c r="N64">
        <f t="shared" si="50"/>
        <v>40</v>
      </c>
      <c r="O64">
        <f t="shared" si="50"/>
        <v>40</v>
      </c>
      <c r="P64">
        <f t="shared" si="50"/>
        <v>40</v>
      </c>
    </row>
    <row r="65" spans="2:19">
      <c r="D65" t="str">
        <f>'Historicals FS'!C54</f>
        <v>Common Shares Issuance/ (Buy-Back)</v>
      </c>
      <c r="E65" s="91" t="s">
        <v>240</v>
      </c>
      <c r="I65" s="92">
        <f>'Historicals FS'!G54</f>
        <v>-282.81299999999999</v>
      </c>
      <c r="J65" s="92">
        <f>'Historicals FS'!H54</f>
        <v>-432.82600000000002</v>
      </c>
      <c r="K65" s="92">
        <f>'Historicals FS'!I54</f>
        <v>-461.15699999999998</v>
      </c>
      <c r="L65">
        <f>L241</f>
        <v>-20</v>
      </c>
      <c r="M65">
        <f>M241</f>
        <v>-20</v>
      </c>
      <c r="N65">
        <f>N241</f>
        <v>-20</v>
      </c>
      <c r="O65">
        <f>O241</f>
        <v>-20</v>
      </c>
      <c r="P65">
        <f>P241</f>
        <v>-20</v>
      </c>
    </row>
    <row r="66" spans="2:19">
      <c r="D66" t="str">
        <f>'Historicals FS'!C55</f>
        <v>Preference Dividends</v>
      </c>
      <c r="E66" s="91" t="s">
        <v>240</v>
      </c>
      <c r="I66" s="92">
        <f>'Historicals FS'!G55</f>
        <v>0</v>
      </c>
      <c r="J66" s="92">
        <f>'Historicals FS'!H55</f>
        <v>0</v>
      </c>
      <c r="K66" s="92">
        <f>'Historicals FS'!I55</f>
        <v>0</v>
      </c>
      <c r="L66">
        <f>-L252</f>
        <v>-3.2</v>
      </c>
      <c r="M66">
        <f t="shared" ref="M66:P66" si="51">-M252</f>
        <v>-6.4</v>
      </c>
      <c r="N66">
        <f t="shared" si="51"/>
        <v>-9.6</v>
      </c>
      <c r="O66">
        <f t="shared" si="51"/>
        <v>-12.8</v>
      </c>
      <c r="P66">
        <f t="shared" si="51"/>
        <v>-16</v>
      </c>
    </row>
    <row r="67" spans="2:19">
      <c r="D67" t="str">
        <f>'Historicals FS'!C56</f>
        <v>Common Dividends</v>
      </c>
      <c r="E67" s="91" t="s">
        <v>240</v>
      </c>
      <c r="I67" s="92">
        <f>'Historicals FS'!G56</f>
        <v>-27.89</v>
      </c>
      <c r="J67" s="92">
        <f>'Historicals FS'!H56</f>
        <v>-30.077000000000002</v>
      </c>
      <c r="K67" s="92">
        <f>'Historicals FS'!I56</f>
        <v>-31.291</v>
      </c>
      <c r="L67">
        <f ca="1">-L257</f>
        <v>-76.142648769091224</v>
      </c>
      <c r="M67">
        <f t="shared" ref="M67:P67" ca="1" si="52">-M257</f>
        <v>-98.453941018416288</v>
      </c>
      <c r="N67">
        <f t="shared" ca="1" si="52"/>
        <v>-124.91806763443556</v>
      </c>
      <c r="O67">
        <f t="shared" ca="1" si="52"/>
        <v>-155.46382169291485</v>
      </c>
      <c r="P67">
        <f t="shared" ca="1" si="52"/>
        <v>-192.33667895453996</v>
      </c>
    </row>
    <row r="68" spans="2:19">
      <c r="D68" t="str">
        <f>'Historicals FS'!C57</f>
        <v>Other Financing Activities</v>
      </c>
      <c r="E68" s="91" t="s">
        <v>240</v>
      </c>
      <c r="I68" s="92">
        <f>'Historicals FS'!G57</f>
        <v>-1.2270000000000001</v>
      </c>
      <c r="J68" s="92">
        <f>'Historicals FS'!H57</f>
        <v>-1.321</v>
      </c>
      <c r="K68" s="92">
        <f>'Historicals FS'!I57</f>
        <v>-1.9379999999999999</v>
      </c>
      <c r="L68">
        <f>Assumptions!L136+Assumptions!L139</f>
        <v>0</v>
      </c>
      <c r="M68">
        <f>Assumptions!M136+Assumptions!M139</f>
        <v>0</v>
      </c>
      <c r="N68">
        <f>Assumptions!N136+Assumptions!N139</f>
        <v>0</v>
      </c>
      <c r="O68">
        <f>Assumptions!O136+Assumptions!O139</f>
        <v>0</v>
      </c>
      <c r="P68">
        <f>Assumptions!P136+Assumptions!P139</f>
        <v>0</v>
      </c>
    </row>
    <row r="69" spans="2:19" s="71" customFormat="1">
      <c r="D69" s="71" t="str">
        <f>'Historicals FS'!C58</f>
        <v>Financing Cash Flow</v>
      </c>
      <c r="E69" s="91" t="s">
        <v>240</v>
      </c>
      <c r="I69" s="101">
        <f>SUM(I61:I68)</f>
        <v>-201.92999999999998</v>
      </c>
      <c r="J69" s="101">
        <f t="shared" ref="J69:P69" si="53">SUM(J61:J68)</f>
        <v>-227.55400000000003</v>
      </c>
      <c r="K69" s="101">
        <f t="shared" si="53"/>
        <v>-224.38599999999997</v>
      </c>
      <c r="L69" s="71">
        <f t="shared" ca="1" si="53"/>
        <v>-286.85939882223863</v>
      </c>
      <c r="M69" s="71">
        <f t="shared" ca="1" si="53"/>
        <v>-384.52333667767033</v>
      </c>
      <c r="N69" s="71">
        <f t="shared" ca="1" si="53"/>
        <v>-310.55492192203411</v>
      </c>
      <c r="O69" s="71">
        <f t="shared" ca="1" si="53"/>
        <v>-312.31882169291492</v>
      </c>
      <c r="P69" s="71">
        <f t="shared" ca="1" si="53"/>
        <v>-188.33667895453996</v>
      </c>
    </row>
    <row r="70" spans="2:19">
      <c r="E70" s="110"/>
    </row>
    <row r="71" spans="2:19" s="71" customFormat="1">
      <c r="D71" s="71" t="str">
        <f>'Historicals FS'!C60</f>
        <v>Change in Cash Position</v>
      </c>
      <c r="E71" s="91" t="s">
        <v>240</v>
      </c>
      <c r="I71" s="101">
        <f>SUM(I69,I58,I52)</f>
        <v>-21.315000000000197</v>
      </c>
      <c r="J71" s="101">
        <f>SUM(J69,J58,J52)</f>
        <v>18.988000000000113</v>
      </c>
      <c r="K71" s="101">
        <f>SUM(K69,K58,K52)</f>
        <v>1.5850000000002069</v>
      </c>
      <c r="L71" s="71">
        <f t="shared" ref="L71:P71" ca="1" si="54">SUM(L69,L58,L52)</f>
        <v>-46.905000000000086</v>
      </c>
      <c r="M71" s="71">
        <f t="shared" ca="1" si="54"/>
        <v>0</v>
      </c>
      <c r="N71" s="71">
        <f t="shared" ca="1" si="54"/>
        <v>172.61038356427133</v>
      </c>
      <c r="O71" s="71">
        <f t="shared" ca="1" si="54"/>
        <v>287.00819811419836</v>
      </c>
      <c r="P71" s="71">
        <f t="shared" ca="1" si="54"/>
        <v>548.42702011224571</v>
      </c>
    </row>
    <row r="72" spans="2:19">
      <c r="D72" t="str">
        <f>'Historicals FS'!C61</f>
        <v>Beginning Cash</v>
      </c>
      <c r="E72" s="91" t="s">
        <v>240</v>
      </c>
      <c r="I72" s="92">
        <f>'Historicals FS'!G61</f>
        <v>47.646999999999998</v>
      </c>
      <c r="J72" s="92">
        <f>'Historicals FS'!H61</f>
        <v>26.331999999999802</v>
      </c>
      <c r="K72" s="92">
        <f>'Historicals FS'!I61</f>
        <v>45.319999999999943</v>
      </c>
      <c r="L72">
        <f>K73</f>
        <v>46.905000000000122</v>
      </c>
      <c r="M72">
        <f t="shared" ref="M72:P72" ca="1" si="55">L73</f>
        <v>0</v>
      </c>
      <c r="N72">
        <f t="shared" ca="1" si="55"/>
        <v>0</v>
      </c>
      <c r="O72">
        <f t="shared" ca="1" si="55"/>
        <v>172.61038356427133</v>
      </c>
      <c r="P72">
        <f t="shared" ca="1" si="55"/>
        <v>459.6185816784697</v>
      </c>
    </row>
    <row r="73" spans="2:19">
      <c r="D73" t="str">
        <f>'Historicals FS'!C62</f>
        <v>Ending Cash</v>
      </c>
      <c r="E73" s="91" t="s">
        <v>240</v>
      </c>
      <c r="I73" s="92">
        <f>'Historicals FS'!G62</f>
        <v>26.331999999999802</v>
      </c>
      <c r="J73" s="92">
        <f>'Historicals FS'!H62</f>
        <v>45.319999999999943</v>
      </c>
      <c r="K73" s="92">
        <f>'Historicals FS'!I62</f>
        <v>46.905000000000122</v>
      </c>
      <c r="L73">
        <f ca="1">SUM(L71:L72)</f>
        <v>0</v>
      </c>
      <c r="M73">
        <f t="shared" ref="M73:P73" ca="1" si="56">SUM(M71:M72)</f>
        <v>0</v>
      </c>
      <c r="N73">
        <f t="shared" ca="1" si="56"/>
        <v>172.61038356427133</v>
      </c>
      <c r="O73">
        <f t="shared" ca="1" si="56"/>
        <v>459.6185816784697</v>
      </c>
      <c r="P73">
        <f t="shared" ca="1" si="56"/>
        <v>1008.0456017907154</v>
      </c>
      <c r="S73" s="153"/>
    </row>
    <row r="74" spans="2:19">
      <c r="E74" s="110"/>
    </row>
    <row r="75" spans="2:19">
      <c r="E75" s="110"/>
    </row>
    <row r="76" spans="2:19">
      <c r="E76" s="110"/>
    </row>
    <row r="77" spans="2:19" ht="13.25" thickBot="1">
      <c r="B77" s="78" t="s">
        <v>26</v>
      </c>
      <c r="C77" s="78"/>
      <c r="D77" s="78"/>
      <c r="E77" s="125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</row>
    <row r="78" spans="2:19">
      <c r="B78" s="100"/>
      <c r="C78" s="100"/>
      <c r="D78" s="100"/>
      <c r="E78" s="126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</row>
    <row r="79" spans="2:19">
      <c r="C79" t="str">
        <f>'Historicals FS'!B72</f>
        <v>ASSETS</v>
      </c>
      <c r="E79" s="110"/>
    </row>
    <row r="80" spans="2:19">
      <c r="D80" t="str">
        <f>'Historicals FS'!C73</f>
        <v>Cash and Equivalents</v>
      </c>
      <c r="E80" s="91" t="s">
        <v>240</v>
      </c>
      <c r="I80" s="92">
        <f>'Historicals FS'!G73</f>
        <v>26.331999999999802</v>
      </c>
      <c r="J80" s="92">
        <f>'Historicals FS'!H73</f>
        <v>45.319999999999943</v>
      </c>
      <c r="K80" s="92">
        <f>'Historicals FS'!I73</f>
        <v>46.905000000000122</v>
      </c>
      <c r="L80">
        <f ca="1">L73</f>
        <v>0</v>
      </c>
      <c r="M80">
        <f t="shared" ref="M80:P80" ca="1" si="57">M73</f>
        <v>0</v>
      </c>
      <c r="N80">
        <f t="shared" ca="1" si="57"/>
        <v>172.61038356427133</v>
      </c>
      <c r="O80">
        <f t="shared" ca="1" si="57"/>
        <v>459.6185816784697</v>
      </c>
      <c r="P80">
        <f t="shared" ca="1" si="57"/>
        <v>1008.0456017907154</v>
      </c>
    </row>
    <row r="81" spans="3:16">
      <c r="D81" t="str">
        <f>'Historicals FS'!C74</f>
        <v>Accounts Receivable</v>
      </c>
      <c r="E81" s="91" t="s">
        <v>240</v>
      </c>
      <c r="I81" s="92">
        <f>'Historicals FS'!G74</f>
        <v>6.6689999999999996</v>
      </c>
      <c r="J81" s="92">
        <f>'Historicals FS'!H74</f>
        <v>7.4119999999999999</v>
      </c>
      <c r="K81" s="92">
        <f>'Historicals FS'!I74</f>
        <v>10.257</v>
      </c>
      <c r="L81">
        <f>L218</f>
        <v>9.7764859951007264</v>
      </c>
      <c r="M81">
        <f t="shared" ref="M81:P81" si="58">M218</f>
        <v>10.938166760077573</v>
      </c>
      <c r="N81">
        <f t="shared" si="58"/>
        <v>12.250193310625194</v>
      </c>
      <c r="O81">
        <f t="shared" si="58"/>
        <v>13.685729046428978</v>
      </c>
      <c r="P81">
        <f t="shared" si="58"/>
        <v>15.463393563612952</v>
      </c>
    </row>
    <row r="82" spans="3:16">
      <c r="D82" t="str">
        <f>'Historicals FS'!C75</f>
        <v>Inventory</v>
      </c>
      <c r="E82" s="91" t="s">
        <v>240</v>
      </c>
      <c r="I82" s="92">
        <f>'Historicals FS'!G75</f>
        <v>272.613</v>
      </c>
      <c r="J82" s="92">
        <f>'Historicals FS'!H75</f>
        <v>313.46300000000002</v>
      </c>
      <c r="K82" s="92">
        <f>'Historicals FS'!I75</f>
        <v>310.47699999999998</v>
      </c>
      <c r="L82">
        <f t="shared" ref="L82:P84" si="59">L219</f>
        <v>353.08965693082189</v>
      </c>
      <c r="M82">
        <f t="shared" si="59"/>
        <v>385.51422824334247</v>
      </c>
      <c r="N82">
        <f t="shared" si="59"/>
        <v>421.68154991932983</v>
      </c>
      <c r="O82">
        <f t="shared" si="59"/>
        <v>460.51840794393263</v>
      </c>
      <c r="P82">
        <f t="shared" si="59"/>
        <v>508.69696059703904</v>
      </c>
    </row>
    <row r="83" spans="3:16">
      <c r="D83" t="str">
        <f>'Historicals FS'!C76</f>
        <v>Prepaid Expenses</v>
      </c>
      <c r="E83" s="91" t="s">
        <v>240</v>
      </c>
      <c r="I83" s="92">
        <f>'Historicals FS'!G76</f>
        <v>0</v>
      </c>
      <c r="J83" s="92">
        <f>'Historicals FS'!H76</f>
        <v>0</v>
      </c>
      <c r="K83" s="92">
        <f>'Historicals FS'!I76</f>
        <v>0</v>
      </c>
      <c r="L83">
        <f t="shared" si="59"/>
        <v>0</v>
      </c>
      <c r="M83">
        <f t="shared" si="59"/>
        <v>0</v>
      </c>
      <c r="N83">
        <f t="shared" si="59"/>
        <v>0</v>
      </c>
      <c r="O83">
        <f t="shared" si="59"/>
        <v>0</v>
      </c>
      <c r="P83">
        <f t="shared" si="59"/>
        <v>0</v>
      </c>
    </row>
    <row r="84" spans="3:16">
      <c r="D84" t="str">
        <f>'Historicals FS'!C77</f>
        <v>Other</v>
      </c>
      <c r="E84" s="91" t="s">
        <v>240</v>
      </c>
      <c r="I84" s="92">
        <f>'Historicals FS'!G77</f>
        <v>59.481000000000002</v>
      </c>
      <c r="J84" s="92">
        <f>'Historicals FS'!H77</f>
        <v>50.960999999999999</v>
      </c>
      <c r="K84" s="92">
        <f>'Historicals FS'!I77</f>
        <v>10.632999999999999</v>
      </c>
      <c r="L84">
        <f t="shared" si="59"/>
        <v>49.850013410136981</v>
      </c>
      <c r="M84">
        <f t="shared" si="59"/>
        <v>54.427789289490413</v>
      </c>
      <c r="N84">
        <f t="shared" si="59"/>
        <v>59.533975310991295</v>
      </c>
      <c r="O84">
        <f t="shared" si="59"/>
        <v>65.017052640875647</v>
      </c>
      <c r="P84">
        <f t="shared" si="59"/>
        <v>71.819011997926125</v>
      </c>
    </row>
    <row r="85" spans="3:16" s="71" customFormat="1">
      <c r="D85" s="71" t="str">
        <f>'Historicals FS'!C78</f>
        <v>Total Current Assets</v>
      </c>
      <c r="E85" s="91" t="s">
        <v>240</v>
      </c>
      <c r="I85" s="101">
        <f t="shared" ref="I85:K85" si="60">SUM(I80:I84)</f>
        <v>365.0949999999998</v>
      </c>
      <c r="J85" s="101">
        <f t="shared" si="60"/>
        <v>417.15599999999995</v>
      </c>
      <c r="K85" s="101">
        <f t="shared" si="60"/>
        <v>378.27200000000011</v>
      </c>
      <c r="L85" s="71">
        <f t="shared" ref="L85" ca="1" si="61">SUM(L80:L84)</f>
        <v>412.71615633605956</v>
      </c>
      <c r="M85" s="71">
        <f t="shared" ref="M85" ca="1" si="62">SUM(M80:M84)</f>
        <v>450.88018429291049</v>
      </c>
      <c r="N85" s="71">
        <f t="shared" ref="N85" ca="1" si="63">SUM(N80:N84)</f>
        <v>666.07610210521761</v>
      </c>
      <c r="O85" s="71">
        <f t="shared" ref="O85" ca="1" si="64">SUM(O80:O84)</f>
        <v>998.83977130970698</v>
      </c>
      <c r="P85" s="71">
        <f t="shared" ref="P85" ca="1" si="65">SUM(P80:P84)</f>
        <v>1604.0249679492933</v>
      </c>
    </row>
    <row r="86" spans="3:16">
      <c r="E86" s="110"/>
    </row>
    <row r="87" spans="3:16">
      <c r="D87" t="str">
        <f>'Historicals FS'!C80</f>
        <v>Net PP&amp;E</v>
      </c>
      <c r="E87" s="91" t="s">
        <v>240</v>
      </c>
      <c r="I87" s="92">
        <f>'Historicals FS'!G80</f>
        <v>199.60199999999998</v>
      </c>
      <c r="J87" s="92">
        <f>'Historicals FS'!H80</f>
        <v>246.57099999999997</v>
      </c>
      <c r="K87" s="92">
        <f>'Historicals FS'!I80</f>
        <v>318.8780000000001</v>
      </c>
      <c r="L87">
        <f>K87-L55-L47</f>
        <v>338.69861471861481</v>
      </c>
      <c r="M87">
        <f t="shared" ref="M87:P87" si="66">L87-M55-M47</f>
        <v>346.37637229437235</v>
      </c>
      <c r="N87">
        <f t="shared" si="66"/>
        <v>361.91127272727277</v>
      </c>
      <c r="O87">
        <f t="shared" si="66"/>
        <v>384.82712554112561</v>
      </c>
      <c r="P87">
        <f t="shared" si="66"/>
        <v>414.64774025974032</v>
      </c>
    </row>
    <row r="88" spans="3:16">
      <c r="D88" t="str">
        <f>'Historicals FS'!C81</f>
        <v>Goodwill</v>
      </c>
      <c r="E88" s="91" t="s">
        <v>240</v>
      </c>
      <c r="I88" s="92">
        <f>'Historicals FS'!G81</f>
        <v>485.18799999999999</v>
      </c>
      <c r="J88" s="92">
        <f>'Historicals FS'!H81</f>
        <v>485.18799999999999</v>
      </c>
      <c r="K88" s="92">
        <f>'Historicals FS'!I81</f>
        <v>485.18799999999999</v>
      </c>
      <c r="L88">
        <f>K88+Assumptions!L134</f>
        <v>485.18799999999999</v>
      </c>
      <c r="M88">
        <f>L88+Assumptions!M134</f>
        <v>485.18799999999999</v>
      </c>
      <c r="N88">
        <f>M88+Assumptions!N134</f>
        <v>485.18799999999999</v>
      </c>
      <c r="O88">
        <f>N88+Assumptions!O134</f>
        <v>485.18799999999999</v>
      </c>
      <c r="P88">
        <f>O88+Assumptions!P134</f>
        <v>485.18799999999999</v>
      </c>
    </row>
    <row r="89" spans="3:16">
      <c r="D89" t="str">
        <f>'Historicals FS'!C82</f>
        <v>Intangibles</v>
      </c>
      <c r="E89" s="91" t="s">
        <v>240</v>
      </c>
      <c r="I89" s="92">
        <f>'Historicals FS'!G82</f>
        <v>89.384</v>
      </c>
      <c r="J89" s="92">
        <f>'Historicals FS'!H82</f>
        <v>91.289000000000001</v>
      </c>
      <c r="K89" s="92">
        <f>'Historicals FS'!I82</f>
        <v>93.01</v>
      </c>
      <c r="L89">
        <f>K89+Assumptions!L135</f>
        <v>93.01</v>
      </c>
      <c r="M89">
        <f>L89+Assumptions!M135</f>
        <v>93.01</v>
      </c>
      <c r="N89">
        <f>M89+Assumptions!N135</f>
        <v>93.01</v>
      </c>
      <c r="O89">
        <f>N89+Assumptions!O135</f>
        <v>93.01</v>
      </c>
      <c r="P89">
        <f>O89+Assumptions!P135</f>
        <v>93.01</v>
      </c>
    </row>
    <row r="90" spans="3:16">
      <c r="D90" t="str">
        <f>'Historicals FS'!C83</f>
        <v>Other</v>
      </c>
      <c r="E90" s="91" t="s">
        <v>240</v>
      </c>
      <c r="I90" s="92">
        <f>'Historicals FS'!G83</f>
        <v>0</v>
      </c>
      <c r="J90" s="92">
        <f>'Historicals FS'!H83</f>
        <v>0</v>
      </c>
      <c r="K90" s="92">
        <f>'Historicals FS'!I83</f>
        <v>0</v>
      </c>
      <c r="L90">
        <f>K90+Assumptions!L138</f>
        <v>0</v>
      </c>
      <c r="M90">
        <f>L90+Assumptions!M138</f>
        <v>0</v>
      </c>
      <c r="N90">
        <f>M90+Assumptions!N138</f>
        <v>0</v>
      </c>
      <c r="O90">
        <f>N90+Assumptions!O138</f>
        <v>0</v>
      </c>
      <c r="P90">
        <f>O90+Assumptions!P138</f>
        <v>0</v>
      </c>
    </row>
    <row r="91" spans="3:16" s="71" customFormat="1">
      <c r="D91" s="71" t="str">
        <f>'Historicals FS'!C84</f>
        <v>Total Long Term Assets</v>
      </c>
      <c r="E91" s="123" t="s">
        <v>240</v>
      </c>
      <c r="I91" s="101">
        <f>SUM(I87:I90)</f>
        <v>774.17399999999998</v>
      </c>
      <c r="J91" s="101">
        <f t="shared" ref="J91:P91" si="67">SUM(J87:J90)</f>
        <v>823.048</v>
      </c>
      <c r="K91" s="101">
        <f t="shared" si="67"/>
        <v>897.07600000000002</v>
      </c>
      <c r="L91" s="71">
        <f t="shared" si="67"/>
        <v>916.89661471861473</v>
      </c>
      <c r="M91" s="71">
        <f t="shared" si="67"/>
        <v>924.57437229437232</v>
      </c>
      <c r="N91" s="71">
        <f t="shared" si="67"/>
        <v>940.10927272727281</v>
      </c>
      <c r="O91" s="71">
        <f t="shared" si="67"/>
        <v>963.02512554112559</v>
      </c>
      <c r="P91" s="71">
        <f t="shared" si="67"/>
        <v>992.8457402597403</v>
      </c>
    </row>
    <row r="92" spans="3:16">
      <c r="E92" s="110"/>
    </row>
    <row r="93" spans="3:16" s="71" customFormat="1">
      <c r="D93" s="71" t="str">
        <f>'Historicals FS'!C86</f>
        <v>Total Assets</v>
      </c>
      <c r="E93" s="91" t="s">
        <v>240</v>
      </c>
      <c r="I93" s="101">
        <f>I85+I91</f>
        <v>1139.2689999999998</v>
      </c>
      <c r="J93" s="101">
        <f t="shared" ref="J93:P93" si="68">J85+J91</f>
        <v>1240.204</v>
      </c>
      <c r="K93" s="101">
        <f t="shared" si="68"/>
        <v>1275.3480000000002</v>
      </c>
      <c r="L93" s="71">
        <f t="shared" ca="1" si="68"/>
        <v>1329.6127710546743</v>
      </c>
      <c r="M93" s="71">
        <f t="shared" ca="1" si="68"/>
        <v>1375.4545565872827</v>
      </c>
      <c r="N93" s="71">
        <f t="shared" ca="1" si="68"/>
        <v>1606.1853748324904</v>
      </c>
      <c r="O93" s="71">
        <f t="shared" ca="1" si="68"/>
        <v>1961.8648968508326</v>
      </c>
      <c r="P93" s="71">
        <f t="shared" ca="1" si="68"/>
        <v>2596.8707082090336</v>
      </c>
    </row>
    <row r="94" spans="3:16">
      <c r="E94" s="110"/>
    </row>
    <row r="95" spans="3:16">
      <c r="E95" s="110"/>
    </row>
    <row r="96" spans="3:16">
      <c r="C96" t="str">
        <f>'Historicals FS'!B88</f>
        <v>LIABILITIES AND EQUITY</v>
      </c>
      <c r="E96" s="110"/>
    </row>
    <row r="97" spans="4:16">
      <c r="D97" t="str">
        <f>'Historicals FS'!C89</f>
        <v>Bank Debt - Revolver</v>
      </c>
      <c r="E97" s="91" t="s">
        <v>240</v>
      </c>
      <c r="I97" s="92">
        <f>'Historicals FS'!G89</f>
        <v>10</v>
      </c>
      <c r="J97" s="92">
        <f>'Historicals FS'!H89</f>
        <v>0</v>
      </c>
      <c r="K97" s="92">
        <f>'Historicals FS'!I89</f>
        <v>0</v>
      </c>
      <c r="L97">
        <f ca="1">L303</f>
        <v>42.48324994685256</v>
      </c>
      <c r="M97">
        <f t="shared" ref="M97:P97" ca="1" si="69">M303</f>
        <v>12.813854287598524</v>
      </c>
      <c r="N97">
        <f t="shared" ca="1" si="69"/>
        <v>0</v>
      </c>
      <c r="O97">
        <f t="shared" ca="1" si="69"/>
        <v>0</v>
      </c>
      <c r="P97">
        <f t="shared" ca="1" si="69"/>
        <v>0</v>
      </c>
    </row>
    <row r="98" spans="4:16">
      <c r="D98" t="str">
        <f>'Historicals FS'!C90</f>
        <v>Accounts Payable</v>
      </c>
      <c r="E98" s="91" t="s">
        <v>240</v>
      </c>
      <c r="I98" s="92">
        <f>'Historicals FS'!G90</f>
        <v>117.15900000000001</v>
      </c>
      <c r="J98" s="92">
        <f>'Historicals FS'!H90</f>
        <v>110.78100000000001</v>
      </c>
      <c r="K98" s="92">
        <f>'Historicals FS'!I90</f>
        <v>132.32400000000001</v>
      </c>
      <c r="L98">
        <f>L223</f>
        <v>141.8597765950685</v>
      </c>
      <c r="M98">
        <f t="shared" ref="M98:P98" si="70">M223</f>
        <v>154.88689974154522</v>
      </c>
      <c r="N98">
        <f t="shared" si="70"/>
        <v>169.41773651992969</v>
      </c>
      <c r="O98">
        <f t="shared" si="70"/>
        <v>185.02110494174656</v>
      </c>
      <c r="P98">
        <f t="shared" si="70"/>
        <v>204.37765810575632</v>
      </c>
    </row>
    <row r="99" spans="4:16">
      <c r="D99" t="str">
        <f>'Historicals FS'!C91</f>
        <v>Other</v>
      </c>
      <c r="E99" s="91" t="s">
        <v>240</v>
      </c>
      <c r="I99" s="92">
        <f>'Historicals FS'!G91</f>
        <v>23.596</v>
      </c>
      <c r="J99" s="92">
        <f>'Historicals FS'!H91</f>
        <v>38.209000000000003</v>
      </c>
      <c r="K99" s="92">
        <f>'Historicals FS'!I91</f>
        <v>24.181999999999999</v>
      </c>
      <c r="L99">
        <f>L224</f>
        <v>33.999798205479451</v>
      </c>
      <c r="M99">
        <f t="shared" ref="M99:P99" si="71">M224</f>
        <v>37.122033195616439</v>
      </c>
      <c r="N99">
        <f t="shared" si="71"/>
        <v>40.604666046731509</v>
      </c>
      <c r="O99">
        <f t="shared" si="71"/>
        <v>44.344354564512294</v>
      </c>
      <c r="P99">
        <f t="shared" si="71"/>
        <v>48.983575895083916</v>
      </c>
    </row>
    <row r="100" spans="4:16" s="71" customFormat="1">
      <c r="D100" s="71" t="str">
        <f>'Historicals FS'!C92</f>
        <v>Total Current Liabilities</v>
      </c>
      <c r="E100" s="91" t="s">
        <v>240</v>
      </c>
      <c r="I100" s="101">
        <f t="shared" ref="I100:K100" si="72">SUM(I97:I99)</f>
        <v>150.755</v>
      </c>
      <c r="J100" s="101">
        <f t="shared" si="72"/>
        <v>148.99</v>
      </c>
      <c r="K100" s="101">
        <f t="shared" si="72"/>
        <v>156.506</v>
      </c>
      <c r="L100" s="71">
        <f t="shared" ref="L100" ca="1" si="73">SUM(L97:L99)</f>
        <v>218.34282474740053</v>
      </c>
      <c r="M100" s="71">
        <f t="shared" ref="M100" ca="1" si="74">SUM(M97:M99)</f>
        <v>204.82278722476019</v>
      </c>
      <c r="N100" s="71">
        <f t="shared" ref="N100" ca="1" si="75">SUM(N97:N99)</f>
        <v>210.02240256666119</v>
      </c>
      <c r="O100" s="71">
        <f t="shared" ref="O100" ca="1" si="76">SUM(O97:O99)</f>
        <v>229.36545950625884</v>
      </c>
      <c r="P100" s="71">
        <f t="shared" ref="P100" ca="1" si="77">SUM(P97:P99)</f>
        <v>253.36123400084023</v>
      </c>
    </row>
    <row r="101" spans="4:16">
      <c r="E101" s="110"/>
    </row>
    <row r="102" spans="4:16">
      <c r="D102" t="str">
        <f>'Historicals FS'!C94</f>
        <v>Variable Rate Long Term Debt</v>
      </c>
      <c r="E102" s="91" t="s">
        <v>240</v>
      </c>
      <c r="I102" s="92">
        <f>'Historicals FS'!G94</f>
        <v>100</v>
      </c>
      <c r="J102" s="92">
        <f>'Historicals FS'!H94</f>
        <v>185.584</v>
      </c>
      <c r="K102" s="92">
        <f>'Historicals FS'!I94</f>
        <v>183.22300000000001</v>
      </c>
      <c r="L102">
        <f>L280</f>
        <v>93.223000000000013</v>
      </c>
      <c r="M102">
        <f t="shared" ref="M102:P102" si="78">M280</f>
        <v>3.2230000000000132</v>
      </c>
      <c r="N102">
        <f t="shared" si="78"/>
        <v>0</v>
      </c>
      <c r="O102">
        <f t="shared" si="78"/>
        <v>0</v>
      </c>
      <c r="P102">
        <f t="shared" si="78"/>
        <v>0</v>
      </c>
    </row>
    <row r="103" spans="4:16">
      <c r="D103" t="str">
        <f>'Historicals FS'!C95</f>
        <v>Fixed Rate Long Term Debt</v>
      </c>
      <c r="E103" s="91" t="s">
        <v>240</v>
      </c>
      <c r="I103" s="92">
        <f>'Historicals FS'!G95</f>
        <v>260.45999999999964</v>
      </c>
      <c r="J103" s="92">
        <f>'Historicals FS'!H95</f>
        <v>422.82899999999995</v>
      </c>
      <c r="K103" s="92">
        <f>'Historicals FS'!I95</f>
        <v>704.05500000000006</v>
      </c>
      <c r="L103">
        <f>L273</f>
        <v>524.05500000000006</v>
      </c>
      <c r="M103">
        <f>M273</f>
        <v>344.05500000000006</v>
      </c>
      <c r="N103">
        <f>N273</f>
        <v>164.05500000000006</v>
      </c>
      <c r="O103">
        <f>O273</f>
        <v>0</v>
      </c>
      <c r="P103">
        <f>P273</f>
        <v>0</v>
      </c>
    </row>
    <row r="104" spans="4:16">
      <c r="D104" t="str">
        <f>'Historicals FS'!C96</f>
        <v>Deferred Income Taxes</v>
      </c>
      <c r="E104" s="91" t="s">
        <v>240</v>
      </c>
      <c r="I104" s="92">
        <f>'Historicals FS'!G96</f>
        <v>93.040000000000063</v>
      </c>
      <c r="J104" s="92">
        <f>'Historicals FS'!H96</f>
        <v>123.81100000000001</v>
      </c>
      <c r="K104" s="92">
        <f>'Historicals FS'!I96</f>
        <v>110.15700000000017</v>
      </c>
      <c r="L104">
        <f>K104+L48</f>
        <v>124.15700000000017</v>
      </c>
      <c r="M104">
        <f t="shared" ref="M104:P104" si="79">L104+M48</f>
        <v>138.15700000000015</v>
      </c>
      <c r="N104">
        <f t="shared" si="79"/>
        <v>152.15700000000015</v>
      </c>
      <c r="O104">
        <f t="shared" si="79"/>
        <v>166.15700000000015</v>
      </c>
      <c r="P104">
        <f t="shared" si="79"/>
        <v>180.15700000000015</v>
      </c>
    </row>
    <row r="105" spans="4:16">
      <c r="D105" t="str">
        <f>'Historicals FS'!C97</f>
        <v>Other</v>
      </c>
      <c r="E105" s="91" t="s">
        <v>240</v>
      </c>
      <c r="I105" s="92">
        <f>'Historicals FS'!G97</f>
        <v>41.360999999999997</v>
      </c>
      <c r="J105" s="92">
        <f>'Historicals FS'!H97</f>
        <v>47.755000000000003</v>
      </c>
      <c r="K105" s="92">
        <f>'Historicals FS'!I97</f>
        <v>54.551000000000002</v>
      </c>
      <c r="L105">
        <f>K105+Assumptions!L139</f>
        <v>54.551000000000002</v>
      </c>
      <c r="M105">
        <f>L105+Assumptions!M139</f>
        <v>54.551000000000002</v>
      </c>
      <c r="N105">
        <f>M105+Assumptions!N139</f>
        <v>54.551000000000002</v>
      </c>
      <c r="O105">
        <f>N105+Assumptions!O139</f>
        <v>54.551000000000002</v>
      </c>
      <c r="P105">
        <f>O105+Assumptions!P139</f>
        <v>54.551000000000002</v>
      </c>
    </row>
    <row r="106" spans="4:16" s="71" customFormat="1">
      <c r="D106" s="71" t="str">
        <f>'Historicals FS'!C98</f>
        <v>Total Long Term Liabilities</v>
      </c>
      <c r="E106" s="91" t="s">
        <v>240</v>
      </c>
      <c r="I106" s="101">
        <f>SUM(I102:I105)</f>
        <v>494.86099999999971</v>
      </c>
      <c r="J106" s="101">
        <f t="shared" ref="J106:K106" si="80">SUM(J102:J105)</f>
        <v>779.97900000000004</v>
      </c>
      <c r="K106" s="101">
        <f t="shared" si="80"/>
        <v>1051.9860000000001</v>
      </c>
      <c r="L106" s="71">
        <f>SUM(L102:L105)</f>
        <v>795.98600000000022</v>
      </c>
      <c r="M106" s="71">
        <f t="shared" ref="M106:P106" si="81">SUM(M102:M105)</f>
        <v>539.98600000000022</v>
      </c>
      <c r="N106" s="71">
        <f t="shared" si="81"/>
        <v>370.7630000000002</v>
      </c>
      <c r="O106" s="71">
        <f t="shared" si="81"/>
        <v>220.70800000000014</v>
      </c>
      <c r="P106" s="71">
        <f t="shared" si="81"/>
        <v>234.70800000000014</v>
      </c>
    </row>
    <row r="107" spans="4:16">
      <c r="E107" s="110"/>
    </row>
    <row r="108" spans="4:16" s="71" customFormat="1">
      <c r="D108" s="71" t="str">
        <f>'Historicals FS'!C100</f>
        <v>Total Liabilities</v>
      </c>
      <c r="E108" s="91" t="s">
        <v>240</v>
      </c>
      <c r="I108" s="101">
        <f>I100+I106</f>
        <v>645.61599999999976</v>
      </c>
      <c r="J108" s="101">
        <f t="shared" ref="J108:P108" si="82">J100+J106</f>
        <v>928.96900000000005</v>
      </c>
      <c r="K108" s="101">
        <f t="shared" si="82"/>
        <v>1208.4920000000002</v>
      </c>
      <c r="L108" s="71">
        <f t="shared" ca="1" si="82"/>
        <v>1014.3288247474007</v>
      </c>
      <c r="M108" s="71">
        <f t="shared" ca="1" si="82"/>
        <v>744.80878722476041</v>
      </c>
      <c r="N108" s="71">
        <f t="shared" ca="1" si="82"/>
        <v>580.78540256666133</v>
      </c>
      <c r="O108" s="71">
        <f t="shared" ca="1" si="82"/>
        <v>450.07345950625898</v>
      </c>
      <c r="P108" s="71">
        <f t="shared" ca="1" si="82"/>
        <v>488.06923400084037</v>
      </c>
    </row>
    <row r="109" spans="4:16">
      <c r="E109" s="110"/>
    </row>
    <row r="110" spans="4:16">
      <c r="D110" t="str">
        <f>'Historicals FS'!C102</f>
        <v>Preference Shares</v>
      </c>
      <c r="E110" s="91" t="s">
        <v>240</v>
      </c>
      <c r="I110" s="92">
        <f>'Historicals FS'!G102</f>
        <v>0</v>
      </c>
      <c r="J110" s="92">
        <f>'Historicals FS'!H102</f>
        <v>0</v>
      </c>
      <c r="K110" s="92">
        <f>'Historicals FS'!I102</f>
        <v>0</v>
      </c>
      <c r="L110">
        <f>L249</f>
        <v>40</v>
      </c>
      <c r="M110">
        <f t="shared" ref="M110:P110" si="83">M249</f>
        <v>80</v>
      </c>
      <c r="N110">
        <f t="shared" si="83"/>
        <v>120</v>
      </c>
      <c r="O110">
        <f t="shared" si="83"/>
        <v>160</v>
      </c>
      <c r="P110">
        <f t="shared" si="83"/>
        <v>200</v>
      </c>
    </row>
    <row r="111" spans="4:16">
      <c r="D111" t="str">
        <f>'Historicals FS'!C103</f>
        <v>Common Shares</v>
      </c>
      <c r="E111" s="91" t="s">
        <v>240</v>
      </c>
      <c r="I111" s="92">
        <f>'Historicals FS'!G103</f>
        <v>308.48899999999998</v>
      </c>
      <c r="J111" s="92">
        <f>'Historicals FS'!H103</f>
        <v>292.86399999999998</v>
      </c>
      <c r="K111" s="92">
        <f>'Historicals FS'!I103</f>
        <v>280.17700000000002</v>
      </c>
      <c r="L111">
        <f>L242</f>
        <v>260.17700000000002</v>
      </c>
      <c r="M111">
        <f t="shared" ref="M111:P111" si="84">M242</f>
        <v>240.17700000000002</v>
      </c>
      <c r="N111">
        <f t="shared" si="84"/>
        <v>220.17700000000002</v>
      </c>
      <c r="O111">
        <f t="shared" si="84"/>
        <v>200.17700000000002</v>
      </c>
      <c r="P111">
        <f t="shared" si="84"/>
        <v>180.17700000000002</v>
      </c>
    </row>
    <row r="112" spans="4:16">
      <c r="D112" t="str">
        <f>'Historicals FS'!C104</f>
        <v>Retained Earnings</v>
      </c>
      <c r="E112" s="91" t="s">
        <v>240</v>
      </c>
      <c r="I112" s="92">
        <f>'Historicals FS'!G104</f>
        <v>130.74100000000001</v>
      </c>
      <c r="J112" s="92">
        <f>'Historicals FS'!H104</f>
        <v>-41.582999999999998</v>
      </c>
      <c r="K112" s="92">
        <f>'Historicals FS'!I104</f>
        <v>-228.63800000000001</v>
      </c>
      <c r="L112">
        <f ca="1">L258</f>
        <v>-0.21005369272633345</v>
      </c>
      <c r="M112">
        <f t="shared" ref="M112:P112" ca="1" si="85">M258</f>
        <v>295.15176936252254</v>
      </c>
      <c r="N112">
        <f t="shared" ca="1" si="85"/>
        <v>669.90597226582918</v>
      </c>
      <c r="O112">
        <f t="shared" ca="1" si="85"/>
        <v>1136.2974373445736</v>
      </c>
      <c r="P112">
        <f t="shared" ca="1" si="85"/>
        <v>1713.3074742081933</v>
      </c>
    </row>
    <row r="113" spans="1:16">
      <c r="D113" t="str">
        <f>'Historicals FS'!C105</f>
        <v>Other</v>
      </c>
      <c r="E113" s="91" t="s">
        <v>240</v>
      </c>
      <c r="I113" s="92">
        <f>'Historicals FS'!G105</f>
        <v>54.423000000000002</v>
      </c>
      <c r="J113" s="92">
        <f>'Historicals FS'!H105</f>
        <v>59.954000000000001</v>
      </c>
      <c r="K113" s="92">
        <f>'Historicals FS'!I105</f>
        <v>15.317</v>
      </c>
      <c r="L113">
        <f>K113+Assumptions!L136</f>
        <v>15.317</v>
      </c>
      <c r="M113">
        <f>L113+Assumptions!M136</f>
        <v>15.317</v>
      </c>
      <c r="N113">
        <f>M113+Assumptions!N136</f>
        <v>15.317</v>
      </c>
      <c r="O113">
        <f>N113+Assumptions!O136</f>
        <v>15.317</v>
      </c>
      <c r="P113">
        <f>O113+Assumptions!P136</f>
        <v>15.317</v>
      </c>
    </row>
    <row r="114" spans="1:16" s="71" customFormat="1">
      <c r="D114" s="71" t="str">
        <f>'Historicals FS'!C106</f>
        <v>Shareholder's Equity</v>
      </c>
      <c r="E114" s="91" t="s">
        <v>240</v>
      </c>
      <c r="I114" s="101">
        <f>SUM(I110:I113)</f>
        <v>493.65300000000002</v>
      </c>
      <c r="J114" s="101">
        <f t="shared" ref="J114:K114" si="86">SUM(J110:J113)</f>
        <v>311.23499999999996</v>
      </c>
      <c r="K114" s="101">
        <f t="shared" si="86"/>
        <v>66.856000000000023</v>
      </c>
      <c r="L114" s="71">
        <f ca="1">SUM(L110:L113)</f>
        <v>315.28394630727371</v>
      </c>
      <c r="M114" s="71">
        <f t="shared" ref="M114:P114" ca="1" si="87">SUM(M110:M113)</f>
        <v>630.64576936252251</v>
      </c>
      <c r="N114" s="71">
        <f t="shared" ca="1" si="87"/>
        <v>1025.3999722658291</v>
      </c>
      <c r="O114" s="71">
        <f t="shared" ca="1" si="87"/>
        <v>1511.7914373445738</v>
      </c>
      <c r="P114" s="71">
        <f t="shared" ca="1" si="87"/>
        <v>2108.8014742081932</v>
      </c>
    </row>
    <row r="115" spans="1:16">
      <c r="E115" s="110"/>
    </row>
    <row r="116" spans="1:16">
      <c r="C116" s="71" t="str">
        <f>'Historicals FS'!B108</f>
        <v>Total Liabilities and Equity</v>
      </c>
      <c r="E116" s="110"/>
      <c r="I116" s="92">
        <f>I108+I114</f>
        <v>1139.2689999999998</v>
      </c>
      <c r="J116" s="92">
        <f t="shared" ref="J116:P116" si="88">J108+J114</f>
        <v>1240.204</v>
      </c>
      <c r="K116" s="92">
        <f t="shared" si="88"/>
        <v>1275.3480000000002</v>
      </c>
      <c r="L116">
        <f t="shared" ca="1" si="88"/>
        <v>1329.6127710546743</v>
      </c>
      <c r="M116">
        <f t="shared" ca="1" si="88"/>
        <v>1375.4545565872829</v>
      </c>
      <c r="N116">
        <f t="shared" ca="1" si="88"/>
        <v>1606.1853748324904</v>
      </c>
      <c r="O116">
        <f t="shared" ca="1" si="88"/>
        <v>1961.8648968508328</v>
      </c>
      <c r="P116">
        <f t="shared" ca="1" si="88"/>
        <v>2596.8707082090336</v>
      </c>
    </row>
    <row r="118" spans="1:16">
      <c r="D118" t="s">
        <v>123</v>
      </c>
      <c r="F118">
        <f ca="1">ROUND(SUM(I118:P118),4)</f>
        <v>0</v>
      </c>
      <c r="I118" s="92">
        <f>I116-I93</f>
        <v>0</v>
      </c>
      <c r="J118" s="92">
        <f>J116-J93</f>
        <v>0</v>
      </c>
      <c r="K118" s="92">
        <f t="shared" ref="K118:P118" si="89">K116-K93</f>
        <v>0</v>
      </c>
      <c r="L118">
        <f t="shared" ca="1" si="89"/>
        <v>0</v>
      </c>
      <c r="M118">
        <f t="shared" ca="1" si="89"/>
        <v>0</v>
      </c>
      <c r="N118">
        <f t="shared" ca="1" si="89"/>
        <v>0</v>
      </c>
      <c r="O118">
        <f t="shared" ca="1" si="89"/>
        <v>0</v>
      </c>
      <c r="P118">
        <f t="shared" ca="1" si="89"/>
        <v>0</v>
      </c>
    </row>
    <row r="121" spans="1:16" ht="13.25" thickBot="1">
      <c r="A121" s="81" t="s">
        <v>124</v>
      </c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</row>
    <row r="122" spans="1:16" ht="13.25" thickTop="1"/>
    <row r="123" spans="1:16" ht="13.25" thickBot="1">
      <c r="B123" s="78" t="s">
        <v>125</v>
      </c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</row>
    <row r="125" spans="1:16">
      <c r="D125" t="s">
        <v>207</v>
      </c>
      <c r="E125" s="91" t="s">
        <v>84</v>
      </c>
      <c r="L125" s="93">
        <f>Assumptions!L39</f>
        <v>0.03</v>
      </c>
      <c r="M125" s="93">
        <f>Assumptions!M39</f>
        <v>0.03</v>
      </c>
      <c r="N125" s="93">
        <f>Assumptions!N39</f>
        <v>0.03</v>
      </c>
      <c r="O125" s="93">
        <f>Assumptions!O39</f>
        <v>0.03</v>
      </c>
      <c r="P125" s="93">
        <f>Assumptions!P39</f>
        <v>0.03</v>
      </c>
    </row>
    <row r="126" spans="1:16">
      <c r="D126" t="s">
        <v>208</v>
      </c>
      <c r="E126" s="91" t="s">
        <v>129</v>
      </c>
      <c r="L126" s="92">
        <f>Assumptions!L41</f>
        <v>30</v>
      </c>
      <c r="M126" s="92">
        <f>Assumptions!M41</f>
        <v>50</v>
      </c>
      <c r="N126" s="92">
        <f>Assumptions!N41</f>
        <v>55</v>
      </c>
      <c r="O126" s="92">
        <f>Assumptions!O41</f>
        <v>60</v>
      </c>
      <c r="P126" s="92">
        <f>Assumptions!P41</f>
        <v>70</v>
      </c>
    </row>
    <row r="127" spans="1:16">
      <c r="E127" s="91"/>
    </row>
    <row r="128" spans="1:16">
      <c r="C128" s="80" t="s">
        <v>127</v>
      </c>
      <c r="E128" s="91"/>
    </row>
    <row r="129" spans="3:16">
      <c r="E129" s="91"/>
    </row>
    <row r="130" spans="3:16">
      <c r="D130" t="s">
        <v>209</v>
      </c>
      <c r="E130" s="91" t="s">
        <v>242</v>
      </c>
      <c r="K130" s="92">
        <f>Assumptions!K37</f>
        <v>352.06147934678194</v>
      </c>
      <c r="L130">
        <f>K130*(1+L125)</f>
        <v>362.62332372718538</v>
      </c>
      <c r="M130">
        <f t="shared" ref="M130:P130" si="90">L130*(1+M125)</f>
        <v>373.50202343900094</v>
      </c>
      <c r="N130">
        <f t="shared" si="90"/>
        <v>384.70708414217097</v>
      </c>
      <c r="O130">
        <f t="shared" si="90"/>
        <v>396.24829666643609</v>
      </c>
      <c r="P130">
        <f t="shared" si="90"/>
        <v>408.13574556642919</v>
      </c>
    </row>
    <row r="131" spans="3:16">
      <c r="E131" s="91"/>
    </row>
    <row r="132" spans="3:16">
      <c r="C132" s="80" t="s">
        <v>126</v>
      </c>
      <c r="E132" s="91"/>
    </row>
    <row r="133" spans="3:16">
      <c r="E133" s="91"/>
    </row>
    <row r="134" spans="3:16">
      <c r="D134" t="s">
        <v>197</v>
      </c>
      <c r="E134" s="91" t="s">
        <v>70</v>
      </c>
      <c r="L134">
        <f>L126</f>
        <v>30</v>
      </c>
      <c r="M134">
        <f t="shared" ref="M134:P134" si="91">M126</f>
        <v>50</v>
      </c>
      <c r="N134">
        <f t="shared" si="91"/>
        <v>55</v>
      </c>
      <c r="O134">
        <f t="shared" si="91"/>
        <v>60</v>
      </c>
      <c r="P134">
        <f t="shared" si="91"/>
        <v>70</v>
      </c>
    </row>
    <row r="135" spans="3:16">
      <c r="D135" t="s">
        <v>210</v>
      </c>
      <c r="E135" s="91" t="s">
        <v>70</v>
      </c>
      <c r="K135" s="92">
        <f>Assumptions!K31</f>
        <v>510</v>
      </c>
      <c r="L135">
        <f>K135+L134</f>
        <v>540</v>
      </c>
      <c r="M135">
        <f t="shared" ref="M135:P135" si="92">L135+M134</f>
        <v>590</v>
      </c>
      <c r="N135">
        <f t="shared" si="92"/>
        <v>645</v>
      </c>
      <c r="O135">
        <f t="shared" si="92"/>
        <v>705</v>
      </c>
      <c r="P135">
        <f t="shared" si="92"/>
        <v>775</v>
      </c>
    </row>
    <row r="136" spans="3:16">
      <c r="D136" t="s">
        <v>211</v>
      </c>
      <c r="E136" s="91" t="s">
        <v>190</v>
      </c>
      <c r="K136" s="92">
        <f>Assumptions!K33</f>
        <v>10205.882352941177</v>
      </c>
      <c r="L136">
        <f>$K$136</f>
        <v>10205.882352941177</v>
      </c>
      <c r="M136">
        <f t="shared" ref="M136:P136" si="93">$K$136</f>
        <v>10205.882352941177</v>
      </c>
      <c r="N136">
        <f t="shared" si="93"/>
        <v>10205.882352941177</v>
      </c>
      <c r="O136">
        <f t="shared" si="93"/>
        <v>10205.882352941177</v>
      </c>
      <c r="P136">
        <f t="shared" si="93"/>
        <v>10205.882352941177</v>
      </c>
    </row>
    <row r="137" spans="3:16">
      <c r="E137" s="91"/>
    </row>
    <row r="138" spans="3:16">
      <c r="D138" t="s">
        <v>212</v>
      </c>
      <c r="E138" s="91" t="s">
        <v>190</v>
      </c>
      <c r="K138">
        <f>K136*K135</f>
        <v>5205000</v>
      </c>
      <c r="L138">
        <f t="shared" ref="L138:P138" si="94">L136*L135</f>
        <v>5511176.4705882352</v>
      </c>
      <c r="M138">
        <f t="shared" si="94"/>
        <v>6021470.5882352944</v>
      </c>
      <c r="N138">
        <f t="shared" si="94"/>
        <v>6582794.1176470593</v>
      </c>
      <c r="O138">
        <f t="shared" si="94"/>
        <v>7195147.0588235296</v>
      </c>
      <c r="P138">
        <f t="shared" si="94"/>
        <v>7909558.823529412</v>
      </c>
    </row>
    <row r="139" spans="3:16">
      <c r="E139" s="91"/>
    </row>
    <row r="140" spans="3:16">
      <c r="C140" t="s">
        <v>193</v>
      </c>
      <c r="E140" s="91" t="s">
        <v>240</v>
      </c>
      <c r="K140">
        <f>Assumptions!K35</f>
        <v>143</v>
      </c>
      <c r="L140">
        <f>K140*(1+L125)</f>
        <v>147.29</v>
      </c>
      <c r="M140">
        <f t="shared" ref="M140:P140" si="95">L140*(1+M125)</f>
        <v>151.70869999999999</v>
      </c>
      <c r="N140">
        <f t="shared" si="95"/>
        <v>156.259961</v>
      </c>
      <c r="O140">
        <f t="shared" si="95"/>
        <v>160.94775983</v>
      </c>
      <c r="P140">
        <f t="shared" si="95"/>
        <v>165.77619262490001</v>
      </c>
    </row>
    <row r="141" spans="3:16">
      <c r="E141" s="91"/>
    </row>
    <row r="142" spans="3:16">
      <c r="C142" s="80" t="s">
        <v>128</v>
      </c>
      <c r="E142" s="91"/>
    </row>
    <row r="143" spans="3:16">
      <c r="E143" s="91"/>
    </row>
    <row r="144" spans="3:16">
      <c r="D144" s="102" t="s">
        <v>194</v>
      </c>
      <c r="E144" s="111" t="s">
        <v>240</v>
      </c>
      <c r="F144" s="103"/>
      <c r="G144" s="103"/>
      <c r="H144" s="103"/>
      <c r="I144" s="103"/>
      <c r="J144" s="103"/>
      <c r="K144" s="103">
        <f t="shared" ref="K144:P144" si="96">K130*K138/million</f>
        <v>1832.48</v>
      </c>
      <c r="L144" s="103">
        <f t="shared" si="96"/>
        <v>1998.4811294117646</v>
      </c>
      <c r="M144" s="103">
        <f t="shared" si="96"/>
        <v>2249.0314487843139</v>
      </c>
      <c r="N144" s="103">
        <f t="shared" si="96"/>
        <v>2532.4475305082356</v>
      </c>
      <c r="O144" s="103">
        <f t="shared" si="96"/>
        <v>2851.0647663233408</v>
      </c>
      <c r="P144" s="104">
        <f t="shared" si="96"/>
        <v>3228.173687542705</v>
      </c>
    </row>
    <row r="145" spans="2:16">
      <c r="D145" s="105" t="s">
        <v>193</v>
      </c>
      <c r="E145" s="112" t="s">
        <v>240</v>
      </c>
      <c r="F145" s="106"/>
      <c r="G145" s="106"/>
      <c r="H145" s="106"/>
      <c r="I145" s="106"/>
      <c r="J145" s="106"/>
      <c r="K145" s="106">
        <f>K140</f>
        <v>143</v>
      </c>
      <c r="L145" s="106">
        <f t="shared" ref="L145:P145" si="97">L140</f>
        <v>147.29</v>
      </c>
      <c r="M145" s="106">
        <f t="shared" si="97"/>
        <v>151.70869999999999</v>
      </c>
      <c r="N145" s="106">
        <f t="shared" si="97"/>
        <v>156.259961</v>
      </c>
      <c r="O145" s="106">
        <f t="shared" si="97"/>
        <v>160.94775983</v>
      </c>
      <c r="P145" s="107">
        <f t="shared" si="97"/>
        <v>165.77619262490001</v>
      </c>
    </row>
    <row r="146" spans="2:16">
      <c r="D146" s="148" t="s">
        <v>49</v>
      </c>
      <c r="E146" s="149" t="s">
        <v>240</v>
      </c>
      <c r="F146" s="150"/>
      <c r="G146" s="150"/>
      <c r="H146" s="150"/>
      <c r="I146" s="150"/>
      <c r="J146" s="150"/>
      <c r="K146" s="150">
        <f>SUM(K144:K145)</f>
        <v>1975.48</v>
      </c>
      <c r="L146" s="150">
        <f t="shared" ref="L146:P146" si="98">SUM(L144:L145)</f>
        <v>2145.7711294117648</v>
      </c>
      <c r="M146" s="150">
        <f t="shared" si="98"/>
        <v>2400.740148784314</v>
      </c>
      <c r="N146" s="150">
        <f t="shared" si="98"/>
        <v>2688.7074915082358</v>
      </c>
      <c r="O146" s="150">
        <f t="shared" si="98"/>
        <v>3012.0125261533408</v>
      </c>
      <c r="P146" s="151">
        <f t="shared" si="98"/>
        <v>3393.949880167605</v>
      </c>
    </row>
    <row r="149" spans="2:16" ht="13.25" thickBot="1">
      <c r="B149" s="78" t="s">
        <v>130</v>
      </c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</row>
    <row r="151" spans="2:16">
      <c r="D151" t="s">
        <v>216</v>
      </c>
      <c r="E151" s="91" t="s">
        <v>70</v>
      </c>
      <c r="L151" s="92">
        <f>L135</f>
        <v>540</v>
      </c>
      <c r="M151" s="92">
        <f t="shared" ref="M151:P151" si="99">M135</f>
        <v>590</v>
      </c>
      <c r="N151" s="92">
        <f t="shared" si="99"/>
        <v>645</v>
      </c>
      <c r="O151" s="92">
        <f t="shared" si="99"/>
        <v>705</v>
      </c>
      <c r="P151" s="92">
        <f t="shared" si="99"/>
        <v>775</v>
      </c>
    </row>
    <row r="152" spans="2:16">
      <c r="D152" t="s">
        <v>115</v>
      </c>
      <c r="E152" s="91" t="s">
        <v>84</v>
      </c>
      <c r="L152" s="93">
        <f>Assumptions!L54</f>
        <v>0.02</v>
      </c>
      <c r="M152" s="93">
        <f>Assumptions!M54</f>
        <v>0.02</v>
      </c>
      <c r="N152" s="93">
        <f>Assumptions!N54</f>
        <v>0.02</v>
      </c>
      <c r="O152" s="93">
        <f>Assumptions!O54</f>
        <v>0.02</v>
      </c>
      <c r="P152" s="93">
        <f>Assumptions!P54</f>
        <v>0.02</v>
      </c>
    </row>
    <row r="153" spans="2:16">
      <c r="E153" s="91"/>
    </row>
    <row r="154" spans="2:16">
      <c r="B154" s="71" t="s">
        <v>133</v>
      </c>
      <c r="E154" s="91"/>
    </row>
    <row r="155" spans="2:16">
      <c r="D155" t="s">
        <v>216</v>
      </c>
      <c r="E155" s="91" t="s">
        <v>129</v>
      </c>
      <c r="K155" s="92">
        <f>K135</f>
        <v>510</v>
      </c>
      <c r="L155">
        <f>L151</f>
        <v>540</v>
      </c>
      <c r="M155">
        <f t="shared" ref="M155:P155" si="100">M151</f>
        <v>590</v>
      </c>
      <c r="N155">
        <f t="shared" si="100"/>
        <v>645</v>
      </c>
      <c r="O155">
        <f t="shared" si="100"/>
        <v>705</v>
      </c>
      <c r="P155">
        <f t="shared" si="100"/>
        <v>775</v>
      </c>
    </row>
    <row r="156" spans="2:16">
      <c r="D156" t="s">
        <v>198</v>
      </c>
      <c r="E156" s="91" t="s">
        <v>240</v>
      </c>
      <c r="K156" s="92">
        <f>Assumptions!K49</f>
        <v>1.7666029411764705</v>
      </c>
      <c r="L156">
        <f>K156*(1+L152)</f>
        <v>1.8019350000000001</v>
      </c>
      <c r="M156">
        <f t="shared" ref="M156:P156" si="101">L156*(1+M152)</f>
        <v>1.8379737</v>
      </c>
      <c r="N156">
        <f t="shared" si="101"/>
        <v>1.8747331740000002</v>
      </c>
      <c r="O156">
        <f t="shared" si="101"/>
        <v>1.9122278374800001</v>
      </c>
      <c r="P156">
        <f t="shared" si="101"/>
        <v>1.9504723942296003</v>
      </c>
    </row>
    <row r="157" spans="2:16" s="71" customFormat="1">
      <c r="D157" s="71" t="s">
        <v>217</v>
      </c>
      <c r="E157" s="123" t="s">
        <v>240</v>
      </c>
      <c r="L157" s="71">
        <f>L155*L156</f>
        <v>973.04489999999998</v>
      </c>
      <c r="M157" s="71">
        <f t="shared" ref="M157:P157" si="102">M155*M156</f>
        <v>1084.404483</v>
      </c>
      <c r="N157" s="71">
        <f t="shared" si="102"/>
        <v>1209.2028972300002</v>
      </c>
      <c r="O157" s="71">
        <f t="shared" si="102"/>
        <v>1348.1206254234</v>
      </c>
      <c r="P157" s="71">
        <f t="shared" si="102"/>
        <v>1511.6161055279401</v>
      </c>
    </row>
    <row r="158" spans="2:16">
      <c r="E158" s="91"/>
    </row>
    <row r="159" spans="2:16">
      <c r="B159" s="71" t="s">
        <v>132</v>
      </c>
      <c r="E159" s="91"/>
    </row>
    <row r="160" spans="2:16" s="71" customFormat="1">
      <c r="D160" s="71" t="s">
        <v>134</v>
      </c>
      <c r="E160" s="123" t="s">
        <v>240</v>
      </c>
      <c r="K160" s="101">
        <f>Assumptions!K50</f>
        <v>300.32249999999999</v>
      </c>
      <c r="L160" s="71">
        <f>K160*(1+L152)</f>
        <v>306.32895000000002</v>
      </c>
      <c r="M160" s="71">
        <f t="shared" ref="M160:P160" si="103">L160*(1+M152)</f>
        <v>312.45552900000001</v>
      </c>
      <c r="N160" s="71">
        <f t="shared" si="103"/>
        <v>318.70463957999999</v>
      </c>
      <c r="O160" s="71">
        <f t="shared" si="103"/>
        <v>325.07873237159998</v>
      </c>
      <c r="P160" s="71">
        <f t="shared" si="103"/>
        <v>331.58030701903198</v>
      </c>
    </row>
    <row r="161" spans="2:16">
      <c r="E161" s="91"/>
    </row>
    <row r="162" spans="2:16">
      <c r="E162" s="91"/>
    </row>
    <row r="163" spans="2:16">
      <c r="C163" s="113" t="s">
        <v>131</v>
      </c>
      <c r="D163" s="95"/>
      <c r="E163" s="119" t="s">
        <v>240</v>
      </c>
      <c r="F163" s="95"/>
      <c r="G163" s="95"/>
      <c r="H163" s="95"/>
      <c r="I163" s="95"/>
      <c r="J163" s="95"/>
      <c r="K163" s="95"/>
      <c r="L163" s="114">
        <f>L157+L160</f>
        <v>1279.3738499999999</v>
      </c>
      <c r="M163" s="114">
        <f t="shared" ref="M163:P163" si="104">M157+M160</f>
        <v>1396.8600120000001</v>
      </c>
      <c r="N163" s="114">
        <f t="shared" si="104"/>
        <v>1527.9075368100002</v>
      </c>
      <c r="O163" s="114">
        <f t="shared" si="104"/>
        <v>1673.199357795</v>
      </c>
      <c r="P163" s="114">
        <f t="shared" si="104"/>
        <v>1843.1964125469722</v>
      </c>
    </row>
    <row r="164" spans="2:16">
      <c r="E164" s="91"/>
    </row>
    <row r="165" spans="2:16" s="71" customFormat="1">
      <c r="C165" s="113" t="s">
        <v>86</v>
      </c>
      <c r="D165" s="114"/>
      <c r="E165" s="124" t="s">
        <v>88</v>
      </c>
      <c r="F165" s="114"/>
      <c r="G165" s="114"/>
      <c r="H165" s="114"/>
      <c r="I165" s="114"/>
      <c r="J165" s="114"/>
      <c r="K165" s="114"/>
      <c r="L165" s="114">
        <f>Assumptions!L52</f>
        <v>320</v>
      </c>
      <c r="M165" s="114">
        <f>L165*(1+M152)</f>
        <v>326.39999999999998</v>
      </c>
      <c r="N165" s="114">
        <f>M165*(1+N152)</f>
        <v>332.928</v>
      </c>
      <c r="O165" s="114">
        <f>N165*(1+O152)</f>
        <v>339.58656000000002</v>
      </c>
      <c r="P165" s="115">
        <f>O165*(1+P152)</f>
        <v>346.37829120000004</v>
      </c>
    </row>
    <row r="168" spans="2:16" ht="13.25" thickBot="1">
      <c r="B168" s="78" t="s">
        <v>135</v>
      </c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</row>
    <row r="170" spans="2:16">
      <c r="D170" t="str">
        <f>Assumptions!D60</f>
        <v>Additions</v>
      </c>
      <c r="E170" s="91" t="s">
        <v>240</v>
      </c>
      <c r="L170" s="92">
        <f>Assumptions!L60</f>
        <v>50</v>
      </c>
      <c r="M170" s="92">
        <f>Assumptions!M60</f>
        <v>40</v>
      </c>
      <c r="N170" s="92">
        <f>Assumptions!N60</f>
        <v>50</v>
      </c>
      <c r="O170" s="92">
        <f>Assumptions!O60</f>
        <v>60</v>
      </c>
      <c r="P170" s="92">
        <f>Assumptions!P60</f>
        <v>70</v>
      </c>
    </row>
    <row r="171" spans="2:16">
      <c r="D171" t="s">
        <v>137</v>
      </c>
      <c r="E171" s="91" t="s">
        <v>240</v>
      </c>
      <c r="K171" s="92">
        <f>K87</f>
        <v>318.8780000000001</v>
      </c>
    </row>
    <row r="173" spans="2:16" s="71" customFormat="1">
      <c r="D173" s="71" t="s">
        <v>136</v>
      </c>
      <c r="E173" s="91" t="s">
        <v>240</v>
      </c>
      <c r="L173" s="71">
        <f>$K$171/$F$175</f>
        <v>28.9889090909091</v>
      </c>
      <c r="M173" s="71">
        <f t="shared" ref="M173:P173" si="105">$K$171/$F$175</f>
        <v>28.9889090909091</v>
      </c>
      <c r="N173" s="71">
        <f t="shared" si="105"/>
        <v>28.9889090909091</v>
      </c>
      <c r="O173" s="71">
        <f t="shared" si="105"/>
        <v>28.9889090909091</v>
      </c>
      <c r="P173" s="71">
        <f t="shared" si="105"/>
        <v>28.9889090909091</v>
      </c>
    </row>
    <row r="175" spans="2:16">
      <c r="D175" t="str">
        <f>Assumptions!D64</f>
        <v>Remaining Assets</v>
      </c>
      <c r="E175" s="91" t="s">
        <v>96</v>
      </c>
      <c r="F175" s="92">
        <f>Assumptions!F64</f>
        <v>11</v>
      </c>
    </row>
    <row r="176" spans="2:16">
      <c r="D176" t="str">
        <f>Assumptions!D65</f>
        <v>New Assets</v>
      </c>
      <c r="E176" s="91" t="s">
        <v>96</v>
      </c>
      <c r="F176" s="92">
        <f>Assumptions!F65</f>
        <v>21</v>
      </c>
    </row>
    <row r="178" spans="2:16">
      <c r="C178" t="s">
        <v>138</v>
      </c>
      <c r="I178" s="118" t="s">
        <v>96</v>
      </c>
      <c r="J178" s="118" t="s">
        <v>93</v>
      </c>
      <c r="L178" s="116">
        <f>L6</f>
        <v>2025</v>
      </c>
      <c r="M178" s="116">
        <f>M6</f>
        <v>2026</v>
      </c>
      <c r="N178" s="116">
        <f>N6</f>
        <v>2027</v>
      </c>
      <c r="O178" s="116">
        <f>O6</f>
        <v>2028</v>
      </c>
      <c r="P178" s="116">
        <f>P6</f>
        <v>2029</v>
      </c>
    </row>
    <row r="179" spans="2:16">
      <c r="I179" s="79">
        <f t="array" ref="I179:I183">TRANSPOSE(L178:P178)</f>
        <v>2025</v>
      </c>
      <c r="J179" s="117">
        <f t="array" ref="J179:J183">TRANSPOSE($L$170:$P$170)</f>
        <v>50</v>
      </c>
      <c r="L179">
        <f>IF(L$178=$I179,$J179/$F$176/2,$J179/$F$176)</f>
        <v>1.1904761904761905</v>
      </c>
      <c r="M179">
        <f>IF(M$178=$I179,$J179/$F$176/2,$J179/$F$176)</f>
        <v>2.3809523809523809</v>
      </c>
      <c r="N179">
        <f>IF(N$178=$I179,$J179/$F$176/2,$J179/$F$176)</f>
        <v>2.3809523809523809</v>
      </c>
      <c r="O179">
        <f>IF(O$178=$I179,$J179/$F$176/2,$J179/$F$176)</f>
        <v>2.3809523809523809</v>
      </c>
      <c r="P179">
        <f>IF(P$178=$I179,$J179/$F$176/2,$J179/$F$176)</f>
        <v>2.3809523809523809</v>
      </c>
    </row>
    <row r="180" spans="2:16">
      <c r="I180" s="79">
        <v>2026</v>
      </c>
      <c r="J180" s="84">
        <v>40</v>
      </c>
      <c r="M180">
        <f>IF(M$178=$I180,$J180/$F$176/2,$J180/$F$176)</f>
        <v>0.95238095238095233</v>
      </c>
      <c r="N180">
        <f>IF(N$178=$I180,$J180/$F$176/2,$J180/$F$176)</f>
        <v>1.9047619047619047</v>
      </c>
      <c r="O180">
        <f>IF(O$178=$I180,$J180/$F$176/2,$J180/$F$176)</f>
        <v>1.9047619047619047</v>
      </c>
      <c r="P180">
        <f>IF(P$178=$I180,$J180/$F$176/2,$J180/$F$176)</f>
        <v>1.9047619047619047</v>
      </c>
    </row>
    <row r="181" spans="2:16">
      <c r="I181" s="79">
        <v>2027</v>
      </c>
      <c r="J181" s="84">
        <v>50</v>
      </c>
      <c r="N181">
        <f>IF(N$178=$I181,$J181/$F$176/2,$J181/$F$176)</f>
        <v>1.1904761904761905</v>
      </c>
      <c r="O181">
        <f>IF(O$178=$I181,$J181/$F$176/2,$J181/$F$176)</f>
        <v>2.3809523809523809</v>
      </c>
      <c r="P181">
        <f>IF(P$178=$I181,$J181/$F$176/2,$J181/$F$176)</f>
        <v>2.3809523809523809</v>
      </c>
    </row>
    <row r="182" spans="2:16">
      <c r="I182" s="79">
        <v>2028</v>
      </c>
      <c r="J182" s="84">
        <v>60</v>
      </c>
      <c r="O182">
        <f>IF(O$178=$I182,$J182/$F$176/2,$J182/$F$176)</f>
        <v>1.4285714285714286</v>
      </c>
      <c r="P182">
        <f>IF(P$178=$I182,$J182/$F$176/2,$J182/$F$176)</f>
        <v>2.8571428571428572</v>
      </c>
    </row>
    <row r="183" spans="2:16">
      <c r="I183" s="79">
        <v>2029</v>
      </c>
      <c r="J183" s="85">
        <v>70</v>
      </c>
      <c r="P183">
        <f>IF(P$178=$I183,$J183/$F$176/2,$J183/$F$176)</f>
        <v>1.6666666666666667</v>
      </c>
    </row>
    <row r="184" spans="2:16">
      <c r="I184" s="79"/>
    </row>
    <row r="185" spans="2:16" s="71" customFormat="1">
      <c r="D185" s="71" t="s">
        <v>139</v>
      </c>
      <c r="E185" s="91" t="s">
        <v>240</v>
      </c>
      <c r="L185" s="71">
        <f>SUM(L179:L183)</f>
        <v>1.1904761904761905</v>
      </c>
      <c r="M185" s="71">
        <f t="shared" ref="M185:P185" si="106">SUM(M179:M183)</f>
        <v>3.333333333333333</v>
      </c>
      <c r="N185" s="71">
        <f t="shared" si="106"/>
        <v>5.4761904761904763</v>
      </c>
      <c r="O185" s="71">
        <f t="shared" si="106"/>
        <v>8.0952380952380949</v>
      </c>
      <c r="P185" s="71">
        <f t="shared" si="106"/>
        <v>11.19047619047619</v>
      </c>
    </row>
    <row r="187" spans="2:16" s="71" customFormat="1">
      <c r="D187" s="71" t="s">
        <v>140</v>
      </c>
      <c r="E187" s="91" t="s">
        <v>240</v>
      </c>
      <c r="L187" s="71">
        <f>L185+L173</f>
        <v>30.17938528138529</v>
      </c>
      <c r="M187" s="71">
        <f t="shared" ref="M187:P187" si="107">M185+M173</f>
        <v>32.322242424242432</v>
      </c>
      <c r="N187" s="71">
        <f t="shared" si="107"/>
        <v>34.465099567099578</v>
      </c>
      <c r="O187" s="71">
        <f t="shared" si="107"/>
        <v>37.084147186147192</v>
      </c>
      <c r="P187" s="71">
        <f t="shared" si="107"/>
        <v>40.179385281385294</v>
      </c>
    </row>
    <row r="191" spans="2:16" ht="13.25" thickBot="1">
      <c r="B191" s="78" t="s">
        <v>141</v>
      </c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</row>
    <row r="193" spans="4:16">
      <c r="D193" t="str">
        <f>Assumptions!D95</f>
        <v>Company Tax Rate</v>
      </c>
      <c r="E193" s="91" t="str">
        <f>Assumptions!E95</f>
        <v>%</v>
      </c>
      <c r="F193" s="93">
        <f>Assumptions!F95</f>
        <v>0.35</v>
      </c>
    </row>
    <row r="196" spans="4:16">
      <c r="D196" t="s">
        <v>142</v>
      </c>
      <c r="E196" s="91" t="s">
        <v>240</v>
      </c>
      <c r="L196">
        <f ca="1">L25</f>
        <v>473.49322319440756</v>
      </c>
      <c r="M196">
        <f ca="1">M25</f>
        <v>615.71656011333096</v>
      </c>
      <c r="N196">
        <f ca="1">N25</f>
        <v>783.49580082729574</v>
      </c>
      <c r="O196">
        <f ca="1">O25</f>
        <v>976.3927488794759</v>
      </c>
      <c r="P196">
        <f ca="1">P25</f>
        <v>1208.2257166433228</v>
      </c>
    </row>
    <row r="197" spans="4:16">
      <c r="D197" t="str">
        <f>Assumptions!D97</f>
        <v>Reduction in EBT due to timing Diff</v>
      </c>
      <c r="E197" s="91" t="s">
        <v>240</v>
      </c>
      <c r="L197">
        <f>Assumptions!L97</f>
        <v>40</v>
      </c>
      <c r="M197">
        <f>Assumptions!M97</f>
        <v>40</v>
      </c>
      <c r="N197">
        <f>Assumptions!N97</f>
        <v>40</v>
      </c>
      <c r="O197">
        <f>Assumptions!O97</f>
        <v>40</v>
      </c>
      <c r="P197">
        <f>Assumptions!P97</f>
        <v>40</v>
      </c>
    </row>
    <row r="198" spans="4:16">
      <c r="D198" t="s">
        <v>143</v>
      </c>
      <c r="E198" s="91" t="s">
        <v>240</v>
      </c>
      <c r="L198">
        <f ca="1">L196-L197</f>
        <v>433.49322319440756</v>
      </c>
      <c r="M198">
        <f t="shared" ref="M198:P198" ca="1" si="108">M196-M197</f>
        <v>575.71656011333096</v>
      </c>
      <c r="N198">
        <f t="shared" ca="1" si="108"/>
        <v>743.49580082729574</v>
      </c>
      <c r="O198">
        <f t="shared" ca="1" si="108"/>
        <v>936.3927488794759</v>
      </c>
      <c r="P198">
        <f t="shared" ca="1" si="108"/>
        <v>1168.2257166433228</v>
      </c>
    </row>
    <row r="199" spans="4:16">
      <c r="E199" s="91"/>
    </row>
    <row r="200" spans="4:16">
      <c r="D200" t="s">
        <v>144</v>
      </c>
      <c r="E200" s="91" t="s">
        <v>240</v>
      </c>
      <c r="L200">
        <f ca="1">L196*$F$193</f>
        <v>165.72262811804265</v>
      </c>
      <c r="M200">
        <f t="shared" ref="M200:P200" ca="1" si="109">M196*$F$193</f>
        <v>215.50079603966583</v>
      </c>
      <c r="N200">
        <f t="shared" ca="1" si="109"/>
        <v>274.22353028955348</v>
      </c>
      <c r="O200">
        <f t="shared" ca="1" si="109"/>
        <v>341.73746210781655</v>
      </c>
      <c r="P200">
        <f t="shared" ca="1" si="109"/>
        <v>422.87900082516296</v>
      </c>
    </row>
    <row r="201" spans="4:16">
      <c r="E201" s="91"/>
    </row>
    <row r="202" spans="4:16">
      <c r="E202" s="91"/>
    </row>
    <row r="203" spans="4:16">
      <c r="D203" s="102" t="str">
        <f>D27</f>
        <v>Current Taxes</v>
      </c>
      <c r="E203" s="111" t="s">
        <v>240</v>
      </c>
      <c r="F203" s="103"/>
      <c r="G203" s="103"/>
      <c r="H203" s="103"/>
      <c r="I203" s="103"/>
      <c r="J203" s="103"/>
      <c r="K203" s="103"/>
      <c r="L203" s="103">
        <f ca="1">L198*$F$193</f>
        <v>151.72262811804265</v>
      </c>
      <c r="M203" s="103">
        <f t="shared" ref="M203:P203" ca="1" si="110">M198*$F$193</f>
        <v>201.50079603966583</v>
      </c>
      <c r="N203" s="103">
        <f t="shared" ca="1" si="110"/>
        <v>260.22353028955348</v>
      </c>
      <c r="O203" s="103">
        <f t="shared" ca="1" si="110"/>
        <v>327.73746210781655</v>
      </c>
      <c r="P203" s="104">
        <f t="shared" ca="1" si="110"/>
        <v>408.87900082516296</v>
      </c>
    </row>
    <row r="204" spans="4:16">
      <c r="D204" s="105" t="str">
        <f>D28</f>
        <v>Deferred Income Taxes</v>
      </c>
      <c r="E204" s="112" t="s">
        <v>240</v>
      </c>
      <c r="F204" s="106"/>
      <c r="G204" s="106"/>
      <c r="H204" s="106"/>
      <c r="I204" s="106"/>
      <c r="J204" s="106"/>
      <c r="K204" s="106"/>
      <c r="L204" s="106">
        <f>L197*$F$193</f>
        <v>14</v>
      </c>
      <c r="M204" s="106">
        <f t="shared" ref="M204:P204" si="111">M197*$F$193</f>
        <v>14</v>
      </c>
      <c r="N204" s="106">
        <f t="shared" si="111"/>
        <v>14</v>
      </c>
      <c r="O204" s="106">
        <f t="shared" si="111"/>
        <v>14</v>
      </c>
      <c r="P204" s="107">
        <f t="shared" si="111"/>
        <v>14</v>
      </c>
    </row>
    <row r="205" spans="4:16">
      <c r="D205" s="108" t="s">
        <v>144</v>
      </c>
      <c r="E205" s="122" t="s">
        <v>240</v>
      </c>
      <c r="F205" s="109"/>
      <c r="G205" s="109"/>
      <c r="H205" s="109"/>
      <c r="I205" s="109"/>
      <c r="J205" s="109"/>
      <c r="K205" s="109"/>
      <c r="L205" s="109">
        <f ca="1">SUM(L203:L204)</f>
        <v>165.72262811804265</v>
      </c>
      <c r="M205" s="109">
        <f t="shared" ref="M205:P205" ca="1" si="112">SUM(M203:M204)</f>
        <v>215.50079603966583</v>
      </c>
      <c r="N205" s="109">
        <f t="shared" ca="1" si="112"/>
        <v>274.22353028955348</v>
      </c>
      <c r="O205" s="109">
        <f t="shared" ca="1" si="112"/>
        <v>341.73746210781655</v>
      </c>
      <c r="P205" s="121">
        <f t="shared" ca="1" si="112"/>
        <v>422.87900082516296</v>
      </c>
    </row>
    <row r="206" spans="4:16">
      <c r="D206" t="s">
        <v>145</v>
      </c>
      <c r="L206" s="120">
        <f ca="1">L205-L200</f>
        <v>0</v>
      </c>
      <c r="M206" s="120">
        <f t="shared" ref="M206:P206" ca="1" si="113">M205-M200</f>
        <v>0</v>
      </c>
      <c r="N206" s="120">
        <f t="shared" ca="1" si="113"/>
        <v>0</v>
      </c>
      <c r="O206" s="120">
        <f t="shared" ca="1" si="113"/>
        <v>0</v>
      </c>
      <c r="P206" s="120">
        <f t="shared" ca="1" si="113"/>
        <v>0</v>
      </c>
    </row>
    <row r="209" spans="2:16" ht="13.25" thickBot="1">
      <c r="B209" s="78" t="s">
        <v>146</v>
      </c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</row>
    <row r="211" spans="2:16">
      <c r="D211" t="s">
        <v>63</v>
      </c>
      <c r="E211" s="91" t="s">
        <v>102</v>
      </c>
      <c r="I211" s="92">
        <f>Assumptions!I11</f>
        <v>365</v>
      </c>
      <c r="J211" s="92">
        <f>Assumptions!J11</f>
        <v>365</v>
      </c>
      <c r="K211" s="92">
        <f>Assumptions!K11</f>
        <v>366</v>
      </c>
      <c r="L211" s="92">
        <f>Assumptions!L11</f>
        <v>365</v>
      </c>
      <c r="M211" s="92">
        <f>Assumptions!M11</f>
        <v>365</v>
      </c>
      <c r="N211" s="92">
        <f>Assumptions!N11</f>
        <v>365</v>
      </c>
      <c r="O211" s="92">
        <f>Assumptions!O11</f>
        <v>366</v>
      </c>
      <c r="P211" s="92">
        <f>Assumptions!P11</f>
        <v>365</v>
      </c>
    </row>
    <row r="212" spans="2:16" ht="5.5" customHeight="1"/>
    <row r="213" spans="2:16">
      <c r="C213" s="80" t="s">
        <v>103</v>
      </c>
      <c r="E213" s="91"/>
    </row>
    <row r="214" spans="2:16">
      <c r="D214" t="s">
        <v>99</v>
      </c>
      <c r="E214" s="91" t="s">
        <v>240</v>
      </c>
      <c r="I214" s="92">
        <f t="shared" ref="I214:P214" si="114">I12</f>
        <v>1553.87</v>
      </c>
      <c r="J214" s="92">
        <f t="shared" si="114"/>
        <v>1776.88</v>
      </c>
      <c r="K214" s="92">
        <f t="shared" si="114"/>
        <v>1975.48</v>
      </c>
      <c r="L214" s="92">
        <f t="shared" si="114"/>
        <v>2145.7711294117648</v>
      </c>
      <c r="M214" s="92">
        <f t="shared" si="114"/>
        <v>2400.740148784314</v>
      </c>
      <c r="N214" s="92">
        <f t="shared" si="114"/>
        <v>2688.7074915082358</v>
      </c>
      <c r="O214" s="92">
        <f t="shared" si="114"/>
        <v>3012.0125261533408</v>
      </c>
      <c r="P214" s="92">
        <f t="shared" si="114"/>
        <v>3393.949880167605</v>
      </c>
    </row>
    <row r="215" spans="2:16">
      <c r="D215" t="s">
        <v>1</v>
      </c>
      <c r="E215" s="91" t="s">
        <v>240</v>
      </c>
      <c r="I215" s="92">
        <f t="shared" ref="I215:P215" si="115">I14</f>
        <v>980.84</v>
      </c>
      <c r="J215" s="92">
        <f t="shared" si="115"/>
        <v>1078.03</v>
      </c>
      <c r="K215" s="92">
        <f t="shared" si="115"/>
        <v>1201.29</v>
      </c>
      <c r="L215" s="92">
        <f t="shared" si="115"/>
        <v>1279.3738499999999</v>
      </c>
      <c r="M215" s="92">
        <f t="shared" si="115"/>
        <v>1396.8600120000001</v>
      </c>
      <c r="N215" s="92">
        <f t="shared" si="115"/>
        <v>1527.9075368100002</v>
      </c>
      <c r="O215" s="92">
        <f t="shared" si="115"/>
        <v>1673.199357795</v>
      </c>
      <c r="P215" s="92">
        <f t="shared" si="115"/>
        <v>1843.1964125469722</v>
      </c>
    </row>
    <row r="216" spans="2:16" ht="3.9" customHeight="1">
      <c r="E216" s="91"/>
    </row>
    <row r="217" spans="2:16">
      <c r="C217" s="80" t="s">
        <v>147</v>
      </c>
      <c r="E217" s="91"/>
    </row>
    <row r="218" spans="2:16">
      <c r="D218" t="s">
        <v>28</v>
      </c>
      <c r="E218" s="91" t="s">
        <v>240</v>
      </c>
      <c r="I218">
        <f t="shared" ref="I218:K221" si="116">I81</f>
        <v>6.6689999999999996</v>
      </c>
      <c r="J218">
        <f t="shared" si="116"/>
        <v>7.4119999999999999</v>
      </c>
      <c r="K218">
        <f t="shared" si="116"/>
        <v>10.257</v>
      </c>
      <c r="L218">
        <f>L231/L$211*L214</f>
        <v>9.7764859951007264</v>
      </c>
      <c r="M218">
        <f>M231/M$211*M214</f>
        <v>10.938166760077573</v>
      </c>
      <c r="N218">
        <f>N231/N$211*N214</f>
        <v>12.250193310625194</v>
      </c>
      <c r="O218">
        <f>O231/O$211*O214</f>
        <v>13.685729046428978</v>
      </c>
      <c r="P218">
        <f>P231/P$211*P214</f>
        <v>15.463393563612952</v>
      </c>
    </row>
    <row r="219" spans="2:16">
      <c r="D219" t="s">
        <v>29</v>
      </c>
      <c r="E219" s="91" t="s">
        <v>240</v>
      </c>
      <c r="I219">
        <f t="shared" si="116"/>
        <v>272.613</v>
      </c>
      <c r="J219">
        <f t="shared" si="116"/>
        <v>313.46300000000002</v>
      </c>
      <c r="K219">
        <f t="shared" si="116"/>
        <v>310.47699999999998</v>
      </c>
      <c r="L219">
        <f t="shared" ref="L219:P221" si="117">L232/L$211*L$215</f>
        <v>353.08965693082189</v>
      </c>
      <c r="M219">
        <f t="shared" si="117"/>
        <v>385.51422824334247</v>
      </c>
      <c r="N219">
        <f t="shared" si="117"/>
        <v>421.68154991932983</v>
      </c>
      <c r="O219">
        <f t="shared" si="117"/>
        <v>460.51840794393263</v>
      </c>
      <c r="P219">
        <f t="shared" si="117"/>
        <v>508.69696059703904</v>
      </c>
    </row>
    <row r="220" spans="2:16">
      <c r="D220" t="s">
        <v>50</v>
      </c>
      <c r="E220" s="91" t="s">
        <v>240</v>
      </c>
      <c r="I220">
        <f t="shared" si="116"/>
        <v>0</v>
      </c>
      <c r="J220">
        <f t="shared" si="116"/>
        <v>0</v>
      </c>
      <c r="K220">
        <f t="shared" si="116"/>
        <v>0</v>
      </c>
      <c r="L220">
        <f t="shared" si="117"/>
        <v>0</v>
      </c>
      <c r="M220">
        <f t="shared" si="117"/>
        <v>0</v>
      </c>
      <c r="N220">
        <f t="shared" si="117"/>
        <v>0</v>
      </c>
      <c r="O220">
        <f t="shared" si="117"/>
        <v>0</v>
      </c>
      <c r="P220">
        <f t="shared" si="117"/>
        <v>0</v>
      </c>
    </row>
    <row r="221" spans="2:16">
      <c r="D221" t="s">
        <v>100</v>
      </c>
      <c r="E221" s="91" t="s">
        <v>240</v>
      </c>
      <c r="I221" s="109">
        <f t="shared" si="116"/>
        <v>59.481000000000002</v>
      </c>
      <c r="J221" s="109">
        <f t="shared" si="116"/>
        <v>50.960999999999999</v>
      </c>
      <c r="K221" s="109">
        <f t="shared" si="116"/>
        <v>10.632999999999999</v>
      </c>
      <c r="L221" s="109">
        <f t="shared" si="117"/>
        <v>49.850013410136981</v>
      </c>
      <c r="M221" s="109">
        <f t="shared" si="117"/>
        <v>54.427789289490413</v>
      </c>
      <c r="N221" s="109">
        <f t="shared" si="117"/>
        <v>59.533975310991295</v>
      </c>
      <c r="O221" s="109">
        <f t="shared" si="117"/>
        <v>65.017052640875647</v>
      </c>
      <c r="P221" s="109">
        <f t="shared" si="117"/>
        <v>71.819011997926125</v>
      </c>
    </row>
    <row r="222" spans="2:16" s="71" customFormat="1">
      <c r="D222" s="71" t="s">
        <v>148</v>
      </c>
      <c r="E222" s="91" t="s">
        <v>240</v>
      </c>
      <c r="I222" s="71">
        <f>SUM(I218:I221)</f>
        <v>338.76299999999998</v>
      </c>
      <c r="J222" s="71">
        <f t="shared" ref="J222:P222" si="118">SUM(J218:J221)</f>
        <v>371.83600000000001</v>
      </c>
      <c r="K222" s="71">
        <f t="shared" si="118"/>
        <v>331.36699999999996</v>
      </c>
      <c r="L222" s="71">
        <f t="shared" si="118"/>
        <v>412.71615633605956</v>
      </c>
      <c r="M222" s="71">
        <f t="shared" si="118"/>
        <v>450.88018429291049</v>
      </c>
      <c r="N222" s="71">
        <f t="shared" si="118"/>
        <v>493.46571854094634</v>
      </c>
      <c r="O222" s="71">
        <f t="shared" si="118"/>
        <v>539.22118963123728</v>
      </c>
      <c r="P222" s="71">
        <f t="shared" si="118"/>
        <v>595.97936615857816</v>
      </c>
    </row>
    <row r="223" spans="2:16">
      <c r="D223" t="s">
        <v>37</v>
      </c>
      <c r="E223" s="91" t="s">
        <v>240</v>
      </c>
      <c r="I223">
        <f t="shared" ref="I223:K224" si="119">I98</f>
        <v>117.15900000000001</v>
      </c>
      <c r="J223">
        <f t="shared" si="119"/>
        <v>110.78100000000001</v>
      </c>
      <c r="K223">
        <f t="shared" si="119"/>
        <v>132.32400000000001</v>
      </c>
      <c r="L223">
        <f t="shared" ref="L223:P224" si="120">L235/L$211*L$215</f>
        <v>141.8597765950685</v>
      </c>
      <c r="M223">
        <f t="shared" si="120"/>
        <v>154.88689974154522</v>
      </c>
      <c r="N223">
        <f t="shared" si="120"/>
        <v>169.41773651992969</v>
      </c>
      <c r="O223">
        <f t="shared" si="120"/>
        <v>185.02110494174656</v>
      </c>
      <c r="P223">
        <f t="shared" si="120"/>
        <v>204.37765810575632</v>
      </c>
    </row>
    <row r="224" spans="2:16">
      <c r="D224" t="s">
        <v>101</v>
      </c>
      <c r="E224" s="91" t="s">
        <v>240</v>
      </c>
      <c r="I224" s="109">
        <f t="shared" si="119"/>
        <v>23.596</v>
      </c>
      <c r="J224" s="109">
        <f t="shared" si="119"/>
        <v>38.209000000000003</v>
      </c>
      <c r="K224" s="109">
        <f t="shared" si="119"/>
        <v>24.181999999999999</v>
      </c>
      <c r="L224" s="109">
        <f t="shared" si="120"/>
        <v>33.999798205479451</v>
      </c>
      <c r="M224" s="109">
        <f t="shared" si="120"/>
        <v>37.122033195616439</v>
      </c>
      <c r="N224" s="109">
        <f t="shared" si="120"/>
        <v>40.604666046731509</v>
      </c>
      <c r="O224" s="109">
        <f t="shared" si="120"/>
        <v>44.344354564512294</v>
      </c>
      <c r="P224" s="109">
        <f t="shared" si="120"/>
        <v>48.983575895083916</v>
      </c>
    </row>
    <row r="225" spans="2:16" s="71" customFormat="1">
      <c r="D225" s="71" t="s">
        <v>149</v>
      </c>
      <c r="E225" s="91" t="s">
        <v>240</v>
      </c>
      <c r="I225" s="71">
        <f>SUM(I223:I224)</f>
        <v>140.755</v>
      </c>
      <c r="J225" s="71">
        <f t="shared" ref="J225:P225" si="121">SUM(J223:J224)</f>
        <v>148.99</v>
      </c>
      <c r="K225" s="71">
        <f t="shared" si="121"/>
        <v>156.506</v>
      </c>
      <c r="L225" s="71">
        <f t="shared" si="121"/>
        <v>175.85957480054793</v>
      </c>
      <c r="M225" s="71">
        <f t="shared" si="121"/>
        <v>192.00893293716166</v>
      </c>
      <c r="N225" s="71">
        <f t="shared" si="121"/>
        <v>210.02240256666119</v>
      </c>
      <c r="O225" s="71">
        <f t="shared" si="121"/>
        <v>229.36545950625884</v>
      </c>
      <c r="P225" s="71">
        <f t="shared" si="121"/>
        <v>253.36123400084023</v>
      </c>
    </row>
    <row r="226" spans="2:16" ht="13.25" thickBot="1">
      <c r="D226" s="71" t="s">
        <v>150</v>
      </c>
      <c r="E226" s="91" t="s">
        <v>240</v>
      </c>
      <c r="I226" s="152">
        <f t="shared" ref="I226:P226" si="122">I222-I225</f>
        <v>198.00799999999998</v>
      </c>
      <c r="J226" s="152">
        <f t="shared" si="122"/>
        <v>222.846</v>
      </c>
      <c r="K226" s="152">
        <f t="shared" si="122"/>
        <v>174.86099999999996</v>
      </c>
      <c r="L226" s="152">
        <f t="shared" si="122"/>
        <v>236.85658153551162</v>
      </c>
      <c r="M226" s="152">
        <f t="shared" si="122"/>
        <v>258.87125135574883</v>
      </c>
      <c r="N226" s="152">
        <f t="shared" si="122"/>
        <v>283.44331597428516</v>
      </c>
      <c r="O226" s="152">
        <f t="shared" si="122"/>
        <v>309.85573012497844</v>
      </c>
      <c r="P226" s="152">
        <f t="shared" si="122"/>
        <v>342.61813215773793</v>
      </c>
    </row>
    <row r="227" spans="2:16" ht="6.05" customHeight="1" thickTop="1">
      <c r="D227" s="71"/>
    </row>
    <row r="228" spans="2:16">
      <c r="D228" s="113" t="s">
        <v>151</v>
      </c>
      <c r="E228" s="119" t="s">
        <v>240</v>
      </c>
      <c r="F228" s="95"/>
      <c r="G228" s="95"/>
      <c r="H228" s="95"/>
      <c r="I228" s="95"/>
      <c r="J228" s="95">
        <f>I226-J226</f>
        <v>-24.838000000000022</v>
      </c>
      <c r="K228" s="95">
        <f t="shared" ref="K228:P228" si="123">J226-K226</f>
        <v>47.985000000000042</v>
      </c>
      <c r="L228" s="95">
        <f t="shared" si="123"/>
        <v>-61.995581535511661</v>
      </c>
      <c r="M228" s="95">
        <f t="shared" si="123"/>
        <v>-22.014669820237202</v>
      </c>
      <c r="N228" s="95">
        <f t="shared" si="123"/>
        <v>-24.572064618536331</v>
      </c>
      <c r="O228" s="95">
        <f t="shared" si="123"/>
        <v>-26.41241415069328</v>
      </c>
      <c r="P228" s="96">
        <f t="shared" si="123"/>
        <v>-32.762402032759496</v>
      </c>
    </row>
    <row r="229" spans="2:16" ht="6.95" customHeight="1">
      <c r="D229" s="71"/>
    </row>
    <row r="230" spans="2:16">
      <c r="C230" s="80" t="s">
        <v>102</v>
      </c>
    </row>
    <row r="231" spans="2:16">
      <c r="D231" t="s">
        <v>28</v>
      </c>
      <c r="E231" s="91" t="s">
        <v>102</v>
      </c>
      <c r="I231" s="92">
        <f>Assumptions!I85</f>
        <v>1.5665306621532047</v>
      </c>
      <c r="J231" s="92">
        <f>Assumptions!J85</f>
        <v>1.5225451352933228</v>
      </c>
      <c r="K231" s="92">
        <f>Assumptions!K85</f>
        <v>1.9003290339563041</v>
      </c>
      <c r="L231" s="92">
        <f>Assumptions!L85</f>
        <v>1.663</v>
      </c>
      <c r="M231" s="92">
        <f>Assumptions!M85</f>
        <v>1.663</v>
      </c>
      <c r="N231" s="92">
        <f>Assumptions!N85</f>
        <v>1.663</v>
      </c>
      <c r="O231" s="92">
        <f>Assumptions!O85</f>
        <v>1.663</v>
      </c>
      <c r="P231" s="92">
        <f>Assumptions!P85</f>
        <v>1.663</v>
      </c>
    </row>
    <row r="232" spans="2:16">
      <c r="D232" t="s">
        <v>29</v>
      </c>
      <c r="E232" s="91" t="s">
        <v>102</v>
      </c>
      <c r="I232" s="92">
        <f>Assumptions!I86</f>
        <v>101.44747869173362</v>
      </c>
      <c r="J232" s="92">
        <f>Assumptions!J86</f>
        <v>106.13247776035918</v>
      </c>
      <c r="K232" s="92">
        <f>Assumptions!K86</f>
        <v>94.593796668581263</v>
      </c>
      <c r="L232" s="92">
        <f>Assumptions!L86</f>
        <v>100.735</v>
      </c>
      <c r="M232" s="92">
        <f>Assumptions!M86</f>
        <v>100.735</v>
      </c>
      <c r="N232" s="92">
        <f>Assumptions!N86</f>
        <v>100.735</v>
      </c>
      <c r="O232" s="92">
        <f>Assumptions!O86</f>
        <v>100.735</v>
      </c>
      <c r="P232" s="92">
        <f>Assumptions!P86</f>
        <v>100.735</v>
      </c>
    </row>
    <row r="233" spans="2:16">
      <c r="D233" t="s">
        <v>50</v>
      </c>
      <c r="E233" s="91" t="s">
        <v>102</v>
      </c>
      <c r="I233" s="92">
        <f>Assumptions!I87</f>
        <v>0</v>
      </c>
      <c r="J233" s="92">
        <f>Assumptions!J87</f>
        <v>0</v>
      </c>
      <c r="K233" s="92">
        <f>Assumptions!K87</f>
        <v>0</v>
      </c>
      <c r="L233" s="92">
        <f>Assumptions!L87</f>
        <v>0</v>
      </c>
      <c r="M233" s="92">
        <f>Assumptions!M87</f>
        <v>0</v>
      </c>
      <c r="N233" s="92">
        <f>Assumptions!N87</f>
        <v>0</v>
      </c>
      <c r="O233" s="92">
        <f>Assumptions!O87</f>
        <v>0</v>
      </c>
      <c r="P233" s="92">
        <f>Assumptions!P87</f>
        <v>0</v>
      </c>
    </row>
    <row r="234" spans="2:16">
      <c r="D234" t="s">
        <v>100</v>
      </c>
      <c r="E234" s="91" t="s">
        <v>102</v>
      </c>
      <c r="I234" s="92">
        <f>Assumptions!I88</f>
        <v>22.134665184943518</v>
      </c>
      <c r="J234" s="92">
        <f>Assumptions!J88</f>
        <v>17.254403866311698</v>
      </c>
      <c r="K234" s="92">
        <f>Assumptions!K88</f>
        <v>3.2395824488674672</v>
      </c>
      <c r="L234" s="92">
        <f>Assumptions!L88</f>
        <v>14.222</v>
      </c>
      <c r="M234" s="92">
        <f>Assumptions!M88</f>
        <v>14.222</v>
      </c>
      <c r="N234" s="92">
        <f>Assumptions!N88</f>
        <v>14.222</v>
      </c>
      <c r="O234" s="92">
        <f>Assumptions!O88</f>
        <v>14.222</v>
      </c>
      <c r="P234" s="92">
        <f>Assumptions!P88</f>
        <v>14.222</v>
      </c>
    </row>
    <row r="235" spans="2:16">
      <c r="D235" t="s">
        <v>37</v>
      </c>
      <c r="E235" s="91" t="s">
        <v>102</v>
      </c>
      <c r="I235" s="92">
        <f>Assumptions!I89</f>
        <v>43.598379960034258</v>
      </c>
      <c r="J235" s="92">
        <f>Assumptions!J89</f>
        <v>37.508292904650155</v>
      </c>
      <c r="K235" s="92">
        <f>Assumptions!K89</f>
        <v>40.315480858077571</v>
      </c>
      <c r="L235" s="92">
        <f>Assumptions!L89</f>
        <v>40.472000000000001</v>
      </c>
      <c r="M235" s="92">
        <f>Assumptions!M89</f>
        <v>40.472000000000001</v>
      </c>
      <c r="N235" s="92">
        <f>Assumptions!N89</f>
        <v>40.472000000000001</v>
      </c>
      <c r="O235" s="92">
        <f>Assumptions!O89</f>
        <v>40.472000000000001</v>
      </c>
      <c r="P235" s="92">
        <f>Assumptions!P89</f>
        <v>40.472000000000001</v>
      </c>
    </row>
    <row r="236" spans="2:16">
      <c r="D236" t="s">
        <v>101</v>
      </c>
      <c r="E236" s="91" t="s">
        <v>102</v>
      </c>
      <c r="I236" s="92">
        <f>Assumptions!I90</f>
        <v>8.7807797398148519</v>
      </c>
      <c r="J236" s="92">
        <f>Assumptions!J90</f>
        <v>12.93682457816573</v>
      </c>
      <c r="K236" s="92">
        <f>Assumptions!K90</f>
        <v>7.367589840921009</v>
      </c>
      <c r="L236" s="92">
        <f>Assumptions!L90</f>
        <v>9.6999999999999993</v>
      </c>
      <c r="M236" s="92">
        <f>Assumptions!M90</f>
        <v>9.6999999999999993</v>
      </c>
      <c r="N236" s="92">
        <f>Assumptions!N90</f>
        <v>9.6999999999999993</v>
      </c>
      <c r="O236" s="92">
        <f>Assumptions!O90</f>
        <v>9.6999999999999993</v>
      </c>
      <c r="P236" s="92">
        <f>Assumptions!P90</f>
        <v>9.6999999999999993</v>
      </c>
    </row>
    <row r="238" spans="2:16" ht="13.25" thickBot="1">
      <c r="B238" s="78" t="s">
        <v>152</v>
      </c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</row>
    <row r="239" spans="2:16">
      <c r="C239" s="80" t="s">
        <v>218</v>
      </c>
    </row>
    <row r="240" spans="2:16">
      <c r="D240" t="s">
        <v>153</v>
      </c>
      <c r="E240" s="91" t="s">
        <v>240</v>
      </c>
      <c r="L240">
        <f>K242</f>
        <v>280.17700000000002</v>
      </c>
      <c r="M240">
        <f t="shared" ref="M240:P240" si="124">L242</f>
        <v>260.17700000000002</v>
      </c>
      <c r="N240">
        <f t="shared" si="124"/>
        <v>240.17700000000002</v>
      </c>
      <c r="O240">
        <f t="shared" si="124"/>
        <v>220.17700000000002</v>
      </c>
      <c r="P240">
        <f t="shared" si="124"/>
        <v>200.17700000000002</v>
      </c>
    </row>
    <row r="241" spans="3:16">
      <c r="D241" t="s">
        <v>155</v>
      </c>
      <c r="E241" s="91" t="s">
        <v>240</v>
      </c>
      <c r="L241">
        <f>Assumptions!L119</f>
        <v>-20</v>
      </c>
      <c r="M241">
        <f>Assumptions!M119</f>
        <v>-20</v>
      </c>
      <c r="N241">
        <f>Assumptions!N119</f>
        <v>-20</v>
      </c>
      <c r="O241">
        <f>Assumptions!O119</f>
        <v>-20</v>
      </c>
      <c r="P241">
        <f>Assumptions!P119</f>
        <v>-20</v>
      </c>
    </row>
    <row r="242" spans="3:16" s="71" customFormat="1">
      <c r="D242" s="71" t="s">
        <v>154</v>
      </c>
      <c r="E242" s="123" t="s">
        <v>240</v>
      </c>
      <c r="K242" s="101">
        <f>K111</f>
        <v>280.17700000000002</v>
      </c>
      <c r="L242" s="71">
        <f>SUM(L240:L241)</f>
        <v>260.17700000000002</v>
      </c>
      <c r="M242" s="71">
        <f t="shared" ref="M242:P242" si="125">SUM(M240:M241)</f>
        <v>240.17700000000002</v>
      </c>
      <c r="N242" s="71">
        <f t="shared" si="125"/>
        <v>220.17700000000002</v>
      </c>
      <c r="O242" s="71">
        <f t="shared" si="125"/>
        <v>200.17700000000002</v>
      </c>
      <c r="P242" s="71">
        <f t="shared" si="125"/>
        <v>180.17700000000002</v>
      </c>
    </row>
    <row r="243" spans="3:16" ht="6.95" customHeight="1"/>
    <row r="244" spans="3:16">
      <c r="D244" t="str">
        <f>Assumptions!D122</f>
        <v>Dividend Pay-out Ratio</v>
      </c>
      <c r="E244" s="91" t="s">
        <v>84</v>
      </c>
      <c r="F244" s="93">
        <f>Assumptions!F122</f>
        <v>0.25</v>
      </c>
    </row>
    <row r="245" spans="3:16" ht="5.2" customHeight="1"/>
    <row r="246" spans="3:16">
      <c r="C246" s="80" t="s">
        <v>219</v>
      </c>
    </row>
    <row r="247" spans="3:16">
      <c r="D247" t="s">
        <v>153</v>
      </c>
      <c r="E247" s="91" t="s">
        <v>240</v>
      </c>
      <c r="L247">
        <f>K249</f>
        <v>0</v>
      </c>
      <c r="M247">
        <f t="shared" ref="M247" si="126">L249</f>
        <v>40</v>
      </c>
      <c r="N247">
        <f t="shared" ref="N247" si="127">M249</f>
        <v>80</v>
      </c>
      <c r="O247">
        <f t="shared" ref="O247" si="128">N249</f>
        <v>120</v>
      </c>
      <c r="P247">
        <f t="shared" ref="P247" si="129">O249</f>
        <v>160</v>
      </c>
    </row>
    <row r="248" spans="3:16">
      <c r="D248" t="s">
        <v>155</v>
      </c>
      <c r="E248" s="91" t="s">
        <v>240</v>
      </c>
      <c r="L248">
        <f>Assumptions!L125</f>
        <v>40</v>
      </c>
      <c r="M248">
        <f>Assumptions!M125</f>
        <v>40</v>
      </c>
      <c r="N248">
        <f>Assumptions!N125</f>
        <v>40</v>
      </c>
      <c r="O248">
        <f>Assumptions!O125</f>
        <v>40</v>
      </c>
      <c r="P248">
        <f>Assumptions!P125</f>
        <v>40</v>
      </c>
    </row>
    <row r="249" spans="3:16">
      <c r="D249" s="71" t="s">
        <v>154</v>
      </c>
      <c r="E249" s="91" t="s">
        <v>240</v>
      </c>
      <c r="K249" s="92">
        <f>'Historicals FS'!I102</f>
        <v>0</v>
      </c>
      <c r="L249" s="71">
        <f>SUM(L247:L248)</f>
        <v>40</v>
      </c>
      <c r="M249" s="71">
        <f t="shared" ref="M249:P249" si="130">SUM(M247:M248)</f>
        <v>80</v>
      </c>
      <c r="N249" s="71">
        <f t="shared" si="130"/>
        <v>120</v>
      </c>
      <c r="O249" s="71">
        <f t="shared" si="130"/>
        <v>160</v>
      </c>
      <c r="P249" s="71">
        <f t="shared" si="130"/>
        <v>200</v>
      </c>
    </row>
    <row r="250" spans="3:16" ht="5.5" customHeight="1"/>
    <row r="251" spans="3:16">
      <c r="D251" t="s">
        <v>220</v>
      </c>
      <c r="E251" s="91" t="s">
        <v>84</v>
      </c>
      <c r="F251" s="93">
        <f>Assumptions!F126</f>
        <v>0.08</v>
      </c>
      <c r="L251" s="86">
        <f>$F$251</f>
        <v>0.08</v>
      </c>
      <c r="M251" s="86">
        <f t="shared" ref="M251:P251" si="131">$F$251</f>
        <v>0.08</v>
      </c>
      <c r="N251" s="86">
        <f t="shared" si="131"/>
        <v>0.08</v>
      </c>
      <c r="O251" s="86">
        <f t="shared" si="131"/>
        <v>0.08</v>
      </c>
      <c r="P251" s="86">
        <f t="shared" si="131"/>
        <v>0.08</v>
      </c>
    </row>
    <row r="252" spans="3:16">
      <c r="D252" t="s">
        <v>180</v>
      </c>
      <c r="E252" s="91" t="s">
        <v>240</v>
      </c>
      <c r="L252">
        <f>L249*L251</f>
        <v>3.2</v>
      </c>
      <c r="M252">
        <f t="shared" ref="M252:P252" si="132">M249*M251</f>
        <v>6.4</v>
      </c>
      <c r="N252">
        <f t="shared" si="132"/>
        <v>9.6</v>
      </c>
      <c r="O252">
        <f t="shared" si="132"/>
        <v>12.8</v>
      </c>
      <c r="P252">
        <f t="shared" si="132"/>
        <v>16</v>
      </c>
    </row>
    <row r="253" spans="3:16" ht="5.2" customHeight="1"/>
    <row r="254" spans="3:16">
      <c r="C254" s="80" t="s">
        <v>42</v>
      </c>
    </row>
    <row r="255" spans="3:16">
      <c r="D255" t="s">
        <v>153</v>
      </c>
      <c r="E255" s="91" t="s">
        <v>240</v>
      </c>
      <c r="L255">
        <f>K258</f>
        <v>-228.63800000000001</v>
      </c>
      <c r="M255">
        <f t="shared" ref="M255:P255" ca="1" si="133">L258</f>
        <v>-0.21005369272633345</v>
      </c>
      <c r="N255">
        <f t="shared" ca="1" si="133"/>
        <v>295.15176936252254</v>
      </c>
      <c r="O255">
        <f t="shared" ca="1" si="133"/>
        <v>669.90597226582918</v>
      </c>
      <c r="P255">
        <f t="shared" ca="1" si="133"/>
        <v>1136.2974373445736</v>
      </c>
    </row>
    <row r="256" spans="3:16">
      <c r="D256" t="s">
        <v>156</v>
      </c>
      <c r="E256" s="91" t="s">
        <v>240</v>
      </c>
      <c r="L256">
        <f ca="1">L33</f>
        <v>304.5705950763649</v>
      </c>
      <c r="M256">
        <f t="shared" ref="M256:P256" ca="1" si="134">M33</f>
        <v>393.81576407366515</v>
      </c>
      <c r="N256">
        <f t="shared" ca="1" si="134"/>
        <v>499.67227053774224</v>
      </c>
      <c r="O256">
        <f t="shared" ca="1" si="134"/>
        <v>621.85528677165939</v>
      </c>
      <c r="P256">
        <f t="shared" ca="1" si="134"/>
        <v>769.34671581815985</v>
      </c>
    </row>
    <row r="257" spans="2:16">
      <c r="D257" t="s">
        <v>157</v>
      </c>
      <c r="E257" s="91" t="s">
        <v>240</v>
      </c>
      <c r="L257">
        <f ca="1">L256*$F$244</f>
        <v>76.142648769091224</v>
      </c>
      <c r="M257">
        <f ca="1">M256*$F$244</f>
        <v>98.453941018416288</v>
      </c>
      <c r="N257">
        <f ca="1">N256*$F$244</f>
        <v>124.91806763443556</v>
      </c>
      <c r="O257">
        <f ca="1">O256*$F$244</f>
        <v>155.46382169291485</v>
      </c>
      <c r="P257">
        <f ca="1">P256*$F$244</f>
        <v>192.33667895453996</v>
      </c>
    </row>
    <row r="258" spans="2:16" s="71" customFormat="1">
      <c r="D258" s="71" t="s">
        <v>154</v>
      </c>
      <c r="E258" s="91" t="s">
        <v>240</v>
      </c>
      <c r="K258" s="71">
        <f>K112</f>
        <v>-228.63800000000001</v>
      </c>
      <c r="L258" s="71">
        <f ca="1">L255+L256-L257</f>
        <v>-0.21005369272633345</v>
      </c>
      <c r="M258" s="71">
        <f t="shared" ref="M258:P258" ca="1" si="135">M255+M256-M257</f>
        <v>295.15176936252254</v>
      </c>
      <c r="N258" s="71">
        <f t="shared" ca="1" si="135"/>
        <v>669.90597226582918</v>
      </c>
      <c r="O258" s="71">
        <f t="shared" ca="1" si="135"/>
        <v>1136.2974373445736</v>
      </c>
      <c r="P258" s="71">
        <f t="shared" ca="1" si="135"/>
        <v>1713.3074742081933</v>
      </c>
    </row>
    <row r="260" spans="2:16" ht="13.25" thickBot="1">
      <c r="B260" s="78" t="s">
        <v>158</v>
      </c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</row>
    <row r="261" spans="2:16" ht="8.25" customHeight="1"/>
    <row r="262" spans="2:16">
      <c r="C262" s="80" t="s">
        <v>159</v>
      </c>
    </row>
    <row r="263" spans="2:16">
      <c r="D263" t="str">
        <f>Assumptions!D103</f>
        <v>Excess Cash</v>
      </c>
      <c r="E263" s="91" t="s">
        <v>84</v>
      </c>
      <c r="L263" s="93">
        <f>Assumptions!L103</f>
        <v>0.06</v>
      </c>
      <c r="M263" s="93">
        <f>Assumptions!M103</f>
        <v>0.06</v>
      </c>
      <c r="N263" s="93">
        <f>Assumptions!N103</f>
        <v>0.06</v>
      </c>
      <c r="O263" s="93">
        <f>Assumptions!O103</f>
        <v>0.06</v>
      </c>
      <c r="P263" s="93">
        <f>Assumptions!P103</f>
        <v>0.06</v>
      </c>
    </row>
    <row r="264" spans="2:16">
      <c r="D264" t="str">
        <f>Assumptions!D104</f>
        <v>Fixed Rate Senior Secured Debt</v>
      </c>
      <c r="E264" s="91" t="s">
        <v>84</v>
      </c>
      <c r="L264" s="93">
        <f>Assumptions!L104</f>
        <v>5.7500000000000002E-2</v>
      </c>
      <c r="M264" s="93">
        <f>Assumptions!M104</f>
        <v>5.7500000000000002E-2</v>
      </c>
      <c r="N264" s="93">
        <f>Assumptions!N104</f>
        <v>5.7500000000000002E-2</v>
      </c>
      <c r="O264" s="93">
        <f>Assumptions!O104</f>
        <v>5.7500000000000002E-2</v>
      </c>
      <c r="P264" s="93">
        <f>Assumptions!P104</f>
        <v>5.7500000000000002E-2</v>
      </c>
    </row>
    <row r="265" spans="2:16">
      <c r="D265" t="str">
        <f>Assumptions!D105</f>
        <v>Revolver</v>
      </c>
      <c r="E265" s="91" t="s">
        <v>84</v>
      </c>
      <c r="L265" s="93">
        <f>Assumptions!L105</f>
        <v>5.7500000000000002E-2</v>
      </c>
      <c r="M265" s="93">
        <f>Assumptions!M105</f>
        <v>5.7500000000000002E-2</v>
      </c>
      <c r="N265" s="93">
        <f>Assumptions!N105</f>
        <v>5.7500000000000002E-2</v>
      </c>
      <c r="O265" s="93">
        <f>Assumptions!O105</f>
        <v>5.7500000000000002E-2</v>
      </c>
      <c r="P265" s="93">
        <f>Assumptions!P105</f>
        <v>5.7500000000000002E-2</v>
      </c>
    </row>
    <row r="266" spans="2:16">
      <c r="D266" t="s">
        <v>201</v>
      </c>
      <c r="E266" s="91" t="s">
        <v>84</v>
      </c>
      <c r="L266" s="93">
        <f>Assumptions!L107</f>
        <v>0.03</v>
      </c>
      <c r="M266" s="93">
        <f>Assumptions!M107</f>
        <v>3.5000000000000003E-2</v>
      </c>
      <c r="N266" s="93">
        <f>Assumptions!N107</f>
        <v>4.4999999999999998E-2</v>
      </c>
      <c r="O266" s="93">
        <f>Assumptions!O107</f>
        <v>0.04</v>
      </c>
      <c r="P266" s="93">
        <f>Assumptions!P107</f>
        <v>0.04</v>
      </c>
    </row>
    <row r="267" spans="2:16">
      <c r="D267" t="str">
        <f>Assumptions!D108</f>
        <v>Premium on Variable Rate Term Debt</v>
      </c>
      <c r="E267" s="91" t="s">
        <v>84</v>
      </c>
      <c r="L267" s="93">
        <f>Assumptions!L108</f>
        <v>2.5000000000000001E-2</v>
      </c>
      <c r="M267" s="93">
        <f>Assumptions!M108</f>
        <v>2.5000000000000001E-2</v>
      </c>
      <c r="N267" s="93">
        <f>Assumptions!N108</f>
        <v>2.5000000000000001E-2</v>
      </c>
      <c r="O267" s="93">
        <f>Assumptions!O108</f>
        <v>2.5000000000000001E-2</v>
      </c>
      <c r="P267" s="93">
        <f>Assumptions!P108</f>
        <v>2.5000000000000001E-2</v>
      </c>
    </row>
    <row r="268" spans="2:16" s="71" customFormat="1">
      <c r="D268" s="71" t="s">
        <v>224</v>
      </c>
      <c r="E268" s="91" t="s">
        <v>84</v>
      </c>
      <c r="L268" s="90">
        <f>SUM(L266:L267)</f>
        <v>5.5E-2</v>
      </c>
      <c r="M268" s="90">
        <f t="shared" ref="M268:P268" si="136">SUM(M266:M267)</f>
        <v>6.0000000000000005E-2</v>
      </c>
      <c r="N268" s="90">
        <f t="shared" si="136"/>
        <v>7.0000000000000007E-2</v>
      </c>
      <c r="O268" s="90">
        <f t="shared" si="136"/>
        <v>6.5000000000000002E-2</v>
      </c>
      <c r="P268" s="90">
        <f t="shared" si="136"/>
        <v>6.5000000000000002E-2</v>
      </c>
    </row>
    <row r="269" spans="2:16" ht="5.5" customHeight="1"/>
    <row r="270" spans="2:16">
      <c r="C270" s="80" t="s">
        <v>222</v>
      </c>
    </row>
    <row r="271" spans="2:16">
      <c r="D271" t="s">
        <v>153</v>
      </c>
      <c r="E271" s="91" t="s">
        <v>240</v>
      </c>
      <c r="L271">
        <f>K273</f>
        <v>704.05500000000006</v>
      </c>
      <c r="M271">
        <f t="shared" ref="M271:P271" si="137">L273</f>
        <v>524.05500000000006</v>
      </c>
      <c r="N271">
        <f t="shared" si="137"/>
        <v>344.05500000000006</v>
      </c>
      <c r="O271">
        <f t="shared" si="137"/>
        <v>164.05500000000006</v>
      </c>
      <c r="P271">
        <f t="shared" si="137"/>
        <v>0</v>
      </c>
    </row>
    <row r="272" spans="2:16">
      <c r="D272" t="s">
        <v>160</v>
      </c>
      <c r="E272" s="91" t="s">
        <v>240</v>
      </c>
      <c r="L272">
        <f>MIN(Assumptions!L111,L271)</f>
        <v>180</v>
      </c>
      <c r="M272">
        <f>MIN(Assumptions!M111,M271)</f>
        <v>180</v>
      </c>
      <c r="N272">
        <f>MIN(Assumptions!N111,N271)</f>
        <v>180</v>
      </c>
      <c r="O272">
        <f>MIN(Assumptions!O111,O271)</f>
        <v>164.05500000000006</v>
      </c>
      <c r="P272">
        <f>MIN(Assumptions!P111,P271)</f>
        <v>0</v>
      </c>
    </row>
    <row r="273" spans="3:16" s="71" customFormat="1">
      <c r="D273" s="71" t="s">
        <v>154</v>
      </c>
      <c r="E273" s="91" t="s">
        <v>240</v>
      </c>
      <c r="K273" s="101">
        <f>K103</f>
        <v>704.05500000000006</v>
      </c>
      <c r="L273" s="71">
        <f>L271-L272</f>
        <v>524.05500000000006</v>
      </c>
      <c r="M273" s="71">
        <f t="shared" ref="M273:P273" si="138">M271-M272</f>
        <v>344.05500000000006</v>
      </c>
      <c r="N273" s="71">
        <f t="shared" si="138"/>
        <v>164.05500000000006</v>
      </c>
      <c r="O273" s="71">
        <f t="shared" si="138"/>
        <v>0</v>
      </c>
      <c r="P273" s="71">
        <f t="shared" si="138"/>
        <v>0</v>
      </c>
    </row>
    <row r="274" spans="3:16" ht="3.9" customHeight="1"/>
    <row r="275" spans="3:16">
      <c r="D275" s="94" t="s">
        <v>226</v>
      </c>
      <c r="E275" s="119" t="s">
        <v>240</v>
      </c>
      <c r="F275" s="95"/>
      <c r="G275" s="95"/>
      <c r="H275" s="95"/>
      <c r="I275" s="95"/>
      <c r="J275" s="95"/>
      <c r="K275" s="95"/>
      <c r="L275" s="95">
        <f>AVERAGE(K273:L273)*L264</f>
        <v>35.308162500000002</v>
      </c>
      <c r="M275" s="95">
        <f>AVERAGE(L273:M273)*M264</f>
        <v>24.958162500000004</v>
      </c>
      <c r="N275" s="95">
        <f>AVERAGE(M273:N273)*N264</f>
        <v>14.608162500000004</v>
      </c>
      <c r="O275" s="95">
        <f>AVERAGE(N273:O273)*O264</f>
        <v>4.7165812500000017</v>
      </c>
      <c r="P275" s="96">
        <f>AVERAGE(O273:P273)*P264</f>
        <v>0</v>
      </c>
    </row>
    <row r="276" spans="3:16" ht="3.6" customHeight="1"/>
    <row r="277" spans="3:16">
      <c r="C277" s="80" t="s">
        <v>223</v>
      </c>
    </row>
    <row r="278" spans="3:16">
      <c r="D278" t="s">
        <v>153</v>
      </c>
      <c r="E278" s="91" t="s">
        <v>240</v>
      </c>
      <c r="L278">
        <f>K280</f>
        <v>183.22300000000001</v>
      </c>
      <c r="M278">
        <f t="shared" ref="M278" si="139">L280</f>
        <v>93.223000000000013</v>
      </c>
      <c r="N278">
        <f t="shared" ref="N278" si="140">M280</f>
        <v>3.2230000000000132</v>
      </c>
      <c r="O278">
        <f t="shared" ref="O278" si="141">N280</f>
        <v>0</v>
      </c>
      <c r="P278">
        <f t="shared" ref="P278" si="142">O280</f>
        <v>0</v>
      </c>
    </row>
    <row r="279" spans="3:16">
      <c r="D279" t="s">
        <v>160</v>
      </c>
      <c r="E279" s="91" t="s">
        <v>240</v>
      </c>
      <c r="L279">
        <f>MIN(Assumptions!L112,L278)</f>
        <v>90</v>
      </c>
      <c r="M279">
        <f>MIN(Assumptions!M112,M278)</f>
        <v>90</v>
      </c>
      <c r="N279">
        <f>MIN(Assumptions!N112,N278)</f>
        <v>3.2230000000000132</v>
      </c>
      <c r="O279">
        <f>MIN(Assumptions!O112,O278)</f>
        <v>0</v>
      </c>
      <c r="P279">
        <f>MIN(Assumptions!P112,P278)</f>
        <v>0</v>
      </c>
    </row>
    <row r="280" spans="3:16" s="71" customFormat="1">
      <c r="D280" s="71" t="s">
        <v>154</v>
      </c>
      <c r="E280" s="91" t="s">
        <v>240</v>
      </c>
      <c r="K280" s="101">
        <f>K102</f>
        <v>183.22300000000001</v>
      </c>
      <c r="L280" s="71">
        <f>L278-L279</f>
        <v>93.223000000000013</v>
      </c>
      <c r="M280" s="71">
        <f t="shared" ref="M280:P280" si="143">M278-M279</f>
        <v>3.2230000000000132</v>
      </c>
      <c r="N280" s="71">
        <f t="shared" si="143"/>
        <v>0</v>
      </c>
      <c r="O280" s="71">
        <f t="shared" si="143"/>
        <v>0</v>
      </c>
      <c r="P280" s="71">
        <f t="shared" si="143"/>
        <v>0</v>
      </c>
    </row>
    <row r="281" spans="3:16" ht="5.5" customHeight="1"/>
    <row r="282" spans="3:16">
      <c r="D282" s="94" t="s">
        <v>227</v>
      </c>
      <c r="E282" s="119" t="s">
        <v>240</v>
      </c>
      <c r="F282" s="95"/>
      <c r="G282" s="95"/>
      <c r="H282" s="95"/>
      <c r="I282" s="95"/>
      <c r="J282" s="95"/>
      <c r="K282" s="95"/>
      <c r="L282" s="95">
        <f>AVERAGE(K280:L280)*L268</f>
        <v>7.6022650000000009</v>
      </c>
      <c r="M282" s="95">
        <f>AVERAGE(L280:M280)*M268</f>
        <v>2.893380000000001</v>
      </c>
      <c r="N282" s="95">
        <f>AVERAGE(M280:N280)*N268</f>
        <v>0.11280500000000047</v>
      </c>
      <c r="O282" s="95">
        <f>AVERAGE(N280:O280)*O268</f>
        <v>0</v>
      </c>
      <c r="P282" s="96">
        <f>AVERAGE(O280:P280)*P268</f>
        <v>0</v>
      </c>
    </row>
    <row r="283" spans="3:16" ht="8.25" customHeight="1"/>
    <row r="284" spans="3:16">
      <c r="C284" s="80" t="s">
        <v>109</v>
      </c>
    </row>
    <row r="285" spans="3:16">
      <c r="D285" t="s">
        <v>153</v>
      </c>
      <c r="E285" s="91" t="s">
        <v>240</v>
      </c>
      <c r="L285">
        <f>K287</f>
        <v>46.905000000000122</v>
      </c>
      <c r="M285">
        <f t="shared" ref="M285:P285" ca="1" si="144">L287</f>
        <v>0</v>
      </c>
      <c r="N285">
        <f t="shared" ca="1" si="144"/>
        <v>0</v>
      </c>
      <c r="O285">
        <f t="shared" ca="1" si="144"/>
        <v>172.61038356427133</v>
      </c>
      <c r="P285">
        <f t="shared" ca="1" si="144"/>
        <v>459.6185816784697</v>
      </c>
    </row>
    <row r="286" spans="3:16">
      <c r="D286" t="s">
        <v>161</v>
      </c>
      <c r="E286" s="91" t="s">
        <v>240</v>
      </c>
      <c r="L286">
        <f ca="1">L71</f>
        <v>-46.905000000000086</v>
      </c>
      <c r="M286">
        <f ca="1">M71</f>
        <v>0</v>
      </c>
      <c r="N286">
        <f ca="1">N71</f>
        <v>172.61038356427133</v>
      </c>
      <c r="O286">
        <f ca="1">O71</f>
        <v>287.00819811419836</v>
      </c>
      <c r="P286">
        <f ca="1">P71</f>
        <v>548.42702011224571</v>
      </c>
    </row>
    <row r="287" spans="3:16" s="71" customFormat="1">
      <c r="D287" s="71" t="s">
        <v>154</v>
      </c>
      <c r="E287" s="91" t="s">
        <v>240</v>
      </c>
      <c r="K287" s="101">
        <f>K80</f>
        <v>46.905000000000122</v>
      </c>
      <c r="L287" s="71">
        <f ca="1">SUM(L285:L286)</f>
        <v>0</v>
      </c>
      <c r="M287" s="71">
        <f t="shared" ref="M287:P287" ca="1" si="145">SUM(M285:M286)</f>
        <v>0</v>
      </c>
      <c r="N287" s="71">
        <f t="shared" ca="1" si="145"/>
        <v>172.61038356427133</v>
      </c>
      <c r="O287" s="71">
        <f t="shared" ca="1" si="145"/>
        <v>459.6185816784697</v>
      </c>
      <c r="P287" s="71">
        <f t="shared" ca="1" si="145"/>
        <v>1008.0456017907154</v>
      </c>
    </row>
    <row r="289" spans="3:16">
      <c r="D289" s="94" t="s">
        <v>166</v>
      </c>
      <c r="E289" s="119" t="s">
        <v>240</v>
      </c>
      <c r="F289" s="95"/>
      <c r="G289" s="95"/>
      <c r="H289" s="95"/>
      <c r="I289" s="95"/>
      <c r="J289" s="95"/>
      <c r="K289" s="95"/>
      <c r="L289" s="95">
        <f ca="1">AVERAGE(K287:L287)*L263</f>
        <v>1.4071500000000037</v>
      </c>
      <c r="M289" s="95">
        <f ca="1">AVERAGE(L287:M287)*M263</f>
        <v>0</v>
      </c>
      <c r="N289" s="95">
        <f ca="1">AVERAGE(M287:N287)*N263</f>
        <v>5.1783115069281394</v>
      </c>
      <c r="O289" s="95">
        <f ca="1">AVERAGE(N287:O287)*O263</f>
        <v>18.966868957282227</v>
      </c>
      <c r="P289" s="96">
        <f ca="1">AVERAGE(O287:P287)*P263</f>
        <v>44.02992550407555</v>
      </c>
    </row>
    <row r="291" spans="3:16">
      <c r="C291" s="80" t="s">
        <v>110</v>
      </c>
    </row>
    <row r="292" spans="3:16">
      <c r="D292" t="str">
        <f>D52</f>
        <v>Operating Cash Flow</v>
      </c>
      <c r="E292" s="91" t="s">
        <v>240</v>
      </c>
      <c r="L292">
        <f ca="1">L52</f>
        <v>289.95439882223855</v>
      </c>
      <c r="M292">
        <f ca="1">M52</f>
        <v>424.52333667767033</v>
      </c>
      <c r="N292">
        <f ca="1">N52</f>
        <v>533.16530548630544</v>
      </c>
      <c r="O292">
        <f ca="1">O52</f>
        <v>659.32701980711329</v>
      </c>
      <c r="P292">
        <f ca="1">P52</f>
        <v>806.76369906678565</v>
      </c>
    </row>
    <row r="293" spans="3:16">
      <c r="D293" t="str">
        <f>D58</f>
        <v>Investing Cash Flow</v>
      </c>
      <c r="E293" s="91" t="s">
        <v>240</v>
      </c>
      <c r="L293">
        <f>L58</f>
        <v>-50</v>
      </c>
      <c r="M293">
        <f>M58</f>
        <v>-40</v>
      </c>
      <c r="N293">
        <f>N58</f>
        <v>-50</v>
      </c>
      <c r="O293">
        <f>O58</f>
        <v>-60</v>
      </c>
      <c r="P293">
        <f>P58</f>
        <v>-70</v>
      </c>
    </row>
    <row r="294" spans="3:16">
      <c r="D294" t="s">
        <v>225</v>
      </c>
      <c r="E294" s="91" t="s">
        <v>240</v>
      </c>
      <c r="L294">
        <f>L62+L63</f>
        <v>-270</v>
      </c>
      <c r="M294">
        <f>M62+M63</f>
        <v>-270</v>
      </c>
      <c r="N294">
        <f>N62+N63</f>
        <v>-183.22300000000001</v>
      </c>
      <c r="O294">
        <f>O62+O63</f>
        <v>-164.05500000000006</v>
      </c>
      <c r="P294">
        <f>P62+P63</f>
        <v>0</v>
      </c>
    </row>
    <row r="295" spans="3:16">
      <c r="D295" t="s">
        <v>243</v>
      </c>
      <c r="E295" s="91" t="s">
        <v>240</v>
      </c>
      <c r="L295">
        <f>L64+L65</f>
        <v>20</v>
      </c>
      <c r="M295">
        <f>M64+M65</f>
        <v>20</v>
      </c>
      <c r="N295">
        <f>N64+N65</f>
        <v>20</v>
      </c>
      <c r="O295">
        <f>O64+O65</f>
        <v>20</v>
      </c>
      <c r="P295">
        <f>P64+P65</f>
        <v>20</v>
      </c>
    </row>
    <row r="296" spans="3:16">
      <c r="D296" t="str">
        <f>D68</f>
        <v>Other Financing Activities</v>
      </c>
      <c r="E296" s="91" t="s">
        <v>240</v>
      </c>
      <c r="L296">
        <f>L68</f>
        <v>0</v>
      </c>
      <c r="M296">
        <f t="shared" ref="M296:P296" si="146">M68</f>
        <v>0</v>
      </c>
      <c r="N296">
        <f t="shared" si="146"/>
        <v>0</v>
      </c>
      <c r="O296">
        <f t="shared" si="146"/>
        <v>0</v>
      </c>
      <c r="P296">
        <f t="shared" si="146"/>
        <v>0</v>
      </c>
    </row>
    <row r="297" spans="3:16">
      <c r="D297" t="s">
        <v>157</v>
      </c>
      <c r="E297" s="91" t="s">
        <v>240</v>
      </c>
      <c r="L297" s="109">
        <f ca="1">L66+L67</f>
        <v>-79.342648769091227</v>
      </c>
      <c r="M297" s="109">
        <f ca="1">M66+M67</f>
        <v>-104.85394101841629</v>
      </c>
      <c r="N297" s="109">
        <f ca="1">N66+N67</f>
        <v>-134.51806763443557</v>
      </c>
      <c r="O297" s="109">
        <f ca="1">O66+O67</f>
        <v>-168.26382169291486</v>
      </c>
      <c r="P297" s="109">
        <f ca="1">P66+P67</f>
        <v>-208.33667895453996</v>
      </c>
    </row>
    <row r="298" spans="3:16" s="71" customFormat="1">
      <c r="D298" s="71" t="s">
        <v>162</v>
      </c>
      <c r="E298" s="91" t="s">
        <v>240</v>
      </c>
      <c r="L298" s="71">
        <f ca="1">SUM(L292:L297)</f>
        <v>-89.388249946852682</v>
      </c>
      <c r="M298" s="71">
        <f ca="1">SUM(M292:M297)</f>
        <v>29.669395659254036</v>
      </c>
      <c r="N298" s="71">
        <f ca="1">SUM(N292:N297)</f>
        <v>185.42423785186986</v>
      </c>
      <c r="O298" s="71">
        <f ca="1">SUM(O292:O297)</f>
        <v>287.00819811419836</v>
      </c>
      <c r="P298" s="71">
        <f ca="1">SUM(P292:P297)</f>
        <v>548.42702011224571</v>
      </c>
    </row>
    <row r="299" spans="3:16" ht="8.25" customHeight="1"/>
    <row r="301" spans="3:16">
      <c r="D301" t="s">
        <v>153</v>
      </c>
      <c r="E301" s="91" t="s">
        <v>240</v>
      </c>
      <c r="L301">
        <f>K303</f>
        <v>0</v>
      </c>
      <c r="M301">
        <f t="shared" ref="M301:P301" ca="1" si="147">L303</f>
        <v>42.48324994685256</v>
      </c>
      <c r="N301">
        <f t="shared" ca="1" si="147"/>
        <v>12.813854287598524</v>
      </c>
      <c r="O301">
        <f t="shared" ca="1" si="147"/>
        <v>0</v>
      </c>
      <c r="P301">
        <f t="shared" ca="1" si="147"/>
        <v>0</v>
      </c>
    </row>
    <row r="302" spans="3:16">
      <c r="D302" t="s">
        <v>163</v>
      </c>
      <c r="E302" s="91" t="s">
        <v>240</v>
      </c>
      <c r="L302">
        <f ca="1">-MIN(L301,L298+L285)</f>
        <v>42.48324994685256</v>
      </c>
      <c r="M302">
        <f ca="1">-MIN(M301,M298+M285)</f>
        <v>-29.669395659254036</v>
      </c>
      <c r="N302">
        <f ca="1">-MIN(N301,N298+N285)</f>
        <v>-12.813854287598524</v>
      </c>
      <c r="O302">
        <f ca="1">-MIN(O301,O298+O285)</f>
        <v>0</v>
      </c>
      <c r="P302">
        <f ca="1">-MIN(P301,P298+P285)</f>
        <v>0</v>
      </c>
    </row>
    <row r="303" spans="3:16">
      <c r="D303" t="s">
        <v>154</v>
      </c>
      <c r="E303" s="91" t="s">
        <v>240</v>
      </c>
      <c r="K303" s="92">
        <f>K97</f>
        <v>0</v>
      </c>
      <c r="L303">
        <f ca="1">SUM(L301:L302)</f>
        <v>42.48324994685256</v>
      </c>
      <c r="M303">
        <f t="shared" ref="M303:P303" ca="1" si="148">SUM(M301:M302)</f>
        <v>12.813854287598524</v>
      </c>
      <c r="N303">
        <f t="shared" ca="1" si="148"/>
        <v>0</v>
      </c>
      <c r="O303">
        <f t="shared" ca="1" si="148"/>
        <v>0</v>
      </c>
      <c r="P303">
        <f t="shared" ca="1" si="148"/>
        <v>0</v>
      </c>
    </row>
    <row r="304" spans="3:16" ht="5.2" customHeight="1"/>
    <row r="305" spans="3:16">
      <c r="D305" t="s">
        <v>164</v>
      </c>
      <c r="E305" s="91" t="s">
        <v>240</v>
      </c>
      <c r="L305">
        <f ca="1">AVERAGE(K303:L303)*L265</f>
        <v>1.2213934359720111</v>
      </c>
      <c r="M305">
        <f ca="1">AVERAGE(L303:M303)*M265</f>
        <v>1.5897917467404687</v>
      </c>
      <c r="N305">
        <f ca="1">AVERAGE(M303:N303)*N265</f>
        <v>0.36839831076845758</v>
      </c>
      <c r="O305">
        <f ca="1">AVERAGE(N303:O303)*O265</f>
        <v>0</v>
      </c>
      <c r="P305">
        <f ca="1">AVERAGE(O303:P303)*P265</f>
        <v>0</v>
      </c>
    </row>
    <row r="306" spans="3:16" ht="6.95" customHeight="1"/>
    <row r="307" spans="3:16">
      <c r="C307" s="80" t="s">
        <v>165</v>
      </c>
    </row>
    <row r="308" spans="3:16">
      <c r="D308" t="str">
        <f>D275</f>
        <v>Interest Expense on Fixed Rate Debt</v>
      </c>
      <c r="E308" s="91" t="s">
        <v>240</v>
      </c>
      <c r="L308">
        <f>L275</f>
        <v>35.308162500000002</v>
      </c>
      <c r="M308">
        <f>M275</f>
        <v>24.958162500000004</v>
      </c>
      <c r="N308">
        <f>N275</f>
        <v>14.608162500000004</v>
      </c>
      <c r="O308">
        <f>O275</f>
        <v>4.7165812500000017</v>
      </c>
      <c r="P308">
        <f>P275</f>
        <v>0</v>
      </c>
    </row>
    <row r="309" spans="3:16">
      <c r="D309" t="str">
        <f>D282</f>
        <v>Interest Expense on Variable Rate Debt</v>
      </c>
      <c r="E309" s="91" t="s">
        <v>240</v>
      </c>
      <c r="L309">
        <f>L282</f>
        <v>7.6022650000000009</v>
      </c>
      <c r="M309">
        <f>M282</f>
        <v>2.893380000000001</v>
      </c>
      <c r="N309">
        <f>N282</f>
        <v>0.11280500000000047</v>
      </c>
      <c r="O309">
        <f>O282</f>
        <v>0</v>
      </c>
      <c r="P309">
        <f>P282</f>
        <v>0</v>
      </c>
    </row>
    <row r="310" spans="3:16">
      <c r="D310" t="str">
        <f>D305</f>
        <v>Interest Expense on Revolver</v>
      </c>
      <c r="E310" s="91" t="s">
        <v>240</v>
      </c>
      <c r="L310">
        <f t="shared" ref="L310:P310" ca="1" si="149">L305</f>
        <v>1.2213934359720111</v>
      </c>
      <c r="M310">
        <f t="shared" ca="1" si="149"/>
        <v>1.5897917467404687</v>
      </c>
      <c r="N310">
        <f t="shared" ca="1" si="149"/>
        <v>0.36839831076845758</v>
      </c>
      <c r="O310">
        <f t="shared" ca="1" si="149"/>
        <v>0</v>
      </c>
      <c r="P310">
        <f t="shared" ca="1" si="149"/>
        <v>0</v>
      </c>
    </row>
    <row r="311" spans="3:16">
      <c r="D311" t="str">
        <f>D289</f>
        <v>Interest Income on Excess Cash</v>
      </c>
      <c r="E311" s="91" t="s">
        <v>240</v>
      </c>
      <c r="L311">
        <f ca="1">-L289</f>
        <v>-1.4071500000000037</v>
      </c>
      <c r="M311">
        <f ca="1">-M289</f>
        <v>0</v>
      </c>
      <c r="N311">
        <f ca="1">-N289</f>
        <v>-5.1783115069281394</v>
      </c>
      <c r="O311">
        <f ca="1">-O289</f>
        <v>-18.966868957282227</v>
      </c>
      <c r="P311">
        <f ca="1">-P289</f>
        <v>-44.02992550407555</v>
      </c>
    </row>
    <row r="312" spans="3:16" s="71" customFormat="1">
      <c r="D312" s="113" t="s">
        <v>169</v>
      </c>
      <c r="E312" s="124" t="s">
        <v>240</v>
      </c>
      <c r="F312" s="114"/>
      <c r="G312" s="114"/>
      <c r="H312" s="114"/>
      <c r="I312" s="114"/>
      <c r="J312" s="114"/>
      <c r="K312" s="114"/>
      <c r="L312" s="114">
        <f ca="1">SUM(L308:L311)</f>
        <v>42.724670935972014</v>
      </c>
      <c r="M312" s="114">
        <f t="shared" ref="M312:P312" ca="1" si="150">SUM(M308:M311)</f>
        <v>29.441334246740475</v>
      </c>
      <c r="N312" s="114">
        <f t="shared" ca="1" si="150"/>
        <v>9.9110543038403218</v>
      </c>
      <c r="O312" s="114">
        <f t="shared" ca="1" si="150"/>
        <v>-14.250287707282226</v>
      </c>
      <c r="P312" s="114">
        <f t="shared" ca="1" si="150"/>
        <v>-44.02992550407555</v>
      </c>
    </row>
  </sheetData>
  <mergeCells count="2">
    <mergeCell ref="I3:J3"/>
    <mergeCell ref="K3:L3"/>
  </mergeCells>
  <conditionalFormatting sqref="I3:J3">
    <cfRule type="expression" dxfId="0" priority="1">
      <formula>BSCheck&lt;&gt;0</formula>
    </cfRule>
  </conditionalFormatting>
  <pageMargins left="0.70866141732283505" right="0.70866141732283505" top="0.55118110236220497" bottom="0.55118110236220497" header="0.31496062992126" footer="0.31496062992126"/>
  <pageSetup scale="75" fitToHeight="0" orientation="landscape" r:id="rId1"/>
  <headerFooter>
    <oddFooter>&amp;LVeritas Dwellings
Printed on: &amp;D @ &amp;T&amp;CPage &amp;P of &amp;N&amp;RSheet Name: &amp;A
File Name: &amp;F</oddFooter>
  </headerFooter>
  <rowBreaks count="7" manualBreakCount="7">
    <brk id="41" max="16383" man="1"/>
    <brk id="74" max="16383" man="1"/>
    <brk id="119" max="16383" man="1"/>
    <brk id="166" max="16383" man="1"/>
    <brk id="207" max="16383" man="1"/>
    <brk id="258" max="16383" man="1"/>
    <brk id="313" max="16383" man="1"/>
  </rowBreaks>
  <ignoredErrors>
    <ignoredError sqref="L296:P296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37" r:id="rId4" name="Drop Down 169">
              <controlPr defaultSize="0" autoLine="0" autoPict="0">
                <anchor moveWithCells="1">
                  <from>
                    <xdr:col>14</xdr:col>
                    <xdr:colOff>285293</xdr:colOff>
                    <xdr:row>1</xdr:row>
                    <xdr:rowOff>182880</xdr:rowOff>
                  </from>
                  <to>
                    <xdr:col>15</xdr:col>
                    <xdr:colOff>753466</xdr:colOff>
                    <xdr:row>2</xdr:row>
                    <xdr:rowOff>153619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fb3514-57f3-43d7-8a04-2a0a52bb0f40">
      <Terms xmlns="http://schemas.microsoft.com/office/infopath/2007/PartnerControls"/>
    </lcf76f155ced4ddcb4097134ff3c332f>
    <TaxCatchAll xmlns="0e11384c-db64-4a7f-b983-5ea50ecd490d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972A69AB9064D95049B970FA150B6" ma:contentTypeVersion="18" ma:contentTypeDescription="Create a new document." ma:contentTypeScope="" ma:versionID="ab81e4104d231187c0affe9b5cd0a053">
  <xsd:schema xmlns:xsd="http://www.w3.org/2001/XMLSchema" xmlns:xs="http://www.w3.org/2001/XMLSchema" xmlns:p="http://schemas.microsoft.com/office/2006/metadata/properties" xmlns:ns2="30fb3514-57f3-43d7-8a04-2a0a52bb0f40" xmlns:ns3="0e11384c-db64-4a7f-b983-5ea50ecd490d" targetNamespace="http://schemas.microsoft.com/office/2006/metadata/properties" ma:root="true" ma:fieldsID="4b68bcb3803106331f8083526fa578b1" ns2:_="" ns3:_="">
    <xsd:import namespace="30fb3514-57f3-43d7-8a04-2a0a52bb0f40"/>
    <xsd:import namespace="0e11384c-db64-4a7f-b983-5ea50ecd4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b3514-57f3-43d7-8a04-2a0a52bb0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95febbe-8800-4c16-a6d5-fe9535d6c5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1384c-db64-4a7f-b983-5ea50ecd490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2d40c2-0fae-40a6-8be7-1aa6524c18c3}" ma:internalName="TaxCatchAll" ma:showField="CatchAllData" ma:web="0e11384c-db64-4a7f-b983-5ea50ecd4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B15FEF-4B4F-440F-ABFA-24F3D836A21C}">
  <ds:schemaRefs>
    <ds:schemaRef ds:uri="http://schemas.microsoft.com/office/2006/documentManagement/types"/>
    <ds:schemaRef ds:uri="http://schemas.openxmlformats.org/package/2006/metadata/core-properties"/>
    <ds:schemaRef ds:uri="30fb3514-57f3-43d7-8a04-2a0a52bb0f40"/>
    <ds:schemaRef ds:uri="http://schemas.microsoft.com/office/infopath/2007/PartnerControls"/>
    <ds:schemaRef ds:uri="http://purl.org/dc/elements/1.1/"/>
    <ds:schemaRef ds:uri="http://schemas.microsoft.com/office/2006/metadata/properties"/>
    <ds:schemaRef ds:uri="0e11384c-db64-4a7f-b983-5ea50ecd490d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DCDB18-5CFE-4615-8691-28CB8C2151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C1AA7B-12C3-45AA-A849-B5E792775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b3514-57f3-43d7-8a04-2a0a52bb0f40"/>
    <ds:schemaRef ds:uri="0e11384c-db64-4a7f-b983-5ea50ecd49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bb04057-9724-4194-9478-a76b704c6dc9}" enabled="0" method="" siteId="{7bb04057-9724-4194-9478-a76b704c6d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Cover</vt:lpstr>
      <vt:lpstr>Historicals FS</vt:lpstr>
      <vt:lpstr>Summary</vt:lpstr>
      <vt:lpstr>Assumptions</vt:lpstr>
      <vt:lpstr>Scenarios</vt:lpstr>
      <vt:lpstr>Model</vt:lpstr>
      <vt:lpstr>BSCheck</vt:lpstr>
      <vt:lpstr>L_Scenarios</vt:lpstr>
      <vt:lpstr>million</vt:lpstr>
      <vt:lpstr>Cover!Print_Area</vt:lpstr>
      <vt:lpstr>Summary!Print_Area</vt:lpstr>
      <vt:lpstr>Assumptions!Print_Titles</vt:lpstr>
      <vt:lpstr>Model!Print_Titles</vt:lpstr>
      <vt:lpstr>Scenarios!Print_Titles</vt:lpstr>
      <vt:lpstr>Summary!Print_Titles</vt:lpstr>
      <vt:lpstr>S_Scenarios</vt:lpstr>
      <vt:lpstr>ScenarioUSed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2018-10-06T13:35:48Z</dcterms:created>
  <dcterms:modified xsi:type="dcterms:W3CDTF">2026-02-25T11:54:58Z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0x010100005972A69AB9064D95049B970FA150B6</vt:lpwstr>
  </property>
</Properties>
</file>